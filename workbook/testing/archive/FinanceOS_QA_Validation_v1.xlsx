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A Dashboard" state="visible" r:id="rId4"/>
    <sheet sheetId="2" name="Test Scenarios" state="visible" r:id="rId5"/>
    <sheet sheetId="3" name="Difference Engine" state="visible" r:id="rId6"/>
    <sheet sheetId="4" name="Cell Regression" state="visible" r:id="rId7"/>
    <sheet sheetId="5" name="Coverage Matrix" state="visible" r:id="rId8"/>
    <sheet sheetId="6" name="Compatibility Gate" state="visible" r:id="rId9"/>
    <sheet sheetId="7" name="Formula Inventory" state="visible" r:id="rId10"/>
    <sheet sheetId="8" name="Expected Results" state="visible" r:id="rId11"/>
    <sheet sheetId="9" name="Actual Results" state="visible" r:id="rId12"/>
  </sheets>
  <calcPr calcId="171027"/>
</workbook>
</file>

<file path=xl/sharedStrings.xml><?xml version="1.0" encoding="utf-8"?>
<sst xmlns="http://schemas.openxmlformats.org/spreadsheetml/2006/main" count="1485" uniqueCount="493">
  <si>
    <t>FinanceOS RC1 QA — Linked Regression (Excel Web 3-tab)</t>
  </si>
  <si>
    <t>FinanceOS Version Tested</t>
  </si>
  <si>
    <t>v1.0 RC1</t>
  </si>
  <si>
    <t>QA Workbook Version</t>
  </si>
  <si>
    <t>RC1 QA Master 2026-09-19</t>
  </si>
  <si>
    <t>Testing environment</t>
  </si>
  <si>
    <t>Excel Web — three tabs, one browser session</t>
  </si>
  <si>
    <t>Tab 1 Baseline (frozen)</t>
  </si>
  <si>
    <t>FinanceOS_QA_Baseline.xlsx</t>
  </si>
  <si>
    <t>Tab 2 Under test</t>
  </si>
  <si>
    <t>FinanceOS_v1.0-QA-RC1.xlsx</t>
  </si>
  <si>
    <t>Active Scenario</t>
  </si>
  <si>
    <t>SCN-BASE</t>
  </si>
  <si>
    <t>Timestamp</t>
  </si>
  <si>
    <t>PASS Count</t>
  </si>
  <si>
    <t>FAIL Count</t>
  </si>
  <si>
    <t>WAIT Count</t>
  </si>
  <si>
    <t>MAXIFS Gate</t>
  </si>
  <si>
    <t>Compatibility Status</t>
  </si>
  <si>
    <t>Regression Status</t>
  </si>
  <si>
    <t>Open FinanceOS_QA_Baseline.xlsx, FinanceOS_v1.0-QA-RC1.xlsx, and this file as three tabs in the SAME Excel Web window (same Microsoft account, same folder). Click Trust workbook links once. Edit only the QA-RC1 tab. Difference Engine compares Baseline vs QA-RC1 automatically. No paste-values.</t>
  </si>
  <si>
    <t>Scenario ID</t>
  </si>
  <si>
    <t>Test Name</t>
  </si>
  <si>
    <t>Preconditions</t>
  </si>
  <si>
    <t>Test Data</t>
  </si>
  <si>
    <t>Step 1</t>
  </si>
  <si>
    <t>Step 2</t>
  </si>
  <si>
    <t>Expected outputs</t>
  </si>
  <si>
    <t>Rollback</t>
  </si>
  <si>
    <t>Amount</t>
  </si>
  <si>
    <t>From Account</t>
  </si>
  <si>
    <t>To Account</t>
  </si>
  <si>
    <t>Txn Type</t>
  </si>
  <si>
    <t>Status</t>
  </si>
  <si>
    <t>Date Mode</t>
  </si>
  <si>
    <t>Executed?</t>
  </si>
  <si>
    <t>Result</t>
  </si>
  <si>
    <t>Baseline identical</t>
  </si>
  <si>
    <t>Baseline and QA-RC1 start identical.</t>
  </si>
  <si>
    <t>Do not edit either engine.</t>
  </si>
  <si>
    <t>Open all three Excel Web tabs. Trust workbook links.</t>
  </si>
  <si>
    <t>Confirm Difference Engine is all ~0 / PASS.</t>
  </si>
  <si>
    <t>All differences 0.</t>
  </si>
  <si>
    <t>None.</t>
  </si>
  <si>
    <t/>
  </si>
  <si>
    <t>Completed</t>
  </si>
  <si>
    <t>ASOF</t>
  </si>
  <si>
    <t>SCN-A</t>
  </si>
  <si>
    <t>Add income</t>
  </si>
  <si>
    <t>Baseline frozen. Edit QA-RC1 only.</t>
  </si>
  <si>
    <t>Completed Income 3000 HDFC Salary, Acme Payroll, date=As-Of.</t>
  </si>
  <si>
    <t>Add the income row on QA-RC1 Transactions.</t>
  </si>
  <si>
    <t>Wait for links to refresh.</t>
  </si>
  <si>
    <t>Monthly/annual income +3000. B23 unchanged.</t>
  </si>
  <si>
    <t>Delete the new row.</t>
  </si>
  <si>
    <t>HDFC Salary</t>
  </si>
  <si>
    <t>Income</t>
  </si>
  <si>
    <t>SCN-B</t>
  </si>
  <si>
    <t>Add expense</t>
  </si>
  <si>
    <t>Baseline frozen.</t>
  </si>
  <si>
    <t>Completed Expense 2500 HDFC Salary Groceries, As-Of.</t>
  </si>
  <si>
    <t>Add expense on QA-RC1.</t>
  </si>
  <si>
    <t>Refresh.</t>
  </si>
  <si>
    <t>CM expenses +2500. Savings -2500. B23 unchanged.</t>
  </si>
  <si>
    <t>Delete the row.</t>
  </si>
  <si>
    <t>Expense</t>
  </si>
  <si>
    <t>SCN-C</t>
  </si>
  <si>
    <t>Add transfer</t>
  </si>
  <si>
    <t>Completed Transfer 1000 HDFC Salary → SBI Savings, As-Of.</t>
  </si>
  <si>
    <t>Add transfer on QA-RC1.</t>
  </si>
  <si>
    <t>Income/expense 0 change. Account-summary B4 stays 0 on this RC1 freeze.</t>
  </si>
  <si>
    <t>SBI Savings</t>
  </si>
  <si>
    <t>Transfer</t>
  </si>
  <si>
    <t>SCN-D</t>
  </si>
  <si>
    <t>Pending ignored</t>
  </si>
  <si>
    <t>Pending Expense 2500 HDFC, As-Of.</t>
  </si>
  <si>
    <t>Add pending expense.</t>
  </si>
  <si>
    <t>RC1 SUMIFS does not filter status — record actual vs expected. Desired: no change.</t>
  </si>
  <si>
    <t>Pending</t>
  </si>
  <si>
    <t>SCN-E</t>
  </si>
  <si>
    <t>Cancelled ignored</t>
  </si>
  <si>
    <t>Cancelled Expense 2500 HDFC, As-Of.</t>
  </si>
  <si>
    <t>Add cancelled expense.</t>
  </si>
  <si>
    <t>Desired: no change. RC1 SUMIFS may still include it.</t>
  </si>
  <si>
    <t>Cancelled</t>
  </si>
  <si>
    <t>SCN-F</t>
  </si>
  <si>
    <t>Reconciled counted</t>
  </si>
  <si>
    <t>Reconciled Income 1000 HDFC, As-Of.</t>
  </si>
  <si>
    <t>Add reconciled income.</t>
  </si>
  <si>
    <t>Income totals +1000.</t>
  </si>
  <si>
    <t>Reconciled</t>
  </si>
  <si>
    <t>SCN-G</t>
  </si>
  <si>
    <t>Goal contribution</t>
  </si>
  <si>
    <t>Expense 5000 Destination Type=Goal Destination=Emergency Fund.</t>
  </si>
  <si>
    <t>Add goal contribution.</t>
  </si>
  <si>
    <t>CM expenses +5000. Goal table saved amount is not auto-updated on this RC1 freeze.</t>
  </si>
  <si>
    <t>Emergency Fund</t>
  </si>
  <si>
    <t>SCN-H</t>
  </si>
  <si>
    <t>Credit card spend</t>
  </si>
  <si>
    <t>Expense 2000 from ICICI Credit Card, Shopping, Completed, As-Of.</t>
  </si>
  <si>
    <t>Add CC spend.</t>
  </si>
  <si>
    <t>CM expenses +2000.</t>
  </si>
  <si>
    <t>ICICI Credit Card</t>
  </si>
  <si>
    <t>SCN-I</t>
  </si>
  <si>
    <t>Credit card payment</t>
  </si>
  <si>
    <t>Transfer 2000 HDFC Salary → ICICI Credit Card.</t>
  </si>
  <si>
    <t>Add CC payment transfer.</t>
  </si>
  <si>
    <t>Income/expense 0 change.</t>
  </si>
  <si>
    <t>SCN-J</t>
  </si>
  <si>
    <t>Asset purchase</t>
  </si>
  <si>
    <t>Expense 15000 Destination Type=Asset Destination=Gold.</t>
  </si>
  <si>
    <t>Add asset purchase expense.</t>
  </si>
  <si>
    <t>CM expenses +15000. Asset current value is not auto-updated.</t>
  </si>
  <si>
    <t>Gold</t>
  </si>
  <si>
    <t>SCN-K</t>
  </si>
  <si>
    <t>BUG-003 latest date vs row order</t>
  </si>
  <si>
    <t>Baseline already has TXN-000090 30-Sep above TXN-000010 01-Jan.</t>
  </si>
  <si>
    <t>Do not add rows. Inspect order.</t>
  </si>
  <si>
    <t>Confirm row 2 date is 30-Sep-2026 and row 3 is 01-Jan-2026.</t>
  </si>
  <si>
    <t>RC1 has no Last Transaction Date engine cell. Record N/A unless Account Engine is added later.</t>
  </si>
  <si>
    <t>BUG003</t>
  </si>
  <si>
    <t>SCN-L</t>
  </si>
  <si>
    <t>Pending latest ignored</t>
  </si>
  <si>
    <t>Pending 25-Sep already in fixture.</t>
  </si>
  <si>
    <t>Optional: add another pending dated after last completed.</t>
  </si>
  <si>
    <t>Inspect pending row.</t>
  </si>
  <si>
    <t>Desired: pending does not become last completed date. No LAST cell on this RC1 freeze.</t>
  </si>
  <si>
    <t>Delete extra pending if added.</t>
  </si>
  <si>
    <t>SCN-M</t>
  </si>
  <si>
    <t>Cancelled latest ignored</t>
  </si>
  <si>
    <t>Cancelled 22-Sep already in fixture.</t>
  </si>
  <si>
    <t>Optional extra cancelled after as-of.</t>
  </si>
  <si>
    <t>Inspect cancelled row.</t>
  </si>
  <si>
    <t>Desired: cancelled ignored for last date. No LAST cell on this RC1 freeze.</t>
  </si>
  <si>
    <t>Delete extra row.</t>
  </si>
  <si>
    <t>SCN-N</t>
  </si>
  <si>
    <t>Inbound transfer dest account</t>
  </si>
  <si>
    <t>Completed Transfer 2500 SBI Savings → HDFC Salary.</t>
  </si>
  <si>
    <t>Add inbound transfer.</t>
  </si>
  <si>
    <t>Income/expense 0. Dest account should increase when Account Engine exists.</t>
  </si>
  <si>
    <t>SCN-O</t>
  </si>
  <si>
    <t>Outbound transfer source account</t>
  </si>
  <si>
    <t>Completed Transfer 2500 HDFC Salary → SBI Savings.</t>
  </si>
  <si>
    <t>Add outbound transfer.</t>
  </si>
  <si>
    <t>Income/expense 0. Source account should decrease when Account Engine exists.</t>
  </si>
  <si>
    <t>SCN-P</t>
  </si>
  <si>
    <t>Mixed statuses + row order</t>
  </si>
  <si>
    <t>Use existing fixture plus one completed, one pending, one cancelled.</t>
  </si>
  <si>
    <t>Mix dates and row positions.</t>
  </si>
  <si>
    <t>Add three rows then inspect.</t>
  </si>
  <si>
    <t>Completed affects income/expense; pending/cancelled desired ignored; row order must not change last date.</t>
  </si>
  <si>
    <t>Delete the three rows.</t>
  </si>
  <si>
    <t>Metric ID</t>
  </si>
  <si>
    <t>Baseline</t>
  </si>
  <si>
    <t>QA-RC1</t>
  </si>
  <si>
    <t>Difference</t>
  </si>
  <si>
    <t>Expected Difference</t>
  </si>
  <si>
    <t>PASS / FAIL</t>
  </si>
  <si>
    <t>Metric</t>
  </si>
  <si>
    <t>Section</t>
  </si>
  <si>
    <t>Cell</t>
  </si>
  <si>
    <t>Sheet</t>
  </si>
  <si>
    <t>ACC_TOTAL_BAL</t>
  </si>
  <si>
    <t>Total Active Account Balance</t>
  </si>
  <si>
    <t>Accounts Summary</t>
  </si>
  <si>
    <t>B4</t>
  </si>
  <si>
    <t>Business Engine</t>
  </si>
  <si>
    <t>ACC_ACTIVE_N</t>
  </si>
  <si>
    <t>Number of Active Accounts</t>
  </si>
  <si>
    <t>B5</t>
  </si>
  <si>
    <t>ACC_CASH</t>
  </si>
  <si>
    <t>Cash Accounts Total</t>
  </si>
  <si>
    <t>B6</t>
  </si>
  <si>
    <t>ACC_SAVINGS</t>
  </si>
  <si>
    <t>Savings Accounts Total</t>
  </si>
  <si>
    <t>B7</t>
  </si>
  <si>
    <t>ACC_INVEST</t>
  </si>
  <si>
    <t>Investment Accounts Total</t>
  </si>
  <si>
    <t>B8</t>
  </si>
  <si>
    <t>ACC_CREDIT</t>
  </si>
  <si>
    <t>Credit Accounts Total</t>
  </si>
  <si>
    <t>B9</t>
  </si>
  <si>
    <t>INC_SALARY</t>
  </si>
  <si>
    <t>Monthly Salary Income</t>
  </si>
  <si>
    <t>Income Summary</t>
  </si>
  <si>
    <t>B12</t>
  </si>
  <si>
    <t>INC_BIZ</t>
  </si>
  <si>
    <t>Monthly Business Income</t>
  </si>
  <si>
    <t>B13</t>
  </si>
  <si>
    <t>INC_FREE</t>
  </si>
  <si>
    <t>Monthly Freelance Income</t>
  </si>
  <si>
    <t>B14</t>
  </si>
  <si>
    <t>INC_INV</t>
  </si>
  <si>
    <t>Monthly Investment Income</t>
  </si>
  <si>
    <t>B15</t>
  </si>
  <si>
    <t>INC_MONTH</t>
  </si>
  <si>
    <t>Total Monthly Income</t>
  </si>
  <si>
    <t>B16</t>
  </si>
  <si>
    <t>INC_OTHER</t>
  </si>
  <si>
    <t>Monthly Other Income</t>
  </si>
  <si>
    <t>B17</t>
  </si>
  <si>
    <t>INC_ANNUAL</t>
  </si>
  <si>
    <t>Total Annual Income</t>
  </si>
  <si>
    <t>B18</t>
  </si>
  <si>
    <t>INC_SRC_N</t>
  </si>
  <si>
    <t>Active Income Source Count</t>
  </si>
  <si>
    <t>B19</t>
  </si>
  <si>
    <t>EXP_CM</t>
  </si>
  <si>
    <t>Current Month Expenses</t>
  </si>
  <si>
    <t>Expense Summary</t>
  </si>
  <si>
    <t>B22</t>
  </si>
  <si>
    <t>EXP_PM</t>
  </si>
  <si>
    <t>Previous Month Expenses</t>
  </si>
  <si>
    <t>B23</t>
  </si>
  <si>
    <t>EXP_YTD</t>
  </si>
  <si>
    <t>Year-to-Date Expenses</t>
  </si>
  <si>
    <t>B24</t>
  </si>
  <si>
    <t>EXP_N</t>
  </si>
  <si>
    <t>Expense Transaction Count</t>
  </si>
  <si>
    <t>B25</t>
  </si>
  <si>
    <t>SAV_INC</t>
  </si>
  <si>
    <t>Current Month Income</t>
  </si>
  <si>
    <t>Savings Summary</t>
  </si>
  <si>
    <t>B28</t>
  </si>
  <si>
    <t>SAV_AMT</t>
  </si>
  <si>
    <t>Current Month Savings</t>
  </si>
  <si>
    <t>B29</t>
  </si>
  <si>
    <t>SAV_RATE</t>
  </si>
  <si>
    <t>Savings Rate (%)</t>
  </si>
  <si>
    <t>B30</t>
  </si>
  <si>
    <t>SAV_AVG</t>
  </si>
  <si>
    <t>Average Monthly Savings</t>
  </si>
  <si>
    <t>B31</t>
  </si>
  <si>
    <t>AST_PUR</t>
  </si>
  <si>
    <t>Total Purchase Value</t>
  </si>
  <si>
    <t>Asset Summary</t>
  </si>
  <si>
    <t>B34</t>
  </si>
  <si>
    <t>AST_CUR</t>
  </si>
  <si>
    <t>Total Current Value</t>
  </si>
  <si>
    <t>B35</t>
  </si>
  <si>
    <t>AST_APP</t>
  </si>
  <si>
    <t>Total Appreciation Amount</t>
  </si>
  <si>
    <t>B36</t>
  </si>
  <si>
    <t>AST_PCT</t>
  </si>
  <si>
    <t>Weighted Appreciation %</t>
  </si>
  <si>
    <t>B37</t>
  </si>
  <si>
    <t>AST_N</t>
  </si>
  <si>
    <t>Active Asset Count</t>
  </si>
  <si>
    <t>B38</t>
  </si>
  <si>
    <t>LIA_ORIG</t>
  </si>
  <si>
    <t>Total Original Liability</t>
  </si>
  <si>
    <t>Liability Summary</t>
  </si>
  <si>
    <t>B41</t>
  </si>
  <si>
    <t>LIA_OUT</t>
  </si>
  <si>
    <t>Total Outstanding Balance</t>
  </si>
  <si>
    <t>B42</t>
  </si>
  <si>
    <t>LIA_EMI</t>
  </si>
  <si>
    <t>Total Monthly EMI</t>
  </si>
  <si>
    <t>B43</t>
  </si>
  <si>
    <t>LIA_INT</t>
  </si>
  <si>
    <t>Weighted Interest Rate</t>
  </si>
  <si>
    <t>B44</t>
  </si>
  <si>
    <t>LIA_N</t>
  </si>
  <si>
    <t>Active Liability Count</t>
  </si>
  <si>
    <t>B45</t>
  </si>
  <si>
    <t>NW_TOTAL</t>
  </si>
  <si>
    <t>Net Worth</t>
  </si>
  <si>
    <t>B48</t>
  </si>
  <si>
    <t>NW_LIQ</t>
  </si>
  <si>
    <t>Liquid Net Worth</t>
  </si>
  <si>
    <t>B49</t>
  </si>
  <si>
    <t>NW_INV</t>
  </si>
  <si>
    <t>Invested Net Worth</t>
  </si>
  <si>
    <t>B50</t>
  </si>
  <si>
    <t>GOAL_TGT</t>
  </si>
  <si>
    <t>Total Goal Target Amount</t>
  </si>
  <si>
    <t>Goal Summary</t>
  </si>
  <si>
    <t>B53</t>
  </si>
  <si>
    <t>GOAL_SAV</t>
  </si>
  <si>
    <t>Total Saved Toward Goals</t>
  </si>
  <si>
    <t>B54</t>
  </si>
  <si>
    <t>GOAL_REM</t>
  </si>
  <si>
    <t>Remaining Goal Amount</t>
  </si>
  <si>
    <t>B55</t>
  </si>
  <si>
    <t>GOAL_ACT</t>
  </si>
  <si>
    <t>Active Goal Count</t>
  </si>
  <si>
    <t>B56</t>
  </si>
  <si>
    <t>GOAL_DONE</t>
  </si>
  <si>
    <t>Completed Goal Count</t>
  </si>
  <si>
    <t>B57</t>
  </si>
  <si>
    <t>GOAL_PCT</t>
  </si>
  <si>
    <t>Goal Completion %</t>
  </si>
  <si>
    <t>B58</t>
  </si>
  <si>
    <t>HLTH_INC</t>
  </si>
  <si>
    <t>Financial Health</t>
  </si>
  <si>
    <t>B61</t>
  </si>
  <si>
    <t>HLTH_EXP</t>
  </si>
  <si>
    <t>Expenses</t>
  </si>
  <si>
    <t>B62</t>
  </si>
  <si>
    <t>HLTH_SAV</t>
  </si>
  <si>
    <t>Savings</t>
  </si>
  <si>
    <t>B63</t>
  </si>
  <si>
    <t>HLTH_RATE</t>
  </si>
  <si>
    <t>Savings Rate</t>
  </si>
  <si>
    <t>B64</t>
  </si>
  <si>
    <t>HLTH_NW</t>
  </si>
  <si>
    <t>B65</t>
  </si>
  <si>
    <t>HLTH_EMI</t>
  </si>
  <si>
    <t>EMI Ratio</t>
  </si>
  <si>
    <t>B66</t>
  </si>
  <si>
    <t>HLTH_ALLOC</t>
  </si>
  <si>
    <t>Asset Allocation</t>
  </si>
  <si>
    <t>B67</t>
  </si>
  <si>
    <t>HLTH_DEBT</t>
  </si>
  <si>
    <t>Debt Ratio</t>
  </si>
  <si>
    <t>B68</t>
  </si>
  <si>
    <t>As-Of Date</t>
  </si>
  <si>
    <t>Formula Integrity</t>
  </si>
  <si>
    <t>B1</t>
  </si>
  <si>
    <t>AE_ASOF</t>
  </si>
  <si>
    <t>Analysis Engine</t>
  </si>
  <si>
    <t>B2</t>
  </si>
  <si>
    <t>AE_INC_CM</t>
  </si>
  <si>
    <t>Total Income CM</t>
  </si>
  <si>
    <t>AE_SAL_CM</t>
  </si>
  <si>
    <t>Salary CM</t>
  </si>
  <si>
    <t>AE_BIZ_CM</t>
  </si>
  <si>
    <t>Business Income CM</t>
  </si>
  <si>
    <t>AE_FREE_CM</t>
  </si>
  <si>
    <t>Freelance CM</t>
  </si>
  <si>
    <t>AE_INV_CM</t>
  </si>
  <si>
    <t>Investment CM</t>
  </si>
  <si>
    <t>B10</t>
  </si>
  <si>
    <t>AE_OTH_CM</t>
  </si>
  <si>
    <t>Other Income CM</t>
  </si>
  <si>
    <t>B11</t>
  </si>
  <si>
    <t>AE_INC_PM</t>
  </si>
  <si>
    <t>Total Income PM</t>
  </si>
  <si>
    <t>C6</t>
  </si>
  <si>
    <t>AE_INC_YTD</t>
  </si>
  <si>
    <t>Total Income YTD</t>
  </si>
  <si>
    <t>D6</t>
  </si>
  <si>
    <t>AE_EXP_CM</t>
  </si>
  <si>
    <t>Total Expenses CM</t>
  </si>
  <si>
    <t>AE_EXP_PM</t>
  </si>
  <si>
    <t>Total Expenses PM</t>
  </si>
  <si>
    <t>C14</t>
  </si>
  <si>
    <t>AE_EXP_YTD</t>
  </si>
  <si>
    <t>Total Expenses YTD</t>
  </si>
  <si>
    <t>D14</t>
  </si>
  <si>
    <t>AE_CF_INC</t>
  </si>
  <si>
    <t>Cash Flow Income</t>
  </si>
  <si>
    <t>AE_CF_EXP</t>
  </si>
  <si>
    <t>Cash Flow Expenses</t>
  </si>
  <si>
    <t>AE_CF_SAV</t>
  </si>
  <si>
    <t>Cash Flow Savings</t>
  </si>
  <si>
    <t>B46</t>
  </si>
  <si>
    <t>AE_CF_RATE</t>
  </si>
  <si>
    <t>Cash Flow Savings Rate</t>
  </si>
  <si>
    <t>B47</t>
  </si>
  <si>
    <t>AE_CF_PMEXP</t>
  </si>
  <si>
    <t>AE_CF_MOM</t>
  </si>
  <si>
    <t>MoM Expense Change</t>
  </si>
  <si>
    <t>AE_AST_PUR</t>
  </si>
  <si>
    <t>Asset Purchase Value</t>
  </si>
  <si>
    <t>AE_AST_CUR</t>
  </si>
  <si>
    <t>Asset Current Value</t>
  </si>
  <si>
    <t>AE_AST_APP</t>
  </si>
  <si>
    <t>Asset Appreciation</t>
  </si>
  <si>
    <t>AE_AST_PCT</t>
  </si>
  <si>
    <t>Asset Appreciation %</t>
  </si>
  <si>
    <t>AE_AST_N</t>
  </si>
  <si>
    <t>AE_LIA_ORIG</t>
  </si>
  <si>
    <t>B74</t>
  </si>
  <si>
    <t>AE_LIA_OUT</t>
  </si>
  <si>
    <t>Outstanding Balance</t>
  </si>
  <si>
    <t>B75</t>
  </si>
  <si>
    <t>AE_LIA_EMI</t>
  </si>
  <si>
    <t>B76</t>
  </si>
  <si>
    <t>AE_LIA_INT</t>
  </si>
  <si>
    <t>B77</t>
  </si>
  <si>
    <t>AE_LIA_N</t>
  </si>
  <si>
    <t>B79</t>
  </si>
  <si>
    <t>AE_EMI_RATIO</t>
  </si>
  <si>
    <t>B80</t>
  </si>
  <si>
    <t>AE_DEBT</t>
  </si>
  <si>
    <t>B81</t>
  </si>
  <si>
    <t>AE_GOAL_OVER</t>
  </si>
  <si>
    <t>Overdue Goal Count</t>
  </si>
  <si>
    <t>B107</t>
  </si>
  <si>
    <t>AE_GOAL_PCT</t>
  </si>
  <si>
    <t>B108</t>
  </si>
  <si>
    <t>AE_GOAL_N</t>
  </si>
  <si>
    <t>B109</t>
  </si>
  <si>
    <t>AE_JAN_INC</t>
  </si>
  <si>
    <t>Jan Income</t>
  </si>
  <si>
    <t>AE_AUG_INC</t>
  </si>
  <si>
    <t>Aug Income</t>
  </si>
  <si>
    <t>AE_SEP_INC</t>
  </si>
  <si>
    <t>Sep Income</t>
  </si>
  <si>
    <t>AE_AUG_EXP</t>
  </si>
  <si>
    <t>Aug Expenses</t>
  </si>
  <si>
    <t>C37</t>
  </si>
  <si>
    <t>AE_SEP_EXP</t>
  </si>
  <si>
    <t>Sep Expenses</t>
  </si>
  <si>
    <t>C38</t>
  </si>
  <si>
    <t>AE_SEP_SAV</t>
  </si>
  <si>
    <t>Sep Savings</t>
  </si>
  <si>
    <t>D38</t>
  </si>
  <si>
    <t>AE_CAT1</t>
  </si>
  <si>
    <t>Category 1 CM</t>
  </si>
  <si>
    <t>AE_CAT2</t>
  </si>
  <si>
    <t>Category 2 CM</t>
  </si>
  <si>
    <t>AE_CAT3</t>
  </si>
  <si>
    <t>Category 3 CM</t>
  </si>
  <si>
    <t>AE_SAL_YTD</t>
  </si>
  <si>
    <t>Salary YTD</t>
  </si>
  <si>
    <t>D7</t>
  </si>
  <si>
    <t>AE_FREE_YTD</t>
  </si>
  <si>
    <t>Freelance YTD</t>
  </si>
  <si>
    <t>D9</t>
  </si>
  <si>
    <t>AE_MOM_PCT</t>
  </si>
  <si>
    <t>MoM Expense Change %</t>
  </si>
  <si>
    <t>Formula (QA-RC1 FORMULATEXT)</t>
  </si>
  <si>
    <t>Value Baseline</t>
  </si>
  <si>
    <t>Value QA-RC1</t>
  </si>
  <si>
    <t>Changed?</t>
  </si>
  <si>
    <t>Expected to change?</t>
  </si>
  <si>
    <t>Business Engine Section</t>
  </si>
  <si>
    <t>Formula Range</t>
  </si>
  <si>
    <t>Cells</t>
  </si>
  <si>
    <t>Tested By Scenario IDs</t>
  </si>
  <si>
    <t>Coverage Status</t>
  </si>
  <si>
    <t>B4:B9</t>
  </si>
  <si>
    <t>SCN-BASE, SCN-C, SCN-I, SCN-N, SCN-O</t>
  </si>
  <si>
    <t>BASELINE ONLY</t>
  </si>
  <si>
    <t>Account Engine H2/I2</t>
  </si>
  <si>
    <t>not in RC1 freeze</t>
  </si>
  <si>
    <t>SCN-K, SCN-L, SCN-M — no LAST cell on engine-foundation RC1</t>
  </si>
  <si>
    <t>N/A — RC1</t>
  </si>
  <si>
    <t>B12:B19</t>
  </si>
  <si>
    <t>SCN-BASE, SCN-A, SCN-F, SCN-P</t>
  </si>
  <si>
    <t>STRESSED</t>
  </si>
  <si>
    <t>B22:B25</t>
  </si>
  <si>
    <t>SCN-BASE, SCN-B, SCN-D, SCN-E, SCN-G, SCN-H, SCN-J (B23 must NOT change)</t>
  </si>
  <si>
    <t>B28:B31</t>
  </si>
  <si>
    <t>SCN-BASE, SCN-A, SCN-B</t>
  </si>
  <si>
    <t>B34:B38</t>
  </si>
  <si>
    <t>SCN-BASE, SCN-J (value table not auto)</t>
  </si>
  <si>
    <t>B41:B45</t>
  </si>
  <si>
    <t>B48:B50</t>
  </si>
  <si>
    <t>B53:B58</t>
  </si>
  <si>
    <t>SCN-BASE, SCN-G (saved amount not auto)</t>
  </si>
  <si>
    <t>B61:B68</t>
  </si>
  <si>
    <t>B2:B109</t>
  </si>
  <si>
    <t>Follows Business Engine via links</t>
  </si>
  <si>
    <t>Compatibility Gate</t>
  </si>
  <si>
    <t>Platform</t>
  </si>
  <si>
    <t>Check</t>
  </si>
  <si>
    <t>Desktop</t>
  </si>
  <si>
    <t>Excel Desktop opens</t>
  </si>
  <si>
    <t>WAIT</t>
  </si>
  <si>
    <t>Excel Web</t>
  </si>
  <si>
    <t>Excel Web opens</t>
  </si>
  <si>
    <t>Mobile</t>
  </si>
  <si>
    <t>Excel Mobile opens</t>
  </si>
  <si>
    <t>No compatibility popup</t>
  </si>
  <si>
    <t>Business Engine visible</t>
  </si>
  <si>
    <t>Analysis Engine visible</t>
  </si>
  <si>
    <t>Workbook links working</t>
  </si>
  <si>
    <t>All scenarios passed</t>
  </si>
  <si>
    <t>Overall Compatibility</t>
  </si>
  <si>
    <t>Formula Inventory — QA-RC1 FORMULATEXT</t>
  </si>
  <si>
    <t>FORMULATEXT</t>
  </si>
  <si>
    <t>Contains MAXIFS?</t>
  </si>
  <si>
    <t>Family flags</t>
  </si>
  <si>
    <t>Family</t>
  </si>
  <si>
    <t>Count</t>
  </si>
  <si>
    <t>IF</t>
  </si>
  <si>
    <t>IFERROR</t>
  </si>
  <si>
    <t>SUMIFS</t>
  </si>
  <si>
    <t>COUNTIFS</t>
  </si>
  <si>
    <t>INDEX</t>
  </si>
  <si>
    <t>MATCH</t>
  </si>
  <si>
    <t>MAX</t>
  </si>
  <si>
    <t>LOOKUP</t>
  </si>
  <si>
    <t>AGGREGATE</t>
  </si>
  <si>
    <t>MAXIFS</t>
  </si>
  <si>
    <t>SUMPRODUCT</t>
  </si>
  <si>
    <t>MAXIFS GATE</t>
  </si>
  <si>
    <t>Expected After</t>
  </si>
  <si>
    <t>Actual After</t>
  </si>
  <si>
    <t>QA-RC1 (live)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</si>
</sst>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-mmm-yyyy hh:mm"/>
    <numFmt numFmtId="165" formatCode="dd-mmm-yyyy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</font>
    <font>
      <b/>
    </font>
    <font>
      <b/>
      <color rgb="FFFFFFFF"/>
      <sz val="14"/>
    </font>
    <font>
      <b/>
      <color rgb="FFFFFFFF"/>
      <sz val="11"/>
      <name val="Calibri"/>
    </font>
    <font>
      <b/>
      <color rgb="FFFFFFFF"/>
      <sz val="16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7F4EE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/>
    <xf numFmtId="0" fontId="2" fillId="0" borderId="0" xfId="0" applyFont="1"/>
    <xf numFmtId="0" fontId="0" fillId="3" borderId="0" xfId="0" applyFill="1"/>
    <xf numFmtId="0" fontId="0" fillId="4" borderId="0" xfId="0" applyFill="1"/>
    <xf numFmtId="164" fontId="0" fillId="3" borderId="0" xfId="0" applyNumberFormat="1" applyFill="1"/>
    <xf numFmtId="0" fontId="3" fillId="3" borderId="0" xfId="0" applyFont="1" applyFill="1"/>
    <xf numFmtId="0" fontId="0" fillId="0" borderId="0" xfId="0" applyAlignment="1">
      <alignment vertical="top" wrapText="1"/>
    </xf>
    <xf numFmtId="0" fontId="4" fillId="2" borderId="0" xfId="0" applyFont="1" applyFill="1" applyAlignment="1">
      <alignment vertical="center" wrapText="1"/>
    </xf>
    <xf numFmtId="0" fontId="0" fillId="4" borderId="0" xfId="0" applyFill="1" applyAlignment="1">
      <alignment vertical="top" wrapText="1"/>
    </xf>
    <xf numFmtId="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5" fillId="2" borderId="0" xfId="0" applyFont="1" applyFill="1"/>
  </cellXfs>
  <cellStyles count="1">
    <cellStyle name="Normal" xfId="0" builtinId="0"/>
  </cellStyles>
  <dxfs count="43">
    <dxf>
      <font>
        <b/>
        <color rgb="FFFFFFFF"/>
      </font>
      <fill>
        <patternFill patternType="solid">
          <bgColor rgb="FF1B7A4E"/>
        </patternFill>
      </fill>
    </dxf>
    <dxf>
      <font>
        <b/>
        <color rgb="FFFFFFFF"/>
      </font>
      <fill>
        <patternFill patternType="solid">
          <bgColor rgb="FFC0392B"/>
        </patternFill>
      </fill>
    </dxf>
    <dxf>
      <font>
        <b/>
        <color rgb="FF1A1A1A"/>
      </font>
      <fill>
        <patternFill patternType="solid">
          <bgColor rgb="FFC9A227"/>
        </patternFill>
      </fill>
    </dxf>
    <dxf>
      <font>
        <b/>
        <color rgb="FFFFFFFF"/>
      </font>
      <fill>
        <patternFill patternType="solid">
          <bgColor rgb="FFC0392B"/>
        </patternFill>
      </fill>
    </dxf>
    <dxf>
      <font>
        <b/>
        <color rgb="FFFFFFFF"/>
      </font>
      <fill>
        <patternFill patternType="solid">
          <bgColor rgb="FF1B7A4E"/>
        </patternFill>
      </fill>
    </dxf>
    <dxf>
      <font>
        <b/>
        <color rgb="FFFFFFFF"/>
      </font>
      <fill>
        <patternFill patternType="solid">
          <bgColor rgb="FF1B7A4E"/>
        </patternFill>
      </fill>
    </dxf>
    <dxf>
      <font>
        <b/>
        <color rgb="FFFFFFFF"/>
      </font>
      <fill>
        <patternFill patternType="solid">
          <bgColor rgb="FFC0392B"/>
        </patternFill>
      </fill>
    </dxf>
    <dxf>
      <font>
        <b/>
        <color rgb="FF1A1A1A"/>
      </font>
      <fill>
        <patternFill patternType="solid">
          <bgColor rgb="FFC9A227"/>
        </patternFill>
      </fill>
    </dxf>
    <dxf>
      <font>
        <b/>
        <color rgb="FFFFFFFF"/>
      </font>
      <fill>
        <patternFill patternType="solid">
          <bgColor rgb="FFC0392B"/>
        </patternFill>
      </fill>
    </dxf>
    <dxf>
      <font>
        <b/>
        <color rgb="FFFFFFFF"/>
      </font>
      <fill>
        <patternFill patternType="solid">
          <bgColor rgb="FF1B7A4E"/>
        </patternFill>
      </fill>
    </dxf>
    <dxf>
      <font>
        <b/>
        <color rgb="FFFFFFFF"/>
      </font>
      <fill>
        <patternFill patternType="solid">
          <bgColor rgb="FF1B7A4E"/>
        </patternFill>
      </fill>
    </dxf>
    <dxf>
      <font>
        <b/>
        <color rgb="FFFFFFFF"/>
      </font>
      <fill>
        <patternFill patternType="solid">
          <bgColor rgb="FFC0392B"/>
        </patternFill>
      </fill>
    </dxf>
    <dxf>
      <font>
        <b/>
        <color rgb="FF1A1A1A"/>
      </font>
      <fill>
        <patternFill patternType="solid">
          <bgColor rgb="FFC9A227"/>
        </patternFill>
      </fill>
    </dxf>
    <dxf>
      <font>
        <b/>
        <color rgb="FFFFFFFF"/>
      </font>
      <fill>
        <patternFill patternType="solid">
          <bgColor rgb="FFC0392B"/>
        </patternFill>
      </fill>
    </dxf>
    <dxf>
      <font>
        <b/>
        <color rgb="FFFFFFFF"/>
      </font>
      <fill>
        <patternFill patternType="solid">
          <bgColor rgb="FF1B7A4E"/>
        </patternFill>
      </fill>
    </dxf>
    <dxf>
      <font>
        <b/>
        <color rgb="FFFFFFFF"/>
      </font>
      <fill>
        <patternFill patternType="solid">
          <bgColor rgb="FF1B7A4E"/>
        </patternFill>
      </fill>
    </dxf>
    <dxf>
      <font>
        <b/>
        <color rgb="FFFFFFFF"/>
      </font>
      <fill>
        <patternFill patternType="solid">
          <bgColor rgb="FFC0392B"/>
        </patternFill>
      </fill>
    </dxf>
    <dxf>
      <font>
        <b/>
        <color rgb="FF1A1A1A"/>
      </font>
      <fill>
        <patternFill patternType="solid">
          <bgColor rgb="FFC9A227"/>
        </patternFill>
      </fill>
    </dxf>
    <dxf>
      <font>
        <b/>
        <color rgb="FFFFFFFF"/>
      </font>
      <fill>
        <patternFill patternType="solid">
          <bgColor rgb="FFC0392B"/>
        </patternFill>
      </fill>
    </dxf>
    <dxf>
      <font>
        <b/>
        <color rgb="FFFFFFFF"/>
      </font>
      <fill>
        <patternFill patternType="solid">
          <bgColor rgb="FF1B7A4E"/>
        </patternFill>
      </fill>
    </dxf>
    <dxf>
      <font>
        <b/>
        <color rgb="FFFFFFFF"/>
      </font>
      <fill>
        <patternFill patternType="solid">
          <bgColor rgb="FF1B7A4E"/>
        </patternFill>
      </fill>
    </dxf>
    <dxf>
      <font>
        <b/>
        <color rgb="FF1A1A1A"/>
      </font>
      <fill>
        <patternFill patternType="solid">
          <bgColor rgb="FFF4A261"/>
        </patternFill>
      </fill>
    </dxf>
    <dxf>
      <font>
        <b/>
        <color rgb="FF1A1A1A"/>
      </font>
      <fill>
        <patternFill patternType="solid">
          <bgColor rgb="FFEEF2F6"/>
        </patternFill>
      </fill>
    </dxf>
    <dxf>
      <font>
        <b/>
        <color rgb="FFFFFFFF"/>
      </font>
      <fill>
        <patternFill patternType="solid">
          <bgColor rgb="FF1B7A4E"/>
        </patternFill>
      </fill>
    </dxf>
    <dxf>
      <font>
        <b/>
        <color rgb="FFFFFFFF"/>
      </font>
      <fill>
        <patternFill patternType="solid">
          <bgColor rgb="FFC0392B"/>
        </patternFill>
      </fill>
    </dxf>
    <dxf>
      <font>
        <b/>
        <color rgb="FF1A1A1A"/>
      </font>
      <fill>
        <patternFill patternType="solid">
          <bgColor rgb="FFC9A227"/>
        </patternFill>
      </fill>
    </dxf>
    <dxf>
      <font>
        <b/>
        <color rgb="FFFFFFFF"/>
      </font>
      <fill>
        <patternFill patternType="solid">
          <bgColor rgb="FFC0392B"/>
        </patternFill>
      </fill>
    </dxf>
    <dxf>
      <font>
        <b/>
        <color rgb="FFFFFFFF"/>
      </font>
      <fill>
        <patternFill patternType="solid">
          <bgColor rgb="FF1B7A4E"/>
        </patternFill>
      </fill>
    </dxf>
    <dxf>
      <font>
        <b/>
        <color rgb="FFFFFFFF"/>
      </font>
      <fill>
        <patternFill patternType="solid">
          <bgColor rgb="FF1B7A4E"/>
        </patternFill>
      </fill>
    </dxf>
    <dxf>
      <font>
        <b/>
        <color rgb="FFFFFFFF"/>
      </font>
      <fill>
        <patternFill patternType="solid">
          <bgColor rgb="FFC0392B"/>
        </patternFill>
      </fill>
    </dxf>
    <dxf>
      <font>
        <b/>
        <color rgb="FF1A1A1A"/>
      </font>
      <fill>
        <patternFill patternType="solid">
          <bgColor rgb="FFC9A227"/>
        </patternFill>
      </fill>
    </dxf>
    <dxf>
      <font>
        <b/>
        <color rgb="FFFFFFFF"/>
      </font>
      <fill>
        <patternFill patternType="solid">
          <bgColor rgb="FFC0392B"/>
        </patternFill>
      </fill>
    </dxf>
    <dxf>
      <font>
        <b/>
        <color rgb="FFFFFFFF"/>
      </font>
      <fill>
        <patternFill patternType="solid">
          <bgColor rgb="FF1B7A4E"/>
        </patternFill>
      </fill>
    </dxf>
    <dxf>
      <font>
        <b/>
        <color rgb="FFFFFFFF"/>
      </font>
      <fill>
        <patternFill patternType="solid">
          <bgColor rgb="FF1B7A4E"/>
        </patternFill>
      </fill>
    </dxf>
    <dxf>
      <font>
        <b/>
        <color rgb="FFFFFFFF"/>
      </font>
      <fill>
        <patternFill patternType="solid">
          <bgColor rgb="FFC0392B"/>
        </patternFill>
      </fill>
    </dxf>
    <dxf>
      <font>
        <b/>
        <color rgb="FF1A1A1A"/>
      </font>
      <fill>
        <patternFill patternType="solid">
          <bgColor rgb="FFC9A227"/>
        </patternFill>
      </fill>
    </dxf>
    <dxf>
      <font>
        <b/>
        <color rgb="FFFFFFFF"/>
      </font>
      <fill>
        <patternFill patternType="solid">
          <bgColor rgb="FFC0392B"/>
        </patternFill>
      </fill>
    </dxf>
    <dxf>
      <font>
        <b/>
        <color rgb="FFFFFFFF"/>
      </font>
      <fill>
        <patternFill patternType="solid">
          <bgColor rgb="FF1B7A4E"/>
        </patternFill>
      </fill>
    </dxf>
    <dxf>
      <font>
        <b/>
        <color rgb="FFFFFFFF"/>
      </font>
      <fill>
        <patternFill patternType="solid">
          <bgColor rgb="FF1B7A4E"/>
        </patternFill>
      </fill>
    </dxf>
    <dxf>
      <font>
        <b/>
        <color rgb="FFFFFFFF"/>
      </font>
      <fill>
        <patternFill patternType="solid">
          <bgColor rgb="FFC0392B"/>
        </patternFill>
      </fill>
    </dxf>
    <dxf>
      <font>
        <b/>
        <color rgb="FF1A1A1A"/>
      </font>
      <fill>
        <patternFill patternType="solid">
          <bgColor rgb="FFC9A227"/>
        </patternFill>
      </fill>
    </dxf>
    <dxf>
      <font>
        <b/>
        <color rgb="FFFFFFFF"/>
      </font>
      <fill>
        <patternFill patternType="solid">
          <bgColor rgb="FFC0392B"/>
        </patternFill>
      </fill>
    </dxf>
    <dxf>
      <font>
        <b/>
        <color rgb="FFFFFFFF"/>
      </font>
      <fill>
        <patternFill patternType="solid">
          <bgColor rgb="FF1B7A4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workbookViewId="0" showGridLines="0"/>
  </sheetViews>
  <sheetFormatPr defaultRowHeight="15" outlineLevelRow="0" outlineLevelCol="0" x14ac:dyDescent="55"/>
  <cols>
    <col min="1" max="1" width="40" customWidth="1"/>
    <col min="2" max="2" width="42" customWidth="1"/>
    <col min="3" max="3" width="20" customWidth="1"/>
    <col min="4" max="4" width="18" customWidth="1"/>
  </cols>
  <sheetData>
    <row r="1" spans="1:4" x14ac:dyDescent="0.25">
      <c r="A1" s="1" t="s">
        <v>0</v>
      </c>
      <c r="B1" s="1"/>
      <c r="C1" s="1"/>
      <c r="D1" s="1"/>
    </row>
    <row r="3" spans="1:4" x14ac:dyDescent="0.25">
      <c r="A3" s="2" t="s">
        <v>1</v>
      </c>
      <c r="B3" s="3" t="s">
        <v>2</v>
      </c>
      <c r="C3" s="3"/>
      <c r="D3" s="3"/>
    </row>
    <row r="4" spans="1:4" x14ac:dyDescent="0.25">
      <c r="A4" s="2" t="s">
        <v>3</v>
      </c>
      <c r="B4" s="3" t="s">
        <v>4</v>
      </c>
      <c r="C4" s="3"/>
      <c r="D4" s="3"/>
    </row>
    <row r="5" spans="1:4" x14ac:dyDescent="0.25">
      <c r="A5" s="2" t="s">
        <v>5</v>
      </c>
      <c r="B5" s="3" t="s">
        <v>6</v>
      </c>
      <c r="C5" s="3"/>
      <c r="D5" s="3"/>
    </row>
    <row r="6" spans="1:4" x14ac:dyDescent="0.25">
      <c r="A6" s="2" t="s">
        <v>7</v>
      </c>
      <c r="B6" s="3" t="s">
        <v>8</v>
      </c>
      <c r="C6" s="3"/>
      <c r="D6" s="3"/>
    </row>
    <row r="7" spans="1:4" x14ac:dyDescent="0.25">
      <c r="A7" s="2" t="s">
        <v>9</v>
      </c>
      <c r="B7" s="3" t="s">
        <v>10</v>
      </c>
      <c r="C7" s="3"/>
      <c r="D7" s="3"/>
    </row>
    <row r="8" spans="1:4" x14ac:dyDescent="0.25">
      <c r="A8" s="2" t="s">
        <v>11</v>
      </c>
      <c r="B8" s="4" t="s">
        <v>12</v>
      </c>
      <c r="C8" s="4"/>
      <c r="D8" s="4"/>
    </row>
    <row r="9" spans="1:4" x14ac:dyDescent="0.25">
      <c r="A9" s="2" t="s">
        <v>13</v>
      </c>
      <c r="B9" s="5">
        <f>NOW()</f>
      </c>
      <c r="C9" s="5"/>
      <c r="D9" s="5"/>
    </row>
    <row r="10" spans="1:4" x14ac:dyDescent="0.25">
      <c r="A10" s="2" t="s">
        <v>14</v>
      </c>
      <c r="B10" s="3">
        <f>COUNTIF('Difference Engine'!F:F,"PASS")</f>
      </c>
      <c r="C10" s="3"/>
      <c r="D10" s="3"/>
    </row>
    <row r="11" spans="1:4" x14ac:dyDescent="0.25">
      <c r="A11" s="2" t="s">
        <v>15</v>
      </c>
      <c r="B11" s="3">
        <f>COUNTIF('Difference Engine'!F:F,"FAIL")</f>
      </c>
      <c r="C11" s="3"/>
      <c r="D11" s="3"/>
    </row>
    <row r="12" spans="1:4" x14ac:dyDescent="0.25">
      <c r="A12" s="2" t="s">
        <v>16</v>
      </c>
      <c r="B12" s="3">
        <f>COUNTIF('Difference Engine'!F:F,"WAIT")</f>
      </c>
      <c r="C12" s="3"/>
      <c r="D12" s="3"/>
    </row>
    <row r="13" spans="1:4" x14ac:dyDescent="0.25">
      <c r="A13" s="2" t="s">
        <v>17</v>
      </c>
      <c r="B13" s="3">
        <f>'Formula Inventory'!G16</f>
      </c>
      <c r="C13" s="3"/>
      <c r="D13" s="3"/>
    </row>
    <row r="14" spans="1:4" x14ac:dyDescent="0.25">
      <c r="A14" s="2" t="s">
        <v>18</v>
      </c>
      <c r="B14" s="3">
        <f>'Compatibility Gate'!B13</f>
      </c>
      <c r="C14" s="3"/>
      <c r="D14" s="3"/>
    </row>
    <row r="15" spans="1:4" x14ac:dyDescent="0.25">
      <c r="A15" s="2" t="s">
        <v>19</v>
      </c>
      <c r="B15" s="6">
        <f>IF(OR(B11&gt;0,B12&gt;0,ISNUMBER(SEARCH("MAXIFS PRESENT",B13)),B14&lt;&gt;"PASS"),"DO NOT PROMOTE","READY FOR PROMOTION")</f>
      </c>
      <c r="C15" s="6"/>
      <c r="D15" s="6"/>
    </row>
    <row r="17" spans="1:4" x14ac:dyDescent="0.25">
      <c r="A17" s="7" t="s">
        <v>20</v>
      </c>
      <c r="B17" s="7"/>
      <c r="C17" s="7"/>
      <c r="D17" s="7"/>
    </row>
    <row r="18" spans="1:4" x14ac:dyDescent="0.25">
      <c r="A18" s="7"/>
      <c r="B18" s="7"/>
      <c r="C18" s="7"/>
      <c r="D18" s="7"/>
    </row>
    <row r="19" spans="1:4" x14ac:dyDescent="0.25">
      <c r="A19" s="7"/>
      <c r="B19" s="7"/>
      <c r="C19" s="7"/>
      <c r="D19" s="7"/>
    </row>
    <row r="20" spans="1:4" x14ac:dyDescent="0.25">
      <c r="A20" s="7"/>
      <c r="B20" s="7"/>
      <c r="C20" s="7"/>
      <c r="D20" s="7"/>
    </row>
  </sheetData>
  <mergeCells count="15">
    <mergeCell ref="A1:D1"/>
    <mergeCell ref="B3:D3"/>
    <mergeCell ref="B4:D4"/>
    <mergeCell ref="B5:D5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A17:D20"/>
  </mergeCells>
  <conditionalFormatting sqref="B13:B15">
    <cfRule type="containsText" dxfId="0" priority="1">
      <formula>NOT(ISERROR(SEARCH("PASS",B13)))</formula>
    </cfRule>
    <cfRule type="containsText" dxfId="1" priority="2">
      <formula>NOT(ISERROR(SEARCH("FAIL",B13)))</formula>
    </cfRule>
    <cfRule type="containsText" dxfId="2" priority="3">
      <formula>NOT(ISERROR(SEARCH("WAIT",B13)))</formula>
    </cfRule>
    <cfRule type="containsText" dxfId="3" priority="4">
      <formula>NOT(ISERROR(SEARCH("DO NOT PROMOTE",B13)))</formula>
    </cfRule>
    <cfRule type="containsText" dxfId="4" priority="5">
      <formula>NOT(ISERROR(SEARCH("READY FOR PROMOTION",B13)))</formula>
    </cfRule>
  </conditionalFormatting>
  <dataValidations count="1">
    <dataValidation type="list" sqref="B8">
      <formula1>='Test Scenarios'!$A$2:$A$18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2" customWidth="1"/>
    <col min="3" max="3" width="28" customWidth="1"/>
    <col min="4" max="4" width="36" customWidth="1"/>
    <col min="5" max="5" width="28" customWidth="1"/>
    <col min="6" max="6" width="18" customWidth="1"/>
    <col min="7" max="7" width="40" customWidth="1"/>
    <col min="8" max="8" width="22" customWidth="1"/>
    <col min="9" max="9" width="10" customWidth="1"/>
    <col min="10" max="11" width="16" customWidth="1"/>
    <col min="12" max="16" width="12" customWidth="1"/>
  </cols>
  <sheetData>
    <row r="1" spans="1:16" x14ac:dyDescent="0.25">
      <c r="A1" s="8" t="s">
        <v>21</v>
      </c>
      <c r="B1" s="8" t="s">
        <v>22</v>
      </c>
      <c r="C1" s="8" t="s">
        <v>23</v>
      </c>
      <c r="D1" s="8" t="s">
        <v>24</v>
      </c>
      <c r="E1" s="8" t="s">
        <v>25</v>
      </c>
      <c r="F1" s="8" t="s">
        <v>26</v>
      </c>
      <c r="G1" s="8" t="s">
        <v>27</v>
      </c>
      <c r="H1" s="8" t="s">
        <v>28</v>
      </c>
      <c r="I1" s="8" t="s">
        <v>29</v>
      </c>
      <c r="J1" s="8" t="s">
        <v>30</v>
      </c>
      <c r="K1" s="8" t="s">
        <v>31</v>
      </c>
      <c r="L1" s="8" t="s">
        <v>32</v>
      </c>
      <c r="M1" s="8" t="s">
        <v>33</v>
      </c>
      <c r="N1" s="8" t="s">
        <v>34</v>
      </c>
      <c r="O1" s="8" t="s">
        <v>35</v>
      </c>
      <c r="P1" s="8" t="s">
        <v>36</v>
      </c>
    </row>
    <row r="2" ht="48" customHeight="1" spans="1:16" s="7" customFormat="1" x14ac:dyDescent="0.25">
      <c r="A2" s="7" t="s">
        <v>12</v>
      </c>
      <c r="B2" s="7" t="s">
        <v>37</v>
      </c>
      <c r="C2" s="7" t="s">
        <v>38</v>
      </c>
      <c r="D2" s="7" t="s">
        <v>39</v>
      </c>
      <c r="E2" s="7" t="s">
        <v>40</v>
      </c>
      <c r="F2" s="7" t="s">
        <v>41</v>
      </c>
      <c r="G2" s="7" t="s">
        <v>42</v>
      </c>
      <c r="H2" s="7" t="s">
        <v>43</v>
      </c>
      <c r="I2" s="7">
        <v>0</v>
      </c>
      <c r="J2" s="7" t="s">
        <v>44</v>
      </c>
      <c r="K2" s="7" t="s">
        <v>44</v>
      </c>
      <c r="L2" s="7" t="s">
        <v>44</v>
      </c>
      <c r="M2" s="7" t="s">
        <v>45</v>
      </c>
      <c r="N2" s="7" t="s">
        <v>46</v>
      </c>
      <c r="O2" s="9"/>
      <c r="P2" s="7">
        <f>IF(O2&lt;&gt;"Yes","",IF('QA Dashboard'!$B$8&lt;&gt;A2,"OTHER",IF('QA Dashboard'!$B$11&gt;0,"FAIL",IF('QA Dashboard'!$B$12&gt;0,"WAIT","PASS"))))</f>
      </c>
    </row>
    <row r="3" ht="48" customHeight="1" spans="1:16" s="7" customFormat="1" x14ac:dyDescent="0.25">
      <c r="A3" s="7" t="s">
        <v>47</v>
      </c>
      <c r="B3" s="7" t="s">
        <v>48</v>
      </c>
      <c r="C3" s="7" t="s">
        <v>49</v>
      </c>
      <c r="D3" s="7" t="s">
        <v>50</v>
      </c>
      <c r="E3" s="7" t="s">
        <v>51</v>
      </c>
      <c r="F3" s="7" t="s">
        <v>52</v>
      </c>
      <c r="G3" s="7" t="s">
        <v>53</v>
      </c>
      <c r="H3" s="7" t="s">
        <v>54</v>
      </c>
      <c r="I3" s="7">
        <v>3000</v>
      </c>
      <c r="J3" s="7" t="s">
        <v>55</v>
      </c>
      <c r="K3" s="7" t="s">
        <v>44</v>
      </c>
      <c r="L3" s="7" t="s">
        <v>56</v>
      </c>
      <c r="M3" s="7" t="s">
        <v>45</v>
      </c>
      <c r="N3" s="7" t="s">
        <v>46</v>
      </c>
      <c r="O3" s="9"/>
      <c r="P3" s="7">
        <f>IF(O3&lt;&gt;"Yes","",IF('QA Dashboard'!$B$8&lt;&gt;A3,"OTHER",IF('QA Dashboard'!$B$11&gt;0,"FAIL",IF('QA Dashboard'!$B$12&gt;0,"WAIT","PASS"))))</f>
      </c>
    </row>
    <row r="4" ht="48" customHeight="1" spans="1:16" s="7" customFormat="1" x14ac:dyDescent="0.25">
      <c r="A4" s="7" t="s">
        <v>57</v>
      </c>
      <c r="B4" s="7" t="s">
        <v>58</v>
      </c>
      <c r="C4" s="7" t="s">
        <v>59</v>
      </c>
      <c r="D4" s="7" t="s">
        <v>60</v>
      </c>
      <c r="E4" s="7" t="s">
        <v>61</v>
      </c>
      <c r="F4" s="7" t="s">
        <v>62</v>
      </c>
      <c r="G4" s="7" t="s">
        <v>63</v>
      </c>
      <c r="H4" s="7" t="s">
        <v>64</v>
      </c>
      <c r="I4" s="7">
        <v>2500</v>
      </c>
      <c r="J4" s="7" t="s">
        <v>55</v>
      </c>
      <c r="K4" s="7" t="s">
        <v>44</v>
      </c>
      <c r="L4" s="7" t="s">
        <v>65</v>
      </c>
      <c r="M4" s="7" t="s">
        <v>45</v>
      </c>
      <c r="N4" s="7" t="s">
        <v>46</v>
      </c>
      <c r="O4" s="9"/>
      <c r="P4" s="7">
        <f>IF(O4&lt;&gt;"Yes","",IF('QA Dashboard'!$B$8&lt;&gt;A4,"OTHER",IF('QA Dashboard'!$B$11&gt;0,"FAIL",IF('QA Dashboard'!$B$12&gt;0,"WAIT","PASS"))))</f>
      </c>
    </row>
    <row r="5" ht="48" customHeight="1" spans="1:16" s="7" customFormat="1" x14ac:dyDescent="0.25">
      <c r="A5" s="7" t="s">
        <v>66</v>
      </c>
      <c r="B5" s="7" t="s">
        <v>67</v>
      </c>
      <c r="C5" s="7" t="s">
        <v>59</v>
      </c>
      <c r="D5" s="7" t="s">
        <v>68</v>
      </c>
      <c r="E5" s="7" t="s">
        <v>69</v>
      </c>
      <c r="F5" s="7" t="s">
        <v>62</v>
      </c>
      <c r="G5" s="7" t="s">
        <v>70</v>
      </c>
      <c r="H5" s="7" t="s">
        <v>64</v>
      </c>
      <c r="I5" s="7">
        <v>1000</v>
      </c>
      <c r="J5" s="7" t="s">
        <v>55</v>
      </c>
      <c r="K5" s="7" t="s">
        <v>71</v>
      </c>
      <c r="L5" s="7" t="s">
        <v>72</v>
      </c>
      <c r="M5" s="7" t="s">
        <v>45</v>
      </c>
      <c r="N5" s="7" t="s">
        <v>46</v>
      </c>
      <c r="O5" s="9"/>
      <c r="P5" s="7">
        <f>IF(O5&lt;&gt;"Yes","",IF('QA Dashboard'!$B$8&lt;&gt;A5,"OTHER",IF('QA Dashboard'!$B$11&gt;0,"FAIL",IF('QA Dashboard'!$B$12&gt;0,"WAIT","PASS"))))</f>
      </c>
    </row>
    <row r="6" ht="48" customHeight="1" spans="1:16" s="7" customFormat="1" x14ac:dyDescent="0.25">
      <c r="A6" s="7" t="s">
        <v>73</v>
      </c>
      <c r="B6" s="7" t="s">
        <v>74</v>
      </c>
      <c r="C6" s="7" t="s">
        <v>59</v>
      </c>
      <c r="D6" s="7" t="s">
        <v>75</v>
      </c>
      <c r="E6" s="7" t="s">
        <v>76</v>
      </c>
      <c r="F6" s="7" t="s">
        <v>62</v>
      </c>
      <c r="G6" s="7" t="s">
        <v>77</v>
      </c>
      <c r="H6" s="7" t="s">
        <v>64</v>
      </c>
      <c r="I6" s="7">
        <v>2500</v>
      </c>
      <c r="J6" s="7" t="s">
        <v>55</v>
      </c>
      <c r="K6" s="7" t="s">
        <v>44</v>
      </c>
      <c r="L6" s="7" t="s">
        <v>65</v>
      </c>
      <c r="M6" s="7" t="s">
        <v>78</v>
      </c>
      <c r="N6" s="7" t="s">
        <v>46</v>
      </c>
      <c r="O6" s="9"/>
      <c r="P6" s="7">
        <f>IF(O6&lt;&gt;"Yes","",IF('QA Dashboard'!$B$8&lt;&gt;A6,"OTHER",IF('QA Dashboard'!$B$11&gt;0,"FAIL",IF('QA Dashboard'!$B$12&gt;0,"WAIT","PASS"))))</f>
      </c>
    </row>
    <row r="7" ht="48" customHeight="1" spans="1:16" s="7" customFormat="1" x14ac:dyDescent="0.25">
      <c r="A7" s="7" t="s">
        <v>79</v>
      </c>
      <c r="B7" s="7" t="s">
        <v>80</v>
      </c>
      <c r="C7" s="7" t="s">
        <v>59</v>
      </c>
      <c r="D7" s="7" t="s">
        <v>81</v>
      </c>
      <c r="E7" s="7" t="s">
        <v>82</v>
      </c>
      <c r="F7" s="7" t="s">
        <v>62</v>
      </c>
      <c r="G7" s="7" t="s">
        <v>83</v>
      </c>
      <c r="H7" s="7" t="s">
        <v>64</v>
      </c>
      <c r="I7" s="7">
        <v>2500</v>
      </c>
      <c r="J7" s="7" t="s">
        <v>55</v>
      </c>
      <c r="K7" s="7" t="s">
        <v>44</v>
      </c>
      <c r="L7" s="7" t="s">
        <v>65</v>
      </c>
      <c r="M7" s="7" t="s">
        <v>84</v>
      </c>
      <c r="N7" s="7" t="s">
        <v>46</v>
      </c>
      <c r="O7" s="9"/>
      <c r="P7" s="7">
        <f>IF(O7&lt;&gt;"Yes","",IF('QA Dashboard'!$B$8&lt;&gt;A7,"OTHER",IF('QA Dashboard'!$B$11&gt;0,"FAIL",IF('QA Dashboard'!$B$12&gt;0,"WAIT","PASS"))))</f>
      </c>
    </row>
    <row r="8" ht="48" customHeight="1" spans="1:16" s="7" customFormat="1" x14ac:dyDescent="0.25">
      <c r="A8" s="7" t="s">
        <v>85</v>
      </c>
      <c r="B8" s="7" t="s">
        <v>86</v>
      </c>
      <c r="C8" s="7" t="s">
        <v>59</v>
      </c>
      <c r="D8" s="7" t="s">
        <v>87</v>
      </c>
      <c r="E8" s="7" t="s">
        <v>88</v>
      </c>
      <c r="F8" s="7" t="s">
        <v>62</v>
      </c>
      <c r="G8" s="7" t="s">
        <v>89</v>
      </c>
      <c r="H8" s="7" t="s">
        <v>64</v>
      </c>
      <c r="I8" s="7">
        <v>1000</v>
      </c>
      <c r="J8" s="7" t="s">
        <v>55</v>
      </c>
      <c r="K8" s="7" t="s">
        <v>44</v>
      </c>
      <c r="L8" s="7" t="s">
        <v>56</v>
      </c>
      <c r="M8" s="7" t="s">
        <v>90</v>
      </c>
      <c r="N8" s="7" t="s">
        <v>46</v>
      </c>
      <c r="O8" s="9"/>
      <c r="P8" s="7">
        <f>IF(O8&lt;&gt;"Yes","",IF('QA Dashboard'!$B$8&lt;&gt;A8,"OTHER",IF('QA Dashboard'!$B$11&gt;0,"FAIL",IF('QA Dashboard'!$B$12&gt;0,"WAIT","PASS"))))</f>
      </c>
    </row>
    <row r="9" ht="48" customHeight="1" spans="1:16" s="7" customFormat="1" x14ac:dyDescent="0.25">
      <c r="A9" s="7" t="s">
        <v>91</v>
      </c>
      <c r="B9" s="7" t="s">
        <v>92</v>
      </c>
      <c r="C9" s="7" t="s">
        <v>59</v>
      </c>
      <c r="D9" s="7" t="s">
        <v>93</v>
      </c>
      <c r="E9" s="7" t="s">
        <v>94</v>
      </c>
      <c r="F9" s="7" t="s">
        <v>62</v>
      </c>
      <c r="G9" s="7" t="s">
        <v>95</v>
      </c>
      <c r="H9" s="7" t="s">
        <v>64</v>
      </c>
      <c r="I9" s="7">
        <v>5000</v>
      </c>
      <c r="J9" s="7" t="s">
        <v>55</v>
      </c>
      <c r="K9" s="7" t="s">
        <v>96</v>
      </c>
      <c r="L9" s="7" t="s">
        <v>65</v>
      </c>
      <c r="M9" s="7" t="s">
        <v>45</v>
      </c>
      <c r="N9" s="7" t="s">
        <v>46</v>
      </c>
      <c r="O9" s="9"/>
      <c r="P9" s="7">
        <f>IF(O9&lt;&gt;"Yes","",IF('QA Dashboard'!$B$8&lt;&gt;A9,"OTHER",IF('QA Dashboard'!$B$11&gt;0,"FAIL",IF('QA Dashboard'!$B$12&gt;0,"WAIT","PASS"))))</f>
      </c>
    </row>
    <row r="10" ht="48" customHeight="1" spans="1:16" s="7" customFormat="1" x14ac:dyDescent="0.25">
      <c r="A10" s="7" t="s">
        <v>97</v>
      </c>
      <c r="B10" s="7" t="s">
        <v>98</v>
      </c>
      <c r="C10" s="7" t="s">
        <v>59</v>
      </c>
      <c r="D10" s="7" t="s">
        <v>99</v>
      </c>
      <c r="E10" s="7" t="s">
        <v>100</v>
      </c>
      <c r="F10" s="7" t="s">
        <v>62</v>
      </c>
      <c r="G10" s="7" t="s">
        <v>101</v>
      </c>
      <c r="H10" s="7" t="s">
        <v>64</v>
      </c>
      <c r="I10" s="7">
        <v>2000</v>
      </c>
      <c r="J10" s="7" t="s">
        <v>102</v>
      </c>
      <c r="K10" s="7" t="s">
        <v>44</v>
      </c>
      <c r="L10" s="7" t="s">
        <v>65</v>
      </c>
      <c r="M10" s="7" t="s">
        <v>45</v>
      </c>
      <c r="N10" s="7" t="s">
        <v>46</v>
      </c>
      <c r="O10" s="9"/>
      <c r="P10" s="7">
        <f>IF(O10&lt;&gt;"Yes","",IF('QA Dashboard'!$B$8&lt;&gt;A10,"OTHER",IF('QA Dashboard'!$B$11&gt;0,"FAIL",IF('QA Dashboard'!$B$12&gt;0,"WAIT","PASS"))))</f>
      </c>
    </row>
    <row r="11" ht="48" customHeight="1" spans="1:16" s="7" customFormat="1" x14ac:dyDescent="0.25">
      <c r="A11" s="7" t="s">
        <v>103</v>
      </c>
      <c r="B11" s="7" t="s">
        <v>104</v>
      </c>
      <c r="C11" s="7" t="s">
        <v>59</v>
      </c>
      <c r="D11" s="7" t="s">
        <v>105</v>
      </c>
      <c r="E11" s="7" t="s">
        <v>106</v>
      </c>
      <c r="F11" s="7" t="s">
        <v>62</v>
      </c>
      <c r="G11" s="7" t="s">
        <v>107</v>
      </c>
      <c r="H11" s="7" t="s">
        <v>64</v>
      </c>
      <c r="I11" s="7">
        <v>2000</v>
      </c>
      <c r="J11" s="7" t="s">
        <v>55</v>
      </c>
      <c r="K11" s="7" t="s">
        <v>102</v>
      </c>
      <c r="L11" s="7" t="s">
        <v>72</v>
      </c>
      <c r="M11" s="7" t="s">
        <v>45</v>
      </c>
      <c r="N11" s="7" t="s">
        <v>46</v>
      </c>
      <c r="O11" s="9"/>
      <c r="P11" s="7">
        <f>IF(O11&lt;&gt;"Yes","",IF('QA Dashboard'!$B$8&lt;&gt;A11,"OTHER",IF('QA Dashboard'!$B$11&gt;0,"FAIL",IF('QA Dashboard'!$B$12&gt;0,"WAIT","PASS"))))</f>
      </c>
    </row>
    <row r="12" ht="48" customHeight="1" spans="1:16" s="7" customFormat="1" x14ac:dyDescent="0.25">
      <c r="A12" s="7" t="s">
        <v>108</v>
      </c>
      <c r="B12" s="7" t="s">
        <v>109</v>
      </c>
      <c r="C12" s="7" t="s">
        <v>59</v>
      </c>
      <c r="D12" s="7" t="s">
        <v>110</v>
      </c>
      <c r="E12" s="7" t="s">
        <v>111</v>
      </c>
      <c r="F12" s="7" t="s">
        <v>62</v>
      </c>
      <c r="G12" s="7" t="s">
        <v>112</v>
      </c>
      <c r="H12" s="7" t="s">
        <v>64</v>
      </c>
      <c r="I12" s="7">
        <v>15000</v>
      </c>
      <c r="J12" s="7" t="s">
        <v>55</v>
      </c>
      <c r="K12" s="7" t="s">
        <v>113</v>
      </c>
      <c r="L12" s="7" t="s">
        <v>65</v>
      </c>
      <c r="M12" s="7" t="s">
        <v>45</v>
      </c>
      <c r="N12" s="7" t="s">
        <v>46</v>
      </c>
      <c r="O12" s="9"/>
      <c r="P12" s="7">
        <f>IF(O12&lt;&gt;"Yes","",IF('QA Dashboard'!$B$8&lt;&gt;A12,"OTHER",IF('QA Dashboard'!$B$11&gt;0,"FAIL",IF('QA Dashboard'!$B$12&gt;0,"WAIT","PASS"))))</f>
      </c>
    </row>
    <row r="13" ht="48" customHeight="1" spans="1:16" s="7" customFormat="1" x14ac:dyDescent="0.25">
      <c r="A13" s="7" t="s">
        <v>114</v>
      </c>
      <c r="B13" s="7" t="s">
        <v>115</v>
      </c>
      <c r="C13" s="7" t="s">
        <v>116</v>
      </c>
      <c r="D13" s="7" t="s">
        <v>117</v>
      </c>
      <c r="E13" s="7" t="s">
        <v>118</v>
      </c>
      <c r="F13" s="7" t="s">
        <v>62</v>
      </c>
      <c r="G13" s="7" t="s">
        <v>119</v>
      </c>
      <c r="H13" s="7" t="s">
        <v>43</v>
      </c>
      <c r="I13" s="7">
        <v>0</v>
      </c>
      <c r="J13" s="7" t="s">
        <v>55</v>
      </c>
      <c r="K13" s="7" t="s">
        <v>44</v>
      </c>
      <c r="L13" s="7" t="s">
        <v>56</v>
      </c>
      <c r="M13" s="7" t="s">
        <v>45</v>
      </c>
      <c r="N13" s="7" t="s">
        <v>120</v>
      </c>
      <c r="O13" s="9"/>
      <c r="P13" s="7">
        <f>IF(O13&lt;&gt;"Yes","",IF('QA Dashboard'!$B$8&lt;&gt;A13,"OTHER",IF('QA Dashboard'!$B$11&gt;0,"FAIL",IF('QA Dashboard'!$B$12&gt;0,"WAIT","PASS"))))</f>
      </c>
    </row>
    <row r="14" ht="48" customHeight="1" spans="1:16" s="7" customFormat="1" x14ac:dyDescent="0.25">
      <c r="A14" s="7" t="s">
        <v>121</v>
      </c>
      <c r="B14" s="7" t="s">
        <v>122</v>
      </c>
      <c r="C14" s="7" t="s">
        <v>123</v>
      </c>
      <c r="D14" s="7" t="s">
        <v>124</v>
      </c>
      <c r="E14" s="7" t="s">
        <v>125</v>
      </c>
      <c r="F14" s="7" t="s">
        <v>62</v>
      </c>
      <c r="G14" s="7" t="s">
        <v>126</v>
      </c>
      <c r="H14" s="7" t="s">
        <v>127</v>
      </c>
      <c r="I14" s="7">
        <v>0</v>
      </c>
      <c r="J14" s="7" t="s">
        <v>55</v>
      </c>
      <c r="K14" s="7" t="s">
        <v>44</v>
      </c>
      <c r="L14" s="7" t="s">
        <v>65</v>
      </c>
      <c r="M14" s="7" t="s">
        <v>78</v>
      </c>
      <c r="N14" s="7" t="s">
        <v>46</v>
      </c>
      <c r="O14" s="9"/>
      <c r="P14" s="7">
        <f>IF(O14&lt;&gt;"Yes","",IF('QA Dashboard'!$B$8&lt;&gt;A14,"OTHER",IF('QA Dashboard'!$B$11&gt;0,"FAIL",IF('QA Dashboard'!$B$12&gt;0,"WAIT","PASS"))))</f>
      </c>
    </row>
    <row r="15" ht="48" customHeight="1" spans="1:16" s="7" customFormat="1" x14ac:dyDescent="0.25">
      <c r="A15" s="7" t="s">
        <v>128</v>
      </c>
      <c r="B15" s="7" t="s">
        <v>129</v>
      </c>
      <c r="C15" s="7" t="s">
        <v>130</v>
      </c>
      <c r="D15" s="7" t="s">
        <v>131</v>
      </c>
      <c r="E15" s="7" t="s">
        <v>132</v>
      </c>
      <c r="F15" s="7" t="s">
        <v>62</v>
      </c>
      <c r="G15" s="7" t="s">
        <v>133</v>
      </c>
      <c r="H15" s="7" t="s">
        <v>134</v>
      </c>
      <c r="I15" s="7">
        <v>0</v>
      </c>
      <c r="J15" s="7" t="s">
        <v>55</v>
      </c>
      <c r="K15" s="7" t="s">
        <v>44</v>
      </c>
      <c r="L15" s="7" t="s">
        <v>65</v>
      </c>
      <c r="M15" s="7" t="s">
        <v>84</v>
      </c>
      <c r="N15" s="7" t="s">
        <v>46</v>
      </c>
      <c r="O15" s="9"/>
      <c r="P15" s="7">
        <f>IF(O15&lt;&gt;"Yes","",IF('QA Dashboard'!$B$8&lt;&gt;A15,"OTHER",IF('QA Dashboard'!$B$11&gt;0,"FAIL",IF('QA Dashboard'!$B$12&gt;0,"WAIT","PASS"))))</f>
      </c>
    </row>
    <row r="16" ht="48" customHeight="1" spans="1:16" s="7" customFormat="1" x14ac:dyDescent="0.25">
      <c r="A16" s="7" t="s">
        <v>135</v>
      </c>
      <c r="B16" s="7" t="s">
        <v>136</v>
      </c>
      <c r="C16" s="7" t="s">
        <v>59</v>
      </c>
      <c r="D16" s="7" t="s">
        <v>137</v>
      </c>
      <c r="E16" s="7" t="s">
        <v>138</v>
      </c>
      <c r="F16" s="7" t="s">
        <v>62</v>
      </c>
      <c r="G16" s="7" t="s">
        <v>139</v>
      </c>
      <c r="H16" s="7" t="s">
        <v>64</v>
      </c>
      <c r="I16" s="7">
        <v>2500</v>
      </c>
      <c r="J16" s="7" t="s">
        <v>71</v>
      </c>
      <c r="K16" s="7" t="s">
        <v>55</v>
      </c>
      <c r="L16" s="7" t="s">
        <v>72</v>
      </c>
      <c r="M16" s="7" t="s">
        <v>45</v>
      </c>
      <c r="N16" s="7" t="s">
        <v>46</v>
      </c>
      <c r="O16" s="9"/>
      <c r="P16" s="7">
        <f>IF(O16&lt;&gt;"Yes","",IF('QA Dashboard'!$B$8&lt;&gt;A16,"OTHER",IF('QA Dashboard'!$B$11&gt;0,"FAIL",IF('QA Dashboard'!$B$12&gt;0,"WAIT","PASS"))))</f>
      </c>
    </row>
    <row r="17" ht="48" customHeight="1" spans="1:16" s="7" customFormat="1" x14ac:dyDescent="0.25">
      <c r="A17" s="7" t="s">
        <v>140</v>
      </c>
      <c r="B17" s="7" t="s">
        <v>141</v>
      </c>
      <c r="C17" s="7" t="s">
        <v>59</v>
      </c>
      <c r="D17" s="7" t="s">
        <v>142</v>
      </c>
      <c r="E17" s="7" t="s">
        <v>143</v>
      </c>
      <c r="F17" s="7" t="s">
        <v>62</v>
      </c>
      <c r="G17" s="7" t="s">
        <v>144</v>
      </c>
      <c r="H17" s="7" t="s">
        <v>64</v>
      </c>
      <c r="I17" s="7">
        <v>2500</v>
      </c>
      <c r="J17" s="7" t="s">
        <v>55</v>
      </c>
      <c r="K17" s="7" t="s">
        <v>71</v>
      </c>
      <c r="L17" s="7" t="s">
        <v>72</v>
      </c>
      <c r="M17" s="7" t="s">
        <v>45</v>
      </c>
      <c r="N17" s="7" t="s">
        <v>46</v>
      </c>
      <c r="O17" s="9"/>
      <c r="P17" s="7">
        <f>IF(O17&lt;&gt;"Yes","",IF('QA Dashboard'!$B$8&lt;&gt;A17,"OTHER",IF('QA Dashboard'!$B$11&gt;0,"FAIL",IF('QA Dashboard'!$B$12&gt;0,"WAIT","PASS"))))</f>
      </c>
    </row>
    <row r="18" ht="48" customHeight="1" spans="1:16" s="7" customFormat="1" x14ac:dyDescent="0.25">
      <c r="A18" s="7" t="s">
        <v>145</v>
      </c>
      <c r="B18" s="7" t="s">
        <v>146</v>
      </c>
      <c r="C18" s="7" t="s">
        <v>147</v>
      </c>
      <c r="D18" s="7" t="s">
        <v>148</v>
      </c>
      <c r="E18" s="7" t="s">
        <v>149</v>
      </c>
      <c r="F18" s="7" t="s">
        <v>62</v>
      </c>
      <c r="G18" s="7" t="s">
        <v>150</v>
      </c>
      <c r="H18" s="7" t="s">
        <v>151</v>
      </c>
      <c r="I18" s="7">
        <v>100</v>
      </c>
      <c r="J18" s="7" t="s">
        <v>55</v>
      </c>
      <c r="K18" s="7" t="s">
        <v>44</v>
      </c>
      <c r="L18" s="7" t="s">
        <v>56</v>
      </c>
      <c r="M18" s="7" t="s">
        <v>45</v>
      </c>
      <c r="N18" s="7" t="s">
        <v>46</v>
      </c>
      <c r="O18" s="9"/>
      <c r="P18" s="7">
        <f>IF(O18&lt;&gt;"Yes","",IF('QA Dashboard'!$B$8&lt;&gt;A18,"OTHER",IF('QA Dashboard'!$B$11&gt;0,"FAIL",IF('QA Dashboard'!$B$12&gt;0,"WAIT","PASS"))))</f>
      </c>
    </row>
  </sheetData>
  <conditionalFormatting sqref="P2:P18">
    <cfRule type="containsText" dxfId="5" priority="1">
      <formula>NOT(ISERROR(SEARCH("PASS",P2)))</formula>
    </cfRule>
    <cfRule type="containsText" dxfId="6" priority="2">
      <formula>NOT(ISERROR(SEARCH("FAIL",P2)))</formula>
    </cfRule>
    <cfRule type="containsText" dxfId="7" priority="3">
      <formula>NOT(ISERROR(SEARCH("WAIT",P2)))</formula>
    </cfRule>
    <cfRule type="containsText" dxfId="8" priority="4">
      <formula>NOT(ISERROR(SEARCH("DO NOT PROMOTE",P2)))</formula>
    </cfRule>
    <cfRule type="containsText" dxfId="9" priority="5">
      <formula>NOT(ISERROR(SEARCH("READY FOR PROMOTION",P2)))</formula>
    </cfRule>
  </conditionalFormatting>
  <dataValidations count="2">
    <dataValidation type="list" allowBlank="1" sqref="O10:O18">
      <formula1>"Yes,No"</formula1>
    </dataValidation>
    <dataValidation type="list" allowBlank="1" sqref="O2:O18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4" width="14" customWidth="1"/>
    <col min="5" max="5" width="20" customWidth="1"/>
    <col min="6" max="6" width="14" customWidth="1"/>
    <col min="7" max="7" width="36" customWidth="1"/>
    <col min="8" max="8" width="20" customWidth="1"/>
    <col min="9" max="10" width="10" customWidth="1"/>
  </cols>
  <sheetData>
    <row r="1" spans="1:10" x14ac:dyDescent="0.25">
      <c r="A1" s="8" t="s">
        <v>152</v>
      </c>
      <c r="B1" s="8" t="s">
        <v>153</v>
      </c>
      <c r="C1" s="8" t="s">
        <v>154</v>
      </c>
      <c r="D1" s="8" t="s">
        <v>155</v>
      </c>
      <c r="E1" s="8" t="s">
        <v>156</v>
      </c>
      <c r="F1" s="8" t="s">
        <v>157</v>
      </c>
      <c r="G1" s="8" t="s">
        <v>158</v>
      </c>
      <c r="H1" s="8" t="s">
        <v>159</v>
      </c>
      <c r="I1" s="8" t="s">
        <v>160</v>
      </c>
      <c r="J1" s="8" t="s">
        <v>161</v>
      </c>
    </row>
    <row r="2" spans="1:10" x14ac:dyDescent="0.25">
      <c r="A2" t="s">
        <v>162</v>
      </c>
      <c r="B2" s="10">
        <f>'[FinanceOS_QA_Baseline.xlsx]Business Engine'!B4</f>
      </c>
      <c r="C2" s="10">
        <f>'[FinanceOS_v1.0-QA-RC1.xlsx]Business Engine'!B4</f>
      </c>
      <c r="D2">
        <f>IF(OR(B2="",C2=""),"",IF(AND(ISNUMBER(B2),ISNUMBER(C2)),C2-B2,IF(B2=C2,0,"≠")))</f>
      </c>
      <c r="E2">
        <f>0</f>
      </c>
      <c r="F2">
        <f>IF(OR(B2="",C2=""),"WAIT",IF(AND(ISNUMBER(D2),ISNUMBER(E2)),IF(ABS(D2-E2)&lt;0.005,"PASS","FAIL"),IF(D2=E2,"PASS","FAIL")))</f>
      </c>
      <c r="G2" t="s">
        <v>163</v>
      </c>
      <c r="H2" t="s">
        <v>164</v>
      </c>
      <c r="I2" t="s">
        <v>165</v>
      </c>
      <c r="J2" t="s">
        <v>166</v>
      </c>
    </row>
    <row r="3" spans="1:10" x14ac:dyDescent="0.25">
      <c r="A3" t="s">
        <v>167</v>
      </c>
      <c r="B3" s="10">
        <f>'[FinanceOS_QA_Baseline.xlsx]Business Engine'!B5</f>
      </c>
      <c r="C3" s="10">
        <f>'[FinanceOS_v1.0-QA-RC1.xlsx]Business Engine'!B5</f>
      </c>
      <c r="D3">
        <f>IF(OR(B3="",C3=""),"",IF(AND(ISNUMBER(B3),ISNUMBER(C3)),C3-B3,IF(B3=C3,0,"≠")))</f>
      </c>
      <c r="E3">
        <f>0</f>
      </c>
      <c r="F3">
        <f>IF(OR(B3="",C3=""),"WAIT",IF(AND(ISNUMBER(D3),ISNUMBER(E3)),IF(ABS(D3-E3)&lt;0.005,"PASS","FAIL"),IF(D3=E3,"PASS","FAIL")))</f>
      </c>
      <c r="G3" t="s">
        <v>168</v>
      </c>
      <c r="H3" t="s">
        <v>164</v>
      </c>
      <c r="I3" t="s">
        <v>169</v>
      </c>
      <c r="J3" t="s">
        <v>166</v>
      </c>
    </row>
    <row r="4" spans="1:10" x14ac:dyDescent="0.25">
      <c r="A4" t="s">
        <v>170</v>
      </c>
      <c r="B4" s="10">
        <f>'[FinanceOS_QA_Baseline.xlsx]Business Engine'!B6</f>
      </c>
      <c r="C4" s="10">
        <f>'[FinanceOS_v1.0-QA-RC1.xlsx]Business Engine'!B6</f>
      </c>
      <c r="D4">
        <f>IF(OR(B4="",C4=""),"",IF(AND(ISNUMBER(B4),ISNUMBER(C4)),C4-B4,IF(B4=C4,0,"≠")))</f>
      </c>
      <c r="E4">
        <f>0</f>
      </c>
      <c r="F4">
        <f>IF(OR(B4="",C4=""),"WAIT",IF(AND(ISNUMBER(D4),ISNUMBER(E4)),IF(ABS(D4-E4)&lt;0.005,"PASS","FAIL"),IF(D4=E4,"PASS","FAIL")))</f>
      </c>
      <c r="G4" t="s">
        <v>171</v>
      </c>
      <c r="H4" t="s">
        <v>164</v>
      </c>
      <c r="I4" t="s">
        <v>172</v>
      </c>
      <c r="J4" t="s">
        <v>166</v>
      </c>
    </row>
    <row r="5" spans="1:10" x14ac:dyDescent="0.25">
      <c r="A5" t="s">
        <v>173</v>
      </c>
      <c r="B5" s="10">
        <f>'[FinanceOS_QA_Baseline.xlsx]Business Engine'!B7</f>
      </c>
      <c r="C5" s="10">
        <f>'[FinanceOS_v1.0-QA-RC1.xlsx]Business Engine'!B7</f>
      </c>
      <c r="D5">
        <f>IF(OR(B5="",C5=""),"",IF(AND(ISNUMBER(B5),ISNUMBER(C5)),C5-B5,IF(B5=C5,0,"≠")))</f>
      </c>
      <c r="E5">
        <f>0</f>
      </c>
      <c r="F5">
        <f>IF(OR(B5="",C5=""),"WAIT",IF(AND(ISNUMBER(D5),ISNUMBER(E5)),IF(ABS(D5-E5)&lt;0.005,"PASS","FAIL"),IF(D5=E5,"PASS","FAIL")))</f>
      </c>
      <c r="G5" t="s">
        <v>174</v>
      </c>
      <c r="H5" t="s">
        <v>164</v>
      </c>
      <c r="I5" t="s">
        <v>175</v>
      </c>
      <c r="J5" t="s">
        <v>166</v>
      </c>
    </row>
    <row r="6" spans="1:10" x14ac:dyDescent="0.25">
      <c r="A6" t="s">
        <v>176</v>
      </c>
      <c r="B6" s="10">
        <f>'[FinanceOS_QA_Baseline.xlsx]Business Engine'!B8</f>
      </c>
      <c r="C6" s="10">
        <f>'[FinanceOS_v1.0-QA-RC1.xlsx]Business Engine'!B8</f>
      </c>
      <c r="D6">
        <f>IF(OR(B6="",C6=""),"",IF(AND(ISNUMBER(B6),ISNUMBER(C6)),C6-B6,IF(B6=C6,0,"≠")))</f>
      </c>
      <c r="E6">
        <f>0</f>
      </c>
      <c r="F6">
        <f>IF(OR(B6="",C6=""),"WAIT",IF(AND(ISNUMBER(D6),ISNUMBER(E6)),IF(ABS(D6-E6)&lt;0.005,"PASS","FAIL"),IF(D6=E6,"PASS","FAIL")))</f>
      </c>
      <c r="G6" t="s">
        <v>177</v>
      </c>
      <c r="H6" t="s">
        <v>164</v>
      </c>
      <c r="I6" t="s">
        <v>178</v>
      </c>
      <c r="J6" t="s">
        <v>166</v>
      </c>
    </row>
    <row r="7" spans="1:10" x14ac:dyDescent="0.25">
      <c r="A7" t="s">
        <v>179</v>
      </c>
      <c r="B7" s="10">
        <f>'[FinanceOS_QA_Baseline.xlsx]Business Engine'!B9</f>
      </c>
      <c r="C7" s="10">
        <f>'[FinanceOS_v1.0-QA-RC1.xlsx]Business Engine'!B9</f>
      </c>
      <c r="D7">
        <f>IF(OR(B7="",C7=""),"",IF(AND(ISNUMBER(B7),ISNUMBER(C7)),C7-B7,IF(B7=C7,0,"≠")))</f>
      </c>
      <c r="E7">
        <f>0</f>
      </c>
      <c r="F7">
        <f>IF(OR(B7="",C7=""),"WAIT",IF(AND(ISNUMBER(D7),ISNUMBER(E7)),IF(ABS(D7-E7)&lt;0.005,"PASS","FAIL"),IF(D7=E7,"PASS","FAIL")))</f>
      </c>
      <c r="G7" t="s">
        <v>180</v>
      </c>
      <c r="H7" t="s">
        <v>164</v>
      </c>
      <c r="I7" t="s">
        <v>181</v>
      </c>
      <c r="J7" t="s">
        <v>166</v>
      </c>
    </row>
    <row r="8" spans="1:10" x14ac:dyDescent="0.25">
      <c r="A8" t="s">
        <v>182</v>
      </c>
      <c r="B8" s="10">
        <f>'[FinanceOS_QA_Baseline.xlsx]Business Engine'!B12</f>
      </c>
      <c r="C8" s="10">
        <f>'[FinanceOS_v1.0-QA-RC1.xlsx]Business Engine'!B12</f>
      </c>
      <c r="D8">
        <f>IF(OR(B8="",C8=""),"",IF(AND(ISNUMBER(B8),ISNUMBER(C8)),C8-B8,IF(B8=C8,0,"≠")))</f>
      </c>
      <c r="E8">
        <f>IF(AND(OR($J$7="Completed",$J$7="Reconciled"),$J$6="Income",$J$9),$J$3,0)</f>
      </c>
      <c r="F8">
        <f>IF(OR(B8="",C8=""),"WAIT",IF(AND(ISNUMBER(D8),ISNUMBER(E8)),IF(ABS(D8-E8)&lt;0.005,"PASS","FAIL"),IF(D8=E8,"PASS","FAIL")))</f>
      </c>
      <c r="G8" t="s">
        <v>183</v>
      </c>
      <c r="H8" t="s">
        <v>184</v>
      </c>
      <c r="I8" t="s">
        <v>185</v>
      </c>
      <c r="J8" t="s">
        <v>166</v>
      </c>
    </row>
    <row r="9" spans="1:10" x14ac:dyDescent="0.25">
      <c r="A9" t="s">
        <v>186</v>
      </c>
      <c r="B9" s="10">
        <f>'[FinanceOS_QA_Baseline.xlsx]Business Engine'!B13</f>
      </c>
      <c r="C9" s="10">
        <f>'[FinanceOS_v1.0-QA-RC1.xlsx]Business Engine'!B13</f>
      </c>
      <c r="D9">
        <f>IF(OR(B9="",C9=""),"",IF(AND(ISNUMBER(B9),ISNUMBER(C9)),C9-B9,IF(B9=C9,0,"≠")))</f>
      </c>
      <c r="E9">
        <f>0</f>
      </c>
      <c r="F9">
        <f>IF(OR(B9="",C9=""),"WAIT",IF(AND(ISNUMBER(D9),ISNUMBER(E9)),IF(ABS(D9-E9)&lt;0.005,"PASS","FAIL"),IF(D9=E9,"PASS","FAIL")))</f>
      </c>
      <c r="G9" t="s">
        <v>187</v>
      </c>
      <c r="H9" t="s">
        <v>184</v>
      </c>
      <c r="I9" t="s">
        <v>188</v>
      </c>
      <c r="J9" t="s">
        <v>166</v>
      </c>
    </row>
    <row r="10" spans="1:10" x14ac:dyDescent="0.25">
      <c r="A10" t="s">
        <v>189</v>
      </c>
      <c r="B10" s="10">
        <f>'[FinanceOS_QA_Baseline.xlsx]Business Engine'!B14</f>
      </c>
      <c r="C10" s="10">
        <f>'[FinanceOS_v1.0-QA-RC1.xlsx]Business Engine'!B14</f>
      </c>
      <c r="D10">
        <f>IF(OR(B10="",C10=""),"",IF(AND(ISNUMBER(B10),ISNUMBER(C10)),C10-B10,IF(B10=C10,0,"≠")))</f>
      </c>
      <c r="E10">
        <f>IF(AND(OR($J$7="Completed",$J$7="Reconciled"),$J$6="Income",$J$5="Freelance Gigs",$J$9),$J$3,0)</f>
      </c>
      <c r="F10">
        <f>IF(OR(B10="",C10=""),"WAIT",IF(AND(ISNUMBER(D10),ISNUMBER(E10)),IF(ABS(D10-E10)&lt;0.005,"PASS","FAIL"),IF(D10=E10,"PASS","FAIL")))</f>
      </c>
      <c r="G10" t="s">
        <v>190</v>
      </c>
      <c r="H10" t="s">
        <v>184</v>
      </c>
      <c r="I10" t="s">
        <v>191</v>
      </c>
      <c r="J10" t="s">
        <v>166</v>
      </c>
    </row>
    <row r="11" spans="1:10" x14ac:dyDescent="0.25">
      <c r="A11" t="s">
        <v>192</v>
      </c>
      <c r="B11" s="10">
        <f>'[FinanceOS_QA_Baseline.xlsx]Business Engine'!B15</f>
      </c>
      <c r="C11" s="10">
        <f>'[FinanceOS_v1.0-QA-RC1.xlsx]Business Engine'!B15</f>
      </c>
      <c r="D11">
        <f>IF(OR(B11="",C11=""),"",IF(AND(ISNUMBER(B11),ISNUMBER(C11)),C11-B11,IF(B11=C11,0,"≠")))</f>
      </c>
      <c r="E11">
        <f>0</f>
      </c>
      <c r="F11">
        <f>IF(OR(B11="",C11=""),"WAIT",IF(AND(ISNUMBER(D11),ISNUMBER(E11)),IF(ABS(D11-E11)&lt;0.005,"PASS","FAIL"),IF(D11=E11,"PASS","FAIL")))</f>
      </c>
      <c r="G11" t="s">
        <v>193</v>
      </c>
      <c r="H11" t="s">
        <v>184</v>
      </c>
      <c r="I11" t="s">
        <v>194</v>
      </c>
      <c r="J11" t="s">
        <v>166</v>
      </c>
    </row>
    <row r="12" spans="1:10" x14ac:dyDescent="0.25">
      <c r="A12" t="s">
        <v>195</v>
      </c>
      <c r="B12" s="10">
        <f>'[FinanceOS_QA_Baseline.xlsx]Business Engine'!B16</f>
      </c>
      <c r="C12" s="10">
        <f>'[FinanceOS_v1.0-QA-RC1.xlsx]Business Engine'!B16</f>
      </c>
      <c r="D12">
        <f>IF(OR(B12="",C12=""),"",IF(AND(ISNUMBER(B12),ISNUMBER(C12)),C12-B12,IF(B12=C12,0,"≠")))</f>
      </c>
      <c r="E12">
        <f>IF(AND(OR($J$7="Completed",$J$7="Reconciled"),$J$6="Income",$J$9),$J$3,0)</f>
      </c>
      <c r="F12">
        <f>IF(OR(B12="",C12=""),"WAIT",IF(AND(ISNUMBER(D12),ISNUMBER(E12)),IF(ABS(D12-E12)&lt;0.005,"PASS","FAIL"),IF(D12=E12,"PASS","FAIL")))</f>
      </c>
      <c r="G12" t="s">
        <v>196</v>
      </c>
      <c r="H12" t="s">
        <v>184</v>
      </c>
      <c r="I12" t="s">
        <v>197</v>
      </c>
      <c r="J12" t="s">
        <v>166</v>
      </c>
    </row>
    <row r="13" spans="1:10" x14ac:dyDescent="0.25">
      <c r="A13" t="s">
        <v>198</v>
      </c>
      <c r="B13" s="10">
        <f>'[FinanceOS_QA_Baseline.xlsx]Business Engine'!B17</f>
      </c>
      <c r="C13" s="10">
        <f>'[FinanceOS_v1.0-QA-RC1.xlsx]Business Engine'!B17</f>
      </c>
      <c r="D13">
        <f>IF(OR(B13="",C13=""),"",IF(AND(ISNUMBER(B13),ISNUMBER(C13)),C13-B13,IF(B13=C13,0,"≠")))</f>
      </c>
      <c r="E13">
        <f>0</f>
      </c>
      <c r="F13">
        <f>IF(OR(B13="",C13=""),"WAIT",IF(AND(ISNUMBER(D13),ISNUMBER(E13)),IF(ABS(D13-E13)&lt;0.005,"PASS","FAIL"),IF(D13=E13,"PASS","FAIL")))</f>
      </c>
      <c r="G13" t="s">
        <v>199</v>
      </c>
      <c r="H13" t="s">
        <v>184</v>
      </c>
      <c r="I13" t="s">
        <v>200</v>
      </c>
      <c r="J13" t="s">
        <v>166</v>
      </c>
    </row>
    <row r="14" spans="1:10" x14ac:dyDescent="0.25">
      <c r="A14" t="s">
        <v>201</v>
      </c>
      <c r="B14" s="10">
        <f>'[FinanceOS_QA_Baseline.xlsx]Business Engine'!B18</f>
      </c>
      <c r="C14" s="10">
        <f>'[FinanceOS_v1.0-QA-RC1.xlsx]Business Engine'!B18</f>
      </c>
      <c r="D14">
        <f>IF(OR(B14="",C14=""),"",IF(AND(ISNUMBER(B14),ISNUMBER(C14)),C14-B14,IF(B14=C14,0,"≠")))</f>
      </c>
      <c r="E14">
        <f>IF(AND(OR($J$7="Completed",$J$7="Reconciled"),$J$6="Income"),$J$3,0)</f>
      </c>
      <c r="F14">
        <f>IF(OR(B14="",C14=""),"WAIT",IF(AND(ISNUMBER(D14),ISNUMBER(E14)),IF(ABS(D14-E14)&lt;0.005,"PASS","FAIL"),IF(D14=E14,"PASS","FAIL")))</f>
      </c>
      <c r="G14" t="s">
        <v>202</v>
      </c>
      <c r="H14" t="s">
        <v>184</v>
      </c>
      <c r="I14" t="s">
        <v>203</v>
      </c>
      <c r="J14" t="s">
        <v>166</v>
      </c>
    </row>
    <row r="15" spans="1:10" x14ac:dyDescent="0.25">
      <c r="A15" t="s">
        <v>204</v>
      </c>
      <c r="B15" s="10">
        <f>'[FinanceOS_QA_Baseline.xlsx]Business Engine'!B19</f>
      </c>
      <c r="C15" s="10">
        <f>'[FinanceOS_v1.0-QA-RC1.xlsx]Business Engine'!B19</f>
      </c>
      <c r="D15">
        <f>IF(OR(B15="",C15=""),"",IF(AND(ISNUMBER(B15),ISNUMBER(C15)),C15-B15,IF(B15=C15,0,"≠")))</f>
      </c>
      <c r="E15">
        <f>0</f>
      </c>
      <c r="F15">
        <f>IF(OR(B15="",C15=""),"WAIT",IF(AND(ISNUMBER(D15),ISNUMBER(E15)),IF(ABS(D15-E15)&lt;0.005,"PASS","FAIL"),IF(D15=E15,"PASS","FAIL")))</f>
      </c>
      <c r="G15" t="s">
        <v>205</v>
      </c>
      <c r="H15" t="s">
        <v>184</v>
      </c>
      <c r="I15" t="s">
        <v>206</v>
      </c>
      <c r="J15" t="s">
        <v>166</v>
      </c>
    </row>
    <row r="16" spans="1:10" x14ac:dyDescent="0.25">
      <c r="A16" t="s">
        <v>207</v>
      </c>
      <c r="B16" s="10">
        <f>'[FinanceOS_QA_Baseline.xlsx]Business Engine'!B22</f>
      </c>
      <c r="C16" s="10">
        <f>'[FinanceOS_v1.0-QA-RC1.xlsx]Business Engine'!B22</f>
      </c>
      <c r="D16">
        <f>IF(OR(B16="",C16=""),"",IF(AND(ISNUMBER(B16),ISNUMBER(C16)),C16-B16,IF(B16=C16,0,"≠")))</f>
      </c>
      <c r="E16">
        <f>IF(AND(OR($J$7="Completed",$J$7="Reconciled"),$J$6="Expense",$J$9),$J$3,0)</f>
      </c>
      <c r="F16">
        <f>IF(OR(B16="",C16=""),"WAIT",IF(AND(ISNUMBER(D16),ISNUMBER(E16)),IF(ABS(D16-E16)&lt;0.005,"PASS","FAIL"),IF(D16=E16,"PASS","FAIL")))</f>
      </c>
      <c r="G16" t="s">
        <v>208</v>
      </c>
      <c r="H16" t="s">
        <v>209</v>
      </c>
      <c r="I16" t="s">
        <v>210</v>
      </c>
      <c r="J16" t="s">
        <v>166</v>
      </c>
    </row>
    <row r="17" spans="1:10" x14ac:dyDescent="0.25">
      <c r="A17" t="s">
        <v>211</v>
      </c>
      <c r="B17" s="10">
        <f>'[FinanceOS_QA_Baseline.xlsx]Business Engine'!B23</f>
      </c>
      <c r="C17" s="10">
        <f>'[FinanceOS_v1.0-QA-RC1.xlsx]Business Engine'!B23</f>
      </c>
      <c r="D17">
        <f>IF(OR(B17="",C17=""),"",IF(AND(ISNUMBER(B17),ISNUMBER(C17)),C17-B17,IF(B17=C17,0,"≠")))</f>
      </c>
      <c r="E17">
        <f>0</f>
      </c>
      <c r="F17">
        <f>IF(OR(B17="",C17=""),"WAIT",IF(AND(ISNUMBER(D17),ISNUMBER(E17)),IF(ABS(D17-E17)&lt;0.005,"PASS","FAIL"),IF(D17=E17,"PASS","FAIL")))</f>
      </c>
      <c r="G17" t="s">
        <v>212</v>
      </c>
      <c r="H17" t="s">
        <v>209</v>
      </c>
      <c r="I17" t="s">
        <v>213</v>
      </c>
      <c r="J17" t="s">
        <v>166</v>
      </c>
    </row>
    <row r="18" spans="1:10" x14ac:dyDescent="0.25">
      <c r="A18" t="s">
        <v>214</v>
      </c>
      <c r="B18" s="10">
        <f>'[FinanceOS_QA_Baseline.xlsx]Business Engine'!B24</f>
      </c>
      <c r="C18" s="10">
        <f>'[FinanceOS_v1.0-QA-RC1.xlsx]Business Engine'!B24</f>
      </c>
      <c r="D18">
        <f>IF(OR(B18="",C18=""),"",IF(AND(ISNUMBER(B18),ISNUMBER(C18)),C18-B18,IF(B18=C18,0,"≠")))</f>
      </c>
      <c r="E18">
        <f>IF(AND(OR($J$7="Completed",$J$7="Reconciled"),$J$6="Expense"),$J$3,0)</f>
      </c>
      <c r="F18">
        <f>IF(OR(B18="",C18=""),"WAIT",IF(AND(ISNUMBER(D18),ISNUMBER(E18)),IF(ABS(D18-E18)&lt;0.005,"PASS","FAIL"),IF(D18=E18,"PASS","FAIL")))</f>
      </c>
      <c r="G18" t="s">
        <v>215</v>
      </c>
      <c r="H18" t="s">
        <v>209</v>
      </c>
      <c r="I18" t="s">
        <v>216</v>
      </c>
      <c r="J18" t="s">
        <v>166</v>
      </c>
    </row>
    <row r="19" spans="1:10" x14ac:dyDescent="0.25">
      <c r="A19" t="s">
        <v>217</v>
      </c>
      <c r="B19" s="10">
        <f>'[FinanceOS_QA_Baseline.xlsx]Business Engine'!B25</f>
      </c>
      <c r="C19" s="10">
        <f>'[FinanceOS_v1.0-QA-RC1.xlsx]Business Engine'!B25</f>
      </c>
      <c r="D19">
        <f>IF(OR(B19="",C19=""),"",IF(AND(ISNUMBER(B19),ISNUMBER(C19)),C19-B19,IF(B19=C19,0,"≠")))</f>
      </c>
      <c r="E19">
        <f>IF(AND(OR($J$7="Completed",$J$7="Reconciled"),$J$6="Expense",$J$9),1,0)</f>
      </c>
      <c r="F19">
        <f>IF(OR(B19="",C19=""),"WAIT",IF(AND(ISNUMBER(D19),ISNUMBER(E19)),IF(ABS(D19-E19)&lt;0.005,"PASS","FAIL"),IF(D19=E19,"PASS","FAIL")))</f>
      </c>
      <c r="G19" t="s">
        <v>218</v>
      </c>
      <c r="H19" t="s">
        <v>209</v>
      </c>
      <c r="I19" t="s">
        <v>219</v>
      </c>
      <c r="J19" t="s">
        <v>166</v>
      </c>
    </row>
    <row r="20" spans="1:10" x14ac:dyDescent="0.25">
      <c r="A20" t="s">
        <v>220</v>
      </c>
      <c r="B20" s="10">
        <f>'[FinanceOS_QA_Baseline.xlsx]Business Engine'!B28</f>
      </c>
      <c r="C20" s="10">
        <f>'[FinanceOS_v1.0-QA-RC1.xlsx]Business Engine'!B28</f>
      </c>
      <c r="D20">
        <f>IF(OR(B20="",C20=""),"",IF(AND(ISNUMBER(B20),ISNUMBER(C20)),C20-B20,IF(B20=C20,0,"≠")))</f>
      </c>
      <c r="E20">
        <f>IF(AND(OR($J$7="Completed",$J$7="Reconciled"),$J$6="Income",$J$9),$J$3,0)</f>
      </c>
      <c r="F20">
        <f>IF(OR(B20="",C20=""),"WAIT",IF(AND(ISNUMBER(D20),ISNUMBER(E20)),IF(ABS(D20-E20)&lt;0.005,"PASS","FAIL"),IF(D20=E20,"PASS","FAIL")))</f>
      </c>
      <c r="G20" t="s">
        <v>221</v>
      </c>
      <c r="H20" t="s">
        <v>222</v>
      </c>
      <c r="I20" t="s">
        <v>223</v>
      </c>
      <c r="J20" t="s">
        <v>166</v>
      </c>
    </row>
    <row r="21" spans="1:10" x14ac:dyDescent="0.25">
      <c r="A21" t="s">
        <v>224</v>
      </c>
      <c r="B21" s="10">
        <f>'[FinanceOS_QA_Baseline.xlsx]Business Engine'!B29</f>
      </c>
      <c r="C21" s="10">
        <f>'[FinanceOS_v1.0-QA-RC1.xlsx]Business Engine'!B29</f>
      </c>
      <c r="D21">
        <f>IF(OR(B21="",C21=""),"",IF(AND(ISNUMBER(B21),ISNUMBER(C21)),C21-B21,IF(B21=C21,0,"≠")))</f>
      </c>
      <c r="E21">
        <f>IF(AND(OR($J$7="Completed",$J$7="Reconciled"),$J$9),IF($J$6="Income",$J$3,IF($J$6="Expense",-$J$3,0)),0)</f>
      </c>
      <c r="F21">
        <f>IF(OR(B21="",C21=""),"WAIT",IF(AND(ISNUMBER(D21),ISNUMBER(E21)),IF(ABS(D21-E21)&lt;0.005,"PASS","FAIL"),IF(D21=E21,"PASS","FAIL")))</f>
      </c>
      <c r="G21" t="s">
        <v>225</v>
      </c>
      <c r="H21" t="s">
        <v>222</v>
      </c>
      <c r="I21" t="s">
        <v>226</v>
      </c>
      <c r="J21" t="s">
        <v>166</v>
      </c>
    </row>
    <row r="22" spans="1:10" x14ac:dyDescent="0.25">
      <c r="A22" t="s">
        <v>227</v>
      </c>
      <c r="B22" s="11">
        <f>'[FinanceOS_QA_Baseline.xlsx]Business Engine'!B30</f>
      </c>
      <c r="C22" s="11">
        <f>'[FinanceOS_v1.0-QA-RC1.xlsx]Business Engine'!B30</f>
      </c>
      <c r="D22">
        <f>IF(OR(B22="",C22=""),"",IF(AND(ISNUMBER(B22),ISNUMBER(C22)),C22-B22,IF(B22=C22,0,"≠")))</f>
      </c>
      <c r="E22">
        <f>0</f>
      </c>
      <c r="F22">
        <f>IF(OR(B22="",C22=""),"WAIT",IF(AND(ISNUMBER(D22),ISNUMBER(E22)),IF(ABS(D22-E22)&lt;0.005,"PASS","FAIL"),IF(D22=E22,"PASS","FAIL")))</f>
      </c>
      <c r="G22" t="s">
        <v>228</v>
      </c>
      <c r="H22" t="s">
        <v>222</v>
      </c>
      <c r="I22" t="s">
        <v>229</v>
      </c>
      <c r="J22" t="s">
        <v>166</v>
      </c>
    </row>
    <row r="23" spans="1:10" x14ac:dyDescent="0.25">
      <c r="A23" t="s">
        <v>230</v>
      </c>
      <c r="B23" s="10">
        <f>'[FinanceOS_QA_Baseline.xlsx]Business Engine'!B31</f>
      </c>
      <c r="C23" s="10">
        <f>'[FinanceOS_v1.0-QA-RC1.xlsx]Business Engine'!B31</f>
      </c>
      <c r="D23">
        <f>IF(OR(B23="",C23=""),"",IF(AND(ISNUMBER(B23),ISNUMBER(C23)),C23-B23,IF(B23=C23,0,"≠")))</f>
      </c>
      <c r="E23">
        <f>0</f>
      </c>
      <c r="F23">
        <f>IF(OR(B23="",C23=""),"WAIT",IF(AND(ISNUMBER(D23),ISNUMBER(E23)),IF(ABS(D23-E23)&lt;0.005,"PASS","FAIL"),IF(D23=E23,"PASS","FAIL")))</f>
      </c>
      <c r="G23" t="s">
        <v>231</v>
      </c>
      <c r="H23" t="s">
        <v>222</v>
      </c>
      <c r="I23" t="s">
        <v>232</v>
      </c>
      <c r="J23" t="s">
        <v>166</v>
      </c>
    </row>
    <row r="24" spans="1:10" x14ac:dyDescent="0.25">
      <c r="A24" t="s">
        <v>233</v>
      </c>
      <c r="B24" s="10">
        <f>'[FinanceOS_QA_Baseline.xlsx]Business Engine'!B34</f>
      </c>
      <c r="C24" s="10">
        <f>'[FinanceOS_v1.0-QA-RC1.xlsx]Business Engine'!B34</f>
      </c>
      <c r="D24">
        <f>IF(OR(B24="",C24=""),"",IF(AND(ISNUMBER(B24),ISNUMBER(C24)),C24-B24,IF(B24=C24,0,"≠")))</f>
      </c>
      <c r="E24">
        <f>0</f>
      </c>
      <c r="F24">
        <f>IF(OR(B24="",C24=""),"WAIT",IF(AND(ISNUMBER(D24),ISNUMBER(E24)),IF(ABS(D24-E24)&lt;0.005,"PASS","FAIL"),IF(D24=E24,"PASS","FAIL")))</f>
      </c>
      <c r="G24" t="s">
        <v>234</v>
      </c>
      <c r="H24" t="s">
        <v>235</v>
      </c>
      <c r="I24" t="s">
        <v>236</v>
      </c>
      <c r="J24" t="s">
        <v>166</v>
      </c>
    </row>
    <row r="25" spans="1:10" x14ac:dyDescent="0.25">
      <c r="A25" t="s">
        <v>237</v>
      </c>
      <c r="B25" s="10">
        <f>'[FinanceOS_QA_Baseline.xlsx]Business Engine'!B35</f>
      </c>
      <c r="C25" s="10">
        <f>'[FinanceOS_v1.0-QA-RC1.xlsx]Business Engine'!B35</f>
      </c>
      <c r="D25">
        <f>IF(OR(B25="",C25=""),"",IF(AND(ISNUMBER(B25),ISNUMBER(C25)),C25-B25,IF(B25=C25,0,"≠")))</f>
      </c>
      <c r="E25">
        <f>0</f>
      </c>
      <c r="F25">
        <f>IF(OR(B25="",C25=""),"WAIT",IF(AND(ISNUMBER(D25),ISNUMBER(E25)),IF(ABS(D25-E25)&lt;0.005,"PASS","FAIL"),IF(D25=E25,"PASS","FAIL")))</f>
      </c>
      <c r="G25" t="s">
        <v>238</v>
      </c>
      <c r="H25" t="s">
        <v>235</v>
      </c>
      <c r="I25" t="s">
        <v>239</v>
      </c>
      <c r="J25" t="s">
        <v>166</v>
      </c>
    </row>
    <row r="26" spans="1:10" x14ac:dyDescent="0.25">
      <c r="A26" t="s">
        <v>240</v>
      </c>
      <c r="B26" s="10">
        <f>'[FinanceOS_QA_Baseline.xlsx]Business Engine'!B36</f>
      </c>
      <c r="C26" s="10">
        <f>'[FinanceOS_v1.0-QA-RC1.xlsx]Business Engine'!B36</f>
      </c>
      <c r="D26">
        <f>IF(OR(B26="",C26=""),"",IF(AND(ISNUMBER(B26),ISNUMBER(C26)),C26-B26,IF(B26=C26,0,"≠")))</f>
      </c>
      <c r="E26">
        <f>0</f>
      </c>
      <c r="F26">
        <f>IF(OR(B26="",C26=""),"WAIT",IF(AND(ISNUMBER(D26),ISNUMBER(E26)),IF(ABS(D26-E26)&lt;0.005,"PASS","FAIL"),IF(D26=E26,"PASS","FAIL")))</f>
      </c>
      <c r="G26" t="s">
        <v>241</v>
      </c>
      <c r="H26" t="s">
        <v>235</v>
      </c>
      <c r="I26" t="s">
        <v>242</v>
      </c>
      <c r="J26" t="s">
        <v>166</v>
      </c>
    </row>
    <row r="27" spans="1:10" x14ac:dyDescent="0.25">
      <c r="A27" t="s">
        <v>243</v>
      </c>
      <c r="B27" s="11">
        <f>'[FinanceOS_QA_Baseline.xlsx]Business Engine'!B37</f>
      </c>
      <c r="C27" s="11">
        <f>'[FinanceOS_v1.0-QA-RC1.xlsx]Business Engine'!B37</f>
      </c>
      <c r="D27">
        <f>IF(OR(B27="",C27=""),"",IF(AND(ISNUMBER(B27),ISNUMBER(C27)),C27-B27,IF(B27=C27,0,"≠")))</f>
      </c>
      <c r="E27">
        <f>0</f>
      </c>
      <c r="F27">
        <f>IF(OR(B27="",C27=""),"WAIT",IF(AND(ISNUMBER(D27),ISNUMBER(E27)),IF(ABS(D27-E27)&lt;0.005,"PASS","FAIL"),IF(D27=E27,"PASS","FAIL")))</f>
      </c>
      <c r="G27" t="s">
        <v>244</v>
      </c>
      <c r="H27" t="s">
        <v>235</v>
      </c>
      <c r="I27" t="s">
        <v>245</v>
      </c>
      <c r="J27" t="s">
        <v>166</v>
      </c>
    </row>
    <row r="28" spans="1:10" x14ac:dyDescent="0.25">
      <c r="A28" t="s">
        <v>246</v>
      </c>
      <c r="B28" s="10">
        <f>'[FinanceOS_QA_Baseline.xlsx]Business Engine'!B38</f>
      </c>
      <c r="C28" s="10">
        <f>'[FinanceOS_v1.0-QA-RC1.xlsx]Business Engine'!B38</f>
      </c>
      <c r="D28">
        <f>IF(OR(B28="",C28=""),"",IF(AND(ISNUMBER(B28),ISNUMBER(C28)),C28-B28,IF(B28=C28,0,"≠")))</f>
      </c>
      <c r="E28">
        <f>0</f>
      </c>
      <c r="F28">
        <f>IF(OR(B28="",C28=""),"WAIT",IF(AND(ISNUMBER(D28),ISNUMBER(E28)),IF(ABS(D28-E28)&lt;0.005,"PASS","FAIL"),IF(D28=E28,"PASS","FAIL")))</f>
      </c>
      <c r="G28" t="s">
        <v>247</v>
      </c>
      <c r="H28" t="s">
        <v>235</v>
      </c>
      <c r="I28" t="s">
        <v>248</v>
      </c>
      <c r="J28" t="s">
        <v>166</v>
      </c>
    </row>
    <row r="29" spans="1:10" x14ac:dyDescent="0.25">
      <c r="A29" t="s">
        <v>249</v>
      </c>
      <c r="B29" s="10">
        <f>'[FinanceOS_QA_Baseline.xlsx]Business Engine'!B41</f>
      </c>
      <c r="C29" s="10">
        <f>'[FinanceOS_v1.0-QA-RC1.xlsx]Business Engine'!B41</f>
      </c>
      <c r="D29">
        <f>IF(OR(B29="",C29=""),"",IF(AND(ISNUMBER(B29),ISNUMBER(C29)),C29-B29,IF(B29=C29,0,"≠")))</f>
      </c>
      <c r="E29">
        <f>0</f>
      </c>
      <c r="F29">
        <f>IF(OR(B29="",C29=""),"WAIT",IF(AND(ISNUMBER(D29),ISNUMBER(E29)),IF(ABS(D29-E29)&lt;0.005,"PASS","FAIL"),IF(D29=E29,"PASS","FAIL")))</f>
      </c>
      <c r="G29" t="s">
        <v>250</v>
      </c>
      <c r="H29" t="s">
        <v>251</v>
      </c>
      <c r="I29" t="s">
        <v>252</v>
      </c>
      <c r="J29" t="s">
        <v>166</v>
      </c>
    </row>
    <row r="30" spans="1:10" x14ac:dyDescent="0.25">
      <c r="A30" t="s">
        <v>253</v>
      </c>
      <c r="B30" s="10">
        <f>'[FinanceOS_QA_Baseline.xlsx]Business Engine'!B42</f>
      </c>
      <c r="C30" s="10">
        <f>'[FinanceOS_v1.0-QA-RC1.xlsx]Business Engine'!B42</f>
      </c>
      <c r="D30">
        <f>IF(OR(B30="",C30=""),"",IF(AND(ISNUMBER(B30),ISNUMBER(C30)),C30-B30,IF(B30=C30,0,"≠")))</f>
      </c>
      <c r="E30">
        <f>0</f>
      </c>
      <c r="F30">
        <f>IF(OR(B30="",C30=""),"WAIT",IF(AND(ISNUMBER(D30),ISNUMBER(E30)),IF(ABS(D30-E30)&lt;0.005,"PASS","FAIL"),IF(D30=E30,"PASS","FAIL")))</f>
      </c>
      <c r="G30" t="s">
        <v>254</v>
      </c>
      <c r="H30" t="s">
        <v>251</v>
      </c>
      <c r="I30" t="s">
        <v>255</v>
      </c>
      <c r="J30" t="s">
        <v>166</v>
      </c>
    </row>
    <row r="31" spans="1:10" x14ac:dyDescent="0.25">
      <c r="A31" t="s">
        <v>256</v>
      </c>
      <c r="B31" s="10">
        <f>'[FinanceOS_QA_Baseline.xlsx]Business Engine'!B43</f>
      </c>
      <c r="C31" s="10">
        <f>'[FinanceOS_v1.0-QA-RC1.xlsx]Business Engine'!B43</f>
      </c>
      <c r="D31">
        <f>IF(OR(B31="",C31=""),"",IF(AND(ISNUMBER(B31),ISNUMBER(C31)),C31-B31,IF(B31=C31,0,"≠")))</f>
      </c>
      <c r="E31">
        <f>0</f>
      </c>
      <c r="F31">
        <f>IF(OR(B31="",C31=""),"WAIT",IF(AND(ISNUMBER(D31),ISNUMBER(E31)),IF(ABS(D31-E31)&lt;0.005,"PASS","FAIL"),IF(D31=E31,"PASS","FAIL")))</f>
      </c>
      <c r="G31" t="s">
        <v>257</v>
      </c>
      <c r="H31" t="s">
        <v>251</v>
      </c>
      <c r="I31" t="s">
        <v>258</v>
      </c>
      <c r="J31" t="s">
        <v>166</v>
      </c>
    </row>
    <row r="32" spans="1:10" x14ac:dyDescent="0.25">
      <c r="A32" t="s">
        <v>259</v>
      </c>
      <c r="B32" s="11">
        <f>'[FinanceOS_QA_Baseline.xlsx]Business Engine'!B44</f>
      </c>
      <c r="C32" s="11">
        <f>'[FinanceOS_v1.0-QA-RC1.xlsx]Business Engine'!B44</f>
      </c>
      <c r="D32">
        <f>IF(OR(B32="",C32=""),"",IF(AND(ISNUMBER(B32),ISNUMBER(C32)),C32-B32,IF(B32=C32,0,"≠")))</f>
      </c>
      <c r="E32">
        <f>0</f>
      </c>
      <c r="F32">
        <f>IF(OR(B32="",C32=""),"WAIT",IF(AND(ISNUMBER(D32),ISNUMBER(E32)),IF(ABS(D32-E32)&lt;0.005,"PASS","FAIL"),IF(D32=E32,"PASS","FAIL")))</f>
      </c>
      <c r="G32" t="s">
        <v>260</v>
      </c>
      <c r="H32" t="s">
        <v>251</v>
      </c>
      <c r="I32" t="s">
        <v>261</v>
      </c>
      <c r="J32" t="s">
        <v>166</v>
      </c>
    </row>
    <row r="33" spans="1:10" x14ac:dyDescent="0.25">
      <c r="A33" t="s">
        <v>262</v>
      </c>
      <c r="B33" s="10">
        <f>'[FinanceOS_QA_Baseline.xlsx]Business Engine'!B45</f>
      </c>
      <c r="C33" s="10">
        <f>'[FinanceOS_v1.0-QA-RC1.xlsx]Business Engine'!B45</f>
      </c>
      <c r="D33">
        <f>IF(OR(B33="",C33=""),"",IF(AND(ISNUMBER(B33),ISNUMBER(C33)),C33-B33,IF(B33=C33,0,"≠")))</f>
      </c>
      <c r="E33">
        <f>0</f>
      </c>
      <c r="F33">
        <f>IF(OR(B33="",C33=""),"WAIT",IF(AND(ISNUMBER(D33),ISNUMBER(E33)),IF(ABS(D33-E33)&lt;0.005,"PASS","FAIL"),IF(D33=E33,"PASS","FAIL")))</f>
      </c>
      <c r="G33" t="s">
        <v>263</v>
      </c>
      <c r="H33" t="s">
        <v>251</v>
      </c>
      <c r="I33" t="s">
        <v>264</v>
      </c>
      <c r="J33" t="s">
        <v>166</v>
      </c>
    </row>
    <row r="34" spans="1:10" x14ac:dyDescent="0.25">
      <c r="A34" t="s">
        <v>265</v>
      </c>
      <c r="B34" s="10">
        <f>'[FinanceOS_QA_Baseline.xlsx]Business Engine'!B48</f>
      </c>
      <c r="C34" s="10">
        <f>'[FinanceOS_v1.0-QA-RC1.xlsx]Business Engine'!B48</f>
      </c>
      <c r="D34">
        <f>IF(OR(B34="",C34=""),"",IF(AND(ISNUMBER(B34),ISNUMBER(C34)),C34-B34,IF(B34=C34,0,"≠")))</f>
      </c>
      <c r="E34">
        <f>0</f>
      </c>
      <c r="F34">
        <f>IF(OR(B34="",C34=""),"WAIT",IF(AND(ISNUMBER(D34),ISNUMBER(E34)),IF(ABS(D34-E34)&lt;0.005,"PASS","FAIL"),IF(D34=E34,"PASS","FAIL")))</f>
      </c>
      <c r="G34" t="s">
        <v>266</v>
      </c>
      <c r="H34" t="s">
        <v>266</v>
      </c>
      <c r="I34" t="s">
        <v>267</v>
      </c>
      <c r="J34" t="s">
        <v>166</v>
      </c>
    </row>
    <row r="35" spans="1:10" x14ac:dyDescent="0.25">
      <c r="A35" t="s">
        <v>268</v>
      </c>
      <c r="B35" s="10">
        <f>'[FinanceOS_QA_Baseline.xlsx]Business Engine'!B49</f>
      </c>
      <c r="C35" s="10">
        <f>'[FinanceOS_v1.0-QA-RC1.xlsx]Business Engine'!B49</f>
      </c>
      <c r="D35">
        <f>IF(OR(B35="",C35=""),"",IF(AND(ISNUMBER(B35),ISNUMBER(C35)),C35-B35,IF(B35=C35,0,"≠")))</f>
      </c>
      <c r="E35">
        <f>0</f>
      </c>
      <c r="F35">
        <f>IF(OR(B35="",C35=""),"WAIT",IF(AND(ISNUMBER(D35),ISNUMBER(E35)),IF(ABS(D35-E35)&lt;0.005,"PASS","FAIL"),IF(D35=E35,"PASS","FAIL")))</f>
      </c>
      <c r="G35" t="s">
        <v>269</v>
      </c>
      <c r="H35" t="s">
        <v>266</v>
      </c>
      <c r="I35" t="s">
        <v>270</v>
      </c>
      <c r="J35" t="s">
        <v>166</v>
      </c>
    </row>
    <row r="36" spans="1:10" x14ac:dyDescent="0.25">
      <c r="A36" t="s">
        <v>271</v>
      </c>
      <c r="B36" s="10">
        <f>'[FinanceOS_QA_Baseline.xlsx]Business Engine'!B50</f>
      </c>
      <c r="C36" s="10">
        <f>'[FinanceOS_v1.0-QA-RC1.xlsx]Business Engine'!B50</f>
      </c>
      <c r="D36">
        <f>IF(OR(B36="",C36=""),"",IF(AND(ISNUMBER(B36),ISNUMBER(C36)),C36-B36,IF(B36=C36,0,"≠")))</f>
      </c>
      <c r="E36">
        <f>0</f>
      </c>
      <c r="F36">
        <f>IF(OR(B36="",C36=""),"WAIT",IF(AND(ISNUMBER(D36),ISNUMBER(E36)),IF(ABS(D36-E36)&lt;0.005,"PASS","FAIL"),IF(D36=E36,"PASS","FAIL")))</f>
      </c>
      <c r="G36" t="s">
        <v>272</v>
      </c>
      <c r="H36" t="s">
        <v>266</v>
      </c>
      <c r="I36" t="s">
        <v>273</v>
      </c>
      <c r="J36" t="s">
        <v>166</v>
      </c>
    </row>
    <row r="37" spans="1:10" x14ac:dyDescent="0.25">
      <c r="A37" t="s">
        <v>274</v>
      </c>
      <c r="B37" s="10">
        <f>'[FinanceOS_QA_Baseline.xlsx]Business Engine'!B53</f>
      </c>
      <c r="C37" s="10">
        <f>'[FinanceOS_v1.0-QA-RC1.xlsx]Business Engine'!B53</f>
      </c>
      <c r="D37">
        <f>IF(OR(B37="",C37=""),"",IF(AND(ISNUMBER(B37),ISNUMBER(C37)),C37-B37,IF(B37=C37,0,"≠")))</f>
      </c>
      <c r="E37">
        <f>0</f>
      </c>
      <c r="F37">
        <f>IF(OR(B37="",C37=""),"WAIT",IF(AND(ISNUMBER(D37),ISNUMBER(E37)),IF(ABS(D37-E37)&lt;0.005,"PASS","FAIL"),IF(D37=E37,"PASS","FAIL")))</f>
      </c>
      <c r="G37" t="s">
        <v>275</v>
      </c>
      <c r="H37" t="s">
        <v>276</v>
      </c>
      <c r="I37" t="s">
        <v>277</v>
      </c>
      <c r="J37" t="s">
        <v>166</v>
      </c>
    </row>
    <row r="38" spans="1:10" x14ac:dyDescent="0.25">
      <c r="A38" t="s">
        <v>278</v>
      </c>
      <c r="B38" s="10">
        <f>'[FinanceOS_QA_Baseline.xlsx]Business Engine'!B54</f>
      </c>
      <c r="C38" s="10">
        <f>'[FinanceOS_v1.0-QA-RC1.xlsx]Business Engine'!B54</f>
      </c>
      <c r="D38">
        <f>IF(OR(B38="",C38=""),"",IF(AND(ISNUMBER(B38),ISNUMBER(C38)),C38-B38,IF(B38=C38,0,"≠")))</f>
      </c>
      <c r="E38">
        <f>0</f>
      </c>
      <c r="F38">
        <f>IF(OR(B38="",C38=""),"WAIT",IF(AND(ISNUMBER(D38),ISNUMBER(E38)),IF(ABS(D38-E38)&lt;0.005,"PASS","FAIL"),IF(D38=E38,"PASS","FAIL")))</f>
      </c>
      <c r="G38" t="s">
        <v>279</v>
      </c>
      <c r="H38" t="s">
        <v>276</v>
      </c>
      <c r="I38" t="s">
        <v>280</v>
      </c>
      <c r="J38" t="s">
        <v>166</v>
      </c>
    </row>
    <row r="39" spans="1:10" x14ac:dyDescent="0.25">
      <c r="A39" t="s">
        <v>281</v>
      </c>
      <c r="B39" s="10">
        <f>'[FinanceOS_QA_Baseline.xlsx]Business Engine'!B55</f>
      </c>
      <c r="C39" s="10">
        <f>'[FinanceOS_v1.0-QA-RC1.xlsx]Business Engine'!B55</f>
      </c>
      <c r="D39">
        <f>IF(OR(B39="",C39=""),"",IF(AND(ISNUMBER(B39),ISNUMBER(C39)),C39-B39,IF(B39=C39,0,"≠")))</f>
      </c>
      <c r="E39">
        <f>0</f>
      </c>
      <c r="F39">
        <f>IF(OR(B39="",C39=""),"WAIT",IF(AND(ISNUMBER(D39),ISNUMBER(E39)),IF(ABS(D39-E39)&lt;0.005,"PASS","FAIL"),IF(D39=E39,"PASS","FAIL")))</f>
      </c>
      <c r="G39" t="s">
        <v>282</v>
      </c>
      <c r="H39" t="s">
        <v>276</v>
      </c>
      <c r="I39" t="s">
        <v>283</v>
      </c>
      <c r="J39" t="s">
        <v>166</v>
      </c>
    </row>
    <row r="40" spans="1:10" x14ac:dyDescent="0.25">
      <c r="A40" t="s">
        <v>284</v>
      </c>
      <c r="B40" s="10">
        <f>'[FinanceOS_QA_Baseline.xlsx]Business Engine'!B56</f>
      </c>
      <c r="C40" s="10">
        <f>'[FinanceOS_v1.0-QA-RC1.xlsx]Business Engine'!B56</f>
      </c>
      <c r="D40">
        <f>IF(OR(B40="",C40=""),"",IF(AND(ISNUMBER(B40),ISNUMBER(C40)),C40-B40,IF(B40=C40,0,"≠")))</f>
      </c>
      <c r="E40">
        <f>0</f>
      </c>
      <c r="F40">
        <f>IF(OR(B40="",C40=""),"WAIT",IF(AND(ISNUMBER(D40),ISNUMBER(E40)),IF(ABS(D40-E40)&lt;0.005,"PASS","FAIL"),IF(D40=E40,"PASS","FAIL")))</f>
      </c>
      <c r="G40" t="s">
        <v>285</v>
      </c>
      <c r="H40" t="s">
        <v>276</v>
      </c>
      <c r="I40" t="s">
        <v>286</v>
      </c>
      <c r="J40" t="s">
        <v>166</v>
      </c>
    </row>
    <row r="41" spans="1:10" x14ac:dyDescent="0.25">
      <c r="A41" t="s">
        <v>287</v>
      </c>
      <c r="B41" s="10">
        <f>'[FinanceOS_QA_Baseline.xlsx]Business Engine'!B57</f>
      </c>
      <c r="C41" s="10">
        <f>'[FinanceOS_v1.0-QA-RC1.xlsx]Business Engine'!B57</f>
      </c>
      <c r="D41">
        <f>IF(OR(B41="",C41=""),"",IF(AND(ISNUMBER(B41),ISNUMBER(C41)),C41-B41,IF(B41=C41,0,"≠")))</f>
      </c>
      <c r="E41">
        <f>0</f>
      </c>
      <c r="F41">
        <f>IF(OR(B41="",C41=""),"WAIT",IF(AND(ISNUMBER(D41),ISNUMBER(E41)),IF(ABS(D41-E41)&lt;0.005,"PASS","FAIL"),IF(D41=E41,"PASS","FAIL")))</f>
      </c>
      <c r="G41" t="s">
        <v>288</v>
      </c>
      <c r="H41" t="s">
        <v>276</v>
      </c>
      <c r="I41" t="s">
        <v>289</v>
      </c>
      <c r="J41" t="s">
        <v>166</v>
      </c>
    </row>
    <row r="42" spans="1:10" x14ac:dyDescent="0.25">
      <c r="A42" t="s">
        <v>290</v>
      </c>
      <c r="B42" s="11">
        <f>'[FinanceOS_QA_Baseline.xlsx]Business Engine'!B58</f>
      </c>
      <c r="C42" s="11">
        <f>'[FinanceOS_v1.0-QA-RC1.xlsx]Business Engine'!B58</f>
      </c>
      <c r="D42">
        <f>IF(OR(B42="",C42=""),"",IF(AND(ISNUMBER(B42),ISNUMBER(C42)),C42-B42,IF(B42=C42,0,"≠")))</f>
      </c>
      <c r="E42">
        <f>0</f>
      </c>
      <c r="F42">
        <f>IF(OR(B42="",C42=""),"WAIT",IF(AND(ISNUMBER(D42),ISNUMBER(E42)),IF(ABS(D42-E42)&lt;0.005,"PASS","FAIL"),IF(D42=E42,"PASS","FAIL")))</f>
      </c>
      <c r="G42" t="s">
        <v>291</v>
      </c>
      <c r="H42" t="s">
        <v>276</v>
      </c>
      <c r="I42" t="s">
        <v>292</v>
      </c>
      <c r="J42" t="s">
        <v>166</v>
      </c>
    </row>
    <row r="43" spans="1:10" x14ac:dyDescent="0.25">
      <c r="A43" t="s">
        <v>293</v>
      </c>
      <c r="B43" s="10">
        <f>'[FinanceOS_QA_Baseline.xlsx]Business Engine'!B61</f>
      </c>
      <c r="C43" s="10">
        <f>'[FinanceOS_v1.0-QA-RC1.xlsx]Business Engine'!B61</f>
      </c>
      <c r="D43">
        <f>IF(OR(B43="",C43=""),"",IF(AND(ISNUMBER(B43),ISNUMBER(C43)),C43-B43,IF(B43=C43,0,"≠")))</f>
      </c>
      <c r="E43">
        <f>IF(AND(OR($J$7="Completed",$J$7="Reconciled"),$J$6="Income",$J$9),$J$3,0)</f>
      </c>
      <c r="F43">
        <f>IF(OR(B43="",C43=""),"WAIT",IF(AND(ISNUMBER(D43),ISNUMBER(E43)),IF(ABS(D43-E43)&lt;0.005,"PASS","FAIL"),IF(D43=E43,"PASS","FAIL")))</f>
      </c>
      <c r="G43" t="s">
        <v>56</v>
      </c>
      <c r="H43" t="s">
        <v>294</v>
      </c>
      <c r="I43" t="s">
        <v>295</v>
      </c>
      <c r="J43" t="s">
        <v>166</v>
      </c>
    </row>
    <row r="44" spans="1:10" x14ac:dyDescent="0.25">
      <c r="A44" t="s">
        <v>296</v>
      </c>
      <c r="B44" s="10">
        <f>'[FinanceOS_QA_Baseline.xlsx]Business Engine'!B62</f>
      </c>
      <c r="C44" s="10">
        <f>'[FinanceOS_v1.0-QA-RC1.xlsx]Business Engine'!B62</f>
      </c>
      <c r="D44">
        <f>IF(OR(B44="",C44=""),"",IF(AND(ISNUMBER(B44),ISNUMBER(C44)),C44-B44,IF(B44=C44,0,"≠")))</f>
      </c>
      <c r="E44">
        <f>IF(AND(OR($J$7="Completed",$J$7="Reconciled"),$J$6="Expense",$J$9),$J$3,0)</f>
      </c>
      <c r="F44">
        <f>IF(OR(B44="",C44=""),"WAIT",IF(AND(ISNUMBER(D44),ISNUMBER(E44)),IF(ABS(D44-E44)&lt;0.005,"PASS","FAIL"),IF(D44=E44,"PASS","FAIL")))</f>
      </c>
      <c r="G44" t="s">
        <v>297</v>
      </c>
      <c r="H44" t="s">
        <v>294</v>
      </c>
      <c r="I44" t="s">
        <v>298</v>
      </c>
      <c r="J44" t="s">
        <v>166</v>
      </c>
    </row>
    <row r="45" spans="1:10" x14ac:dyDescent="0.25">
      <c r="A45" t="s">
        <v>299</v>
      </c>
      <c r="B45" s="10">
        <f>'[FinanceOS_QA_Baseline.xlsx]Business Engine'!B63</f>
      </c>
      <c r="C45" s="10">
        <f>'[FinanceOS_v1.0-QA-RC1.xlsx]Business Engine'!B63</f>
      </c>
      <c r="D45">
        <f>IF(OR(B45="",C45=""),"",IF(AND(ISNUMBER(B45),ISNUMBER(C45)),C45-B45,IF(B45=C45,0,"≠")))</f>
      </c>
      <c r="E45">
        <f>IF(AND(OR($J$7="Completed",$J$7="Reconciled"),$J$9),IF($J$6="Income",$J$3,IF($J$6="Expense",-$J$3,0)),0)</f>
      </c>
      <c r="F45">
        <f>IF(OR(B45="",C45=""),"WAIT",IF(AND(ISNUMBER(D45),ISNUMBER(E45)),IF(ABS(D45-E45)&lt;0.005,"PASS","FAIL"),IF(D45=E45,"PASS","FAIL")))</f>
      </c>
      <c r="G45" t="s">
        <v>300</v>
      </c>
      <c r="H45" t="s">
        <v>294</v>
      </c>
      <c r="I45" t="s">
        <v>301</v>
      </c>
      <c r="J45" t="s">
        <v>166</v>
      </c>
    </row>
    <row r="46" spans="1:10" x14ac:dyDescent="0.25">
      <c r="A46" t="s">
        <v>302</v>
      </c>
      <c r="B46" s="11">
        <f>'[FinanceOS_QA_Baseline.xlsx]Business Engine'!B64</f>
      </c>
      <c r="C46" s="11">
        <f>'[FinanceOS_v1.0-QA-RC1.xlsx]Business Engine'!B64</f>
      </c>
      <c r="D46">
        <f>IF(OR(B46="",C46=""),"",IF(AND(ISNUMBER(B46),ISNUMBER(C46)),C46-B46,IF(B46=C46,0,"≠")))</f>
      </c>
      <c r="E46">
        <f>0</f>
      </c>
      <c r="F46">
        <f>IF(OR(B46="",C46=""),"WAIT",IF(AND(ISNUMBER(D46),ISNUMBER(E46)),IF(ABS(D46-E46)&lt;0.005,"PASS","FAIL"),IF(D46=E46,"PASS","FAIL")))</f>
      </c>
      <c r="G46" t="s">
        <v>303</v>
      </c>
      <c r="H46" t="s">
        <v>294</v>
      </c>
      <c r="I46" t="s">
        <v>304</v>
      </c>
      <c r="J46" t="s">
        <v>166</v>
      </c>
    </row>
    <row r="47" spans="1:10" x14ac:dyDescent="0.25">
      <c r="A47" t="s">
        <v>305</v>
      </c>
      <c r="B47" s="10">
        <f>'[FinanceOS_QA_Baseline.xlsx]Business Engine'!B65</f>
      </c>
      <c r="C47" s="10">
        <f>'[FinanceOS_v1.0-QA-RC1.xlsx]Business Engine'!B65</f>
      </c>
      <c r="D47">
        <f>IF(OR(B47="",C47=""),"",IF(AND(ISNUMBER(B47),ISNUMBER(C47)),C47-B47,IF(B47=C47,0,"≠")))</f>
      </c>
      <c r="E47">
        <f>0</f>
      </c>
      <c r="F47">
        <f>IF(OR(B47="",C47=""),"WAIT",IF(AND(ISNUMBER(D47),ISNUMBER(E47)),IF(ABS(D47-E47)&lt;0.005,"PASS","FAIL"),IF(D47=E47,"PASS","FAIL")))</f>
      </c>
      <c r="G47" t="s">
        <v>266</v>
      </c>
      <c r="H47" t="s">
        <v>294</v>
      </c>
      <c r="I47" t="s">
        <v>306</v>
      </c>
      <c r="J47" t="s">
        <v>166</v>
      </c>
    </row>
    <row r="48" spans="1:10" x14ac:dyDescent="0.25">
      <c r="A48" t="s">
        <v>307</v>
      </c>
      <c r="B48" s="11">
        <f>'[FinanceOS_QA_Baseline.xlsx]Business Engine'!B66</f>
      </c>
      <c r="C48" s="11">
        <f>'[FinanceOS_v1.0-QA-RC1.xlsx]Business Engine'!B66</f>
      </c>
      <c r="D48">
        <f>IF(OR(B48="",C48=""),"",IF(AND(ISNUMBER(B48),ISNUMBER(C48)),C48-B48,IF(B48=C48,0,"≠")))</f>
      </c>
      <c r="E48">
        <f>0</f>
      </c>
      <c r="F48">
        <f>IF(OR(B48="",C48=""),"WAIT",IF(AND(ISNUMBER(D48),ISNUMBER(E48)),IF(ABS(D48-E48)&lt;0.005,"PASS","FAIL"),IF(D48=E48,"PASS","FAIL")))</f>
      </c>
      <c r="G48" t="s">
        <v>308</v>
      </c>
      <c r="H48" t="s">
        <v>294</v>
      </c>
      <c r="I48" t="s">
        <v>309</v>
      </c>
      <c r="J48" t="s">
        <v>166</v>
      </c>
    </row>
    <row r="49" spans="1:10" x14ac:dyDescent="0.25">
      <c r="A49" t="s">
        <v>310</v>
      </c>
      <c r="B49" s="11">
        <f>'[FinanceOS_QA_Baseline.xlsx]Business Engine'!B67</f>
      </c>
      <c r="C49" s="11">
        <f>'[FinanceOS_v1.0-QA-RC1.xlsx]Business Engine'!B67</f>
      </c>
      <c r="D49">
        <f>IF(OR(B49="",C49=""),"",IF(AND(ISNUMBER(B49),ISNUMBER(C49)),C49-B49,IF(B49=C49,0,"≠")))</f>
      </c>
      <c r="E49">
        <f>0</f>
      </c>
      <c r="F49">
        <f>IF(OR(B49="",C49=""),"WAIT",IF(AND(ISNUMBER(D49),ISNUMBER(E49)),IF(ABS(D49-E49)&lt;0.005,"PASS","FAIL"),IF(D49=E49,"PASS","FAIL")))</f>
      </c>
      <c r="G49" t="s">
        <v>311</v>
      </c>
      <c r="H49" t="s">
        <v>294</v>
      </c>
      <c r="I49" t="s">
        <v>312</v>
      </c>
      <c r="J49" t="s">
        <v>166</v>
      </c>
    </row>
    <row r="50" spans="1:10" x14ac:dyDescent="0.25">
      <c r="A50" t="s">
        <v>313</v>
      </c>
      <c r="B50" s="11">
        <f>'[FinanceOS_QA_Baseline.xlsx]Business Engine'!B68</f>
      </c>
      <c r="C50" s="11">
        <f>'[FinanceOS_v1.0-QA-RC1.xlsx]Business Engine'!B68</f>
      </c>
      <c r="D50">
        <f>IF(OR(B50="",C50=""),"",IF(AND(ISNUMBER(B50),ISNUMBER(C50)),C50-B50,IF(B50=C50,0,"≠")))</f>
      </c>
      <c r="E50">
        <f>0</f>
      </c>
      <c r="F50">
        <f>IF(OR(B50="",C50=""),"WAIT",IF(AND(ISNUMBER(D50),ISNUMBER(E50)),IF(ABS(D50-E50)&lt;0.005,"PASS","FAIL"),IF(D50=E50,"PASS","FAIL")))</f>
      </c>
      <c r="G50" t="s">
        <v>314</v>
      </c>
      <c r="H50" t="s">
        <v>294</v>
      </c>
      <c r="I50" t="s">
        <v>315</v>
      </c>
      <c r="J50" t="s">
        <v>166</v>
      </c>
    </row>
    <row r="51" spans="1:10" x14ac:dyDescent="0.25">
      <c r="A51" t="s">
        <v>46</v>
      </c>
      <c r="B51" s="12">
        <f>'[FinanceOS_QA_Baseline.xlsx]Business Engine'!B1</f>
      </c>
      <c r="C51" s="12">
        <f>'[FinanceOS_v1.0-QA-RC1.xlsx]Business Engine'!B1</f>
      </c>
      <c r="D51">
        <f>IF(OR(B51="",C51=""),"",IF(AND(ISNUMBER(B51),ISNUMBER(C51)),C51-B51,IF(B51=C51,0,"≠")))</f>
      </c>
      <c r="E51">
        <f>0</f>
      </c>
      <c r="F51">
        <f>IF(OR(B51="",C51=""),"WAIT",IF(AND(ISNUMBER(D51),ISNUMBER(E51)),IF(ABS(D51-E51)&lt;0.005,"PASS","FAIL"),IF(D51=E51,"PASS","FAIL")))</f>
      </c>
      <c r="G51" t="s">
        <v>316</v>
      </c>
      <c r="H51" t="s">
        <v>317</v>
      </c>
      <c r="I51" t="s">
        <v>318</v>
      </c>
      <c r="J51" t="s">
        <v>166</v>
      </c>
    </row>
    <row r="52" spans="1:10" x14ac:dyDescent="0.25">
      <c r="A52" t="s">
        <v>319</v>
      </c>
      <c r="B52" s="12">
        <f>'[FinanceOS_QA_Baseline.xlsx]Analysis Engine'!B2</f>
      </c>
      <c r="C52" s="12">
        <f>'[FinanceOS_v1.0-QA-RC1.xlsx]Analysis Engine'!B2</f>
      </c>
      <c r="D52">
        <f>IF(OR(B52="",C52=""),"",IF(AND(ISNUMBER(B52),ISNUMBER(C52)),C52-B52,IF(B52=C52,0,"≠")))</f>
      </c>
      <c r="E52">
        <f>0</f>
      </c>
      <c r="F52">
        <f>IF(OR(B52="",C52=""),"WAIT",IF(AND(ISNUMBER(D52),ISNUMBER(E52)),IF(ABS(D52-E52)&lt;0.005,"PASS","FAIL"),IF(D52=E52,"PASS","FAIL")))</f>
      </c>
      <c r="G52" t="s">
        <v>316</v>
      </c>
      <c r="H52" t="s">
        <v>320</v>
      </c>
      <c r="I52" t="s">
        <v>321</v>
      </c>
      <c r="J52" t="s">
        <v>320</v>
      </c>
    </row>
    <row r="53" spans="1:10" x14ac:dyDescent="0.25">
      <c r="A53" t="s">
        <v>322</v>
      </c>
      <c r="B53" s="10">
        <f>'[FinanceOS_QA_Baseline.xlsx]Analysis Engine'!B6</f>
      </c>
      <c r="C53" s="10">
        <f>'[FinanceOS_v1.0-QA-RC1.xlsx]Analysis Engine'!B6</f>
      </c>
      <c r="D53">
        <f>IF(OR(B53="",C53=""),"",IF(AND(ISNUMBER(B53),ISNUMBER(C53)),C53-B53,IF(B53=C53,0,"≠")))</f>
      </c>
      <c r="E53">
        <f>0</f>
      </c>
      <c r="F53">
        <f>IF(OR(B53="",C53=""),"WAIT",IF(AND(ISNUMBER(D53),ISNUMBER(E53)),IF(ABS(D53-E53)&lt;0.005,"PASS","FAIL"),IF(D53=E53,"PASS","FAIL")))</f>
      </c>
      <c r="G53" t="s">
        <v>323</v>
      </c>
      <c r="H53" t="s">
        <v>320</v>
      </c>
      <c r="I53" t="s">
        <v>172</v>
      </c>
      <c r="J53" t="s">
        <v>320</v>
      </c>
    </row>
    <row r="54" spans="1:10" x14ac:dyDescent="0.25">
      <c r="A54" t="s">
        <v>324</v>
      </c>
      <c r="B54" s="10">
        <f>'[FinanceOS_QA_Baseline.xlsx]Analysis Engine'!B7</f>
      </c>
      <c r="C54" s="10">
        <f>'[FinanceOS_v1.0-QA-RC1.xlsx]Analysis Engine'!B7</f>
      </c>
      <c r="D54">
        <f>IF(OR(B54="",C54=""),"",IF(AND(ISNUMBER(B54),ISNUMBER(C54)),C54-B54,IF(B54=C54,0,"≠")))</f>
      </c>
      <c r="E54">
        <f>0</f>
      </c>
      <c r="F54">
        <f>IF(OR(B54="",C54=""),"WAIT",IF(AND(ISNUMBER(D54),ISNUMBER(E54)),IF(ABS(D54-E54)&lt;0.005,"PASS","FAIL"),IF(D54=E54,"PASS","FAIL")))</f>
      </c>
      <c r="G54" t="s">
        <v>325</v>
      </c>
      <c r="H54" t="s">
        <v>320</v>
      </c>
      <c r="I54" t="s">
        <v>175</v>
      </c>
      <c r="J54" t="s">
        <v>320</v>
      </c>
    </row>
    <row r="55" spans="1:10" x14ac:dyDescent="0.25">
      <c r="A55" t="s">
        <v>326</v>
      </c>
      <c r="B55" s="10">
        <f>'[FinanceOS_QA_Baseline.xlsx]Analysis Engine'!B8</f>
      </c>
      <c r="C55" s="10">
        <f>'[FinanceOS_v1.0-QA-RC1.xlsx]Analysis Engine'!B8</f>
      </c>
      <c r="D55">
        <f>IF(OR(B55="",C55=""),"",IF(AND(ISNUMBER(B55),ISNUMBER(C55)),C55-B55,IF(B55=C55,0,"≠")))</f>
      </c>
      <c r="E55">
        <f>0</f>
      </c>
      <c r="F55">
        <f>IF(OR(B55="",C55=""),"WAIT",IF(AND(ISNUMBER(D55),ISNUMBER(E55)),IF(ABS(D55-E55)&lt;0.005,"PASS","FAIL"),IF(D55=E55,"PASS","FAIL")))</f>
      </c>
      <c r="G55" t="s">
        <v>327</v>
      </c>
      <c r="H55" t="s">
        <v>320</v>
      </c>
      <c r="I55" t="s">
        <v>178</v>
      </c>
      <c r="J55" t="s">
        <v>320</v>
      </c>
    </row>
    <row r="56" spans="1:10" x14ac:dyDescent="0.25">
      <c r="A56" t="s">
        <v>328</v>
      </c>
      <c r="B56" s="10">
        <f>'[FinanceOS_QA_Baseline.xlsx]Analysis Engine'!B9</f>
      </c>
      <c r="C56" s="10">
        <f>'[FinanceOS_v1.0-QA-RC1.xlsx]Analysis Engine'!B9</f>
      </c>
      <c r="D56">
        <f>IF(OR(B56="",C56=""),"",IF(AND(ISNUMBER(B56),ISNUMBER(C56)),C56-B56,IF(B56=C56,0,"≠")))</f>
      </c>
      <c r="E56">
        <f>0</f>
      </c>
      <c r="F56">
        <f>IF(OR(B56="",C56=""),"WAIT",IF(AND(ISNUMBER(D56),ISNUMBER(E56)),IF(ABS(D56-E56)&lt;0.005,"PASS","FAIL"),IF(D56=E56,"PASS","FAIL")))</f>
      </c>
      <c r="G56" t="s">
        <v>329</v>
      </c>
      <c r="H56" t="s">
        <v>320</v>
      </c>
      <c r="I56" t="s">
        <v>181</v>
      </c>
      <c r="J56" t="s">
        <v>320</v>
      </c>
    </row>
    <row r="57" spans="1:10" x14ac:dyDescent="0.25">
      <c r="A57" t="s">
        <v>330</v>
      </c>
      <c r="B57" s="10">
        <f>'[FinanceOS_QA_Baseline.xlsx]Analysis Engine'!B10</f>
      </c>
      <c r="C57" s="10">
        <f>'[FinanceOS_v1.0-QA-RC1.xlsx]Analysis Engine'!B10</f>
      </c>
      <c r="D57">
        <f>IF(OR(B57="",C57=""),"",IF(AND(ISNUMBER(B57),ISNUMBER(C57)),C57-B57,IF(B57=C57,0,"≠")))</f>
      </c>
      <c r="E57">
        <f>0</f>
      </c>
      <c r="F57">
        <f>IF(OR(B57="",C57=""),"WAIT",IF(AND(ISNUMBER(D57),ISNUMBER(E57)),IF(ABS(D57-E57)&lt;0.005,"PASS","FAIL"),IF(D57=E57,"PASS","FAIL")))</f>
      </c>
      <c r="G57" t="s">
        <v>331</v>
      </c>
      <c r="H57" t="s">
        <v>320</v>
      </c>
      <c r="I57" t="s">
        <v>332</v>
      </c>
      <c r="J57" t="s">
        <v>320</v>
      </c>
    </row>
    <row r="58" spans="1:10" x14ac:dyDescent="0.25">
      <c r="A58" t="s">
        <v>333</v>
      </c>
      <c r="B58" s="10">
        <f>'[FinanceOS_QA_Baseline.xlsx]Analysis Engine'!B11</f>
      </c>
      <c r="C58" s="10">
        <f>'[FinanceOS_v1.0-QA-RC1.xlsx]Analysis Engine'!B11</f>
      </c>
      <c r="D58">
        <f>IF(OR(B58="",C58=""),"",IF(AND(ISNUMBER(B58),ISNUMBER(C58)),C58-B58,IF(B58=C58,0,"≠")))</f>
      </c>
      <c r="E58">
        <f>0</f>
      </c>
      <c r="F58">
        <f>IF(OR(B58="",C58=""),"WAIT",IF(AND(ISNUMBER(D58),ISNUMBER(E58)),IF(ABS(D58-E58)&lt;0.005,"PASS","FAIL"),IF(D58=E58,"PASS","FAIL")))</f>
      </c>
      <c r="G58" t="s">
        <v>334</v>
      </c>
      <c r="H58" t="s">
        <v>320</v>
      </c>
      <c r="I58" t="s">
        <v>335</v>
      </c>
      <c r="J58" t="s">
        <v>320</v>
      </c>
    </row>
    <row r="59" spans="1:10" x14ac:dyDescent="0.25">
      <c r="A59" t="s">
        <v>336</v>
      </c>
      <c r="B59" s="10">
        <f>'[FinanceOS_QA_Baseline.xlsx]Analysis Engine'!C6</f>
      </c>
      <c r="C59" s="10">
        <f>'[FinanceOS_v1.0-QA-RC1.xlsx]Analysis Engine'!C6</f>
      </c>
      <c r="D59">
        <f>IF(OR(B59="",C59=""),"",IF(AND(ISNUMBER(B59),ISNUMBER(C59)),C59-B59,IF(B59=C59,0,"≠")))</f>
      </c>
      <c r="E59">
        <f>0</f>
      </c>
      <c r="F59">
        <f>IF(OR(B59="",C59=""),"WAIT",IF(AND(ISNUMBER(D59),ISNUMBER(E59)),IF(ABS(D59-E59)&lt;0.005,"PASS","FAIL"),IF(D59=E59,"PASS","FAIL")))</f>
      </c>
      <c r="G59" t="s">
        <v>337</v>
      </c>
      <c r="H59" t="s">
        <v>320</v>
      </c>
      <c r="I59" t="s">
        <v>338</v>
      </c>
      <c r="J59" t="s">
        <v>320</v>
      </c>
    </row>
    <row r="60" spans="1:10" x14ac:dyDescent="0.25">
      <c r="A60" t="s">
        <v>339</v>
      </c>
      <c r="B60" s="10">
        <f>'[FinanceOS_QA_Baseline.xlsx]Analysis Engine'!D6</f>
      </c>
      <c r="C60" s="10">
        <f>'[FinanceOS_v1.0-QA-RC1.xlsx]Analysis Engine'!D6</f>
      </c>
      <c r="D60">
        <f>IF(OR(B60="",C60=""),"",IF(AND(ISNUMBER(B60),ISNUMBER(C60)),C60-B60,IF(B60=C60,0,"≠")))</f>
      </c>
      <c r="E60">
        <f>0</f>
      </c>
      <c r="F60">
        <f>IF(OR(B60="",C60=""),"WAIT",IF(AND(ISNUMBER(D60),ISNUMBER(E60)),IF(ABS(D60-E60)&lt;0.005,"PASS","FAIL"),IF(D60=E60,"PASS","FAIL")))</f>
      </c>
      <c r="G60" t="s">
        <v>340</v>
      </c>
      <c r="H60" t="s">
        <v>320</v>
      </c>
      <c r="I60" t="s">
        <v>341</v>
      </c>
      <c r="J60" t="s">
        <v>320</v>
      </c>
    </row>
    <row r="61" spans="1:10" x14ac:dyDescent="0.25">
      <c r="A61" t="s">
        <v>342</v>
      </c>
      <c r="B61" s="10">
        <f>'[FinanceOS_QA_Baseline.xlsx]Analysis Engine'!B14</f>
      </c>
      <c r="C61" s="10">
        <f>'[FinanceOS_v1.0-QA-RC1.xlsx]Analysis Engine'!B14</f>
      </c>
      <c r="D61">
        <f>IF(OR(B61="",C61=""),"",IF(AND(ISNUMBER(B61),ISNUMBER(C61)),C61-B61,IF(B61=C61,0,"≠")))</f>
      </c>
      <c r="E61">
        <f>0</f>
      </c>
      <c r="F61">
        <f>IF(OR(B61="",C61=""),"WAIT",IF(AND(ISNUMBER(D61),ISNUMBER(E61)),IF(ABS(D61-E61)&lt;0.005,"PASS","FAIL"),IF(D61=E61,"PASS","FAIL")))</f>
      </c>
      <c r="G61" t="s">
        <v>343</v>
      </c>
      <c r="H61" t="s">
        <v>320</v>
      </c>
      <c r="I61" t="s">
        <v>191</v>
      </c>
      <c r="J61" t="s">
        <v>320</v>
      </c>
    </row>
    <row r="62" spans="1:10" x14ac:dyDescent="0.25">
      <c r="A62" t="s">
        <v>344</v>
      </c>
      <c r="B62" s="10">
        <f>'[FinanceOS_QA_Baseline.xlsx]Analysis Engine'!C14</f>
      </c>
      <c r="C62" s="10">
        <f>'[FinanceOS_v1.0-QA-RC1.xlsx]Analysis Engine'!C14</f>
      </c>
      <c r="D62">
        <f>IF(OR(B62="",C62=""),"",IF(AND(ISNUMBER(B62),ISNUMBER(C62)),C62-B62,IF(B62=C62,0,"≠")))</f>
      </c>
      <c r="E62">
        <f>0</f>
      </c>
      <c r="F62">
        <f>IF(OR(B62="",C62=""),"WAIT",IF(AND(ISNUMBER(D62),ISNUMBER(E62)),IF(ABS(D62-E62)&lt;0.005,"PASS","FAIL"),IF(D62=E62,"PASS","FAIL")))</f>
      </c>
      <c r="G62" t="s">
        <v>345</v>
      </c>
      <c r="H62" t="s">
        <v>320</v>
      </c>
      <c r="I62" t="s">
        <v>346</v>
      </c>
      <c r="J62" t="s">
        <v>320</v>
      </c>
    </row>
    <row r="63" spans="1:10" x14ac:dyDescent="0.25">
      <c r="A63" t="s">
        <v>347</v>
      </c>
      <c r="B63" s="10">
        <f>'[FinanceOS_QA_Baseline.xlsx]Analysis Engine'!D14</f>
      </c>
      <c r="C63" s="10">
        <f>'[FinanceOS_v1.0-QA-RC1.xlsx]Analysis Engine'!D14</f>
      </c>
      <c r="D63">
        <f>IF(OR(B63="",C63=""),"",IF(AND(ISNUMBER(B63),ISNUMBER(C63)),C63-B63,IF(B63=C63,0,"≠")))</f>
      </c>
      <c r="E63">
        <f>0</f>
      </c>
      <c r="F63">
        <f>IF(OR(B63="",C63=""),"WAIT",IF(AND(ISNUMBER(D63),ISNUMBER(E63)),IF(ABS(D63-E63)&lt;0.005,"PASS","FAIL"),IF(D63=E63,"PASS","FAIL")))</f>
      </c>
      <c r="G63" t="s">
        <v>348</v>
      </c>
      <c r="H63" t="s">
        <v>320</v>
      </c>
      <c r="I63" t="s">
        <v>349</v>
      </c>
      <c r="J63" t="s">
        <v>320</v>
      </c>
    </row>
    <row r="64" spans="1:10" x14ac:dyDescent="0.25">
      <c r="A64" t="s">
        <v>350</v>
      </c>
      <c r="B64" s="10">
        <f>'[FinanceOS_QA_Baseline.xlsx]Analysis Engine'!B44</f>
      </c>
      <c r="C64" s="10">
        <f>'[FinanceOS_v1.0-QA-RC1.xlsx]Analysis Engine'!B44</f>
      </c>
      <c r="D64">
        <f>IF(OR(B64="",C64=""),"",IF(AND(ISNUMBER(B64),ISNUMBER(C64)),C64-B64,IF(B64=C64,0,"≠")))</f>
      </c>
      <c r="E64">
        <f>0</f>
      </c>
      <c r="F64">
        <f>IF(OR(B64="",C64=""),"WAIT",IF(AND(ISNUMBER(D64),ISNUMBER(E64)),IF(ABS(D64-E64)&lt;0.005,"PASS","FAIL"),IF(D64=E64,"PASS","FAIL")))</f>
      </c>
      <c r="G64" t="s">
        <v>351</v>
      </c>
      <c r="H64" t="s">
        <v>320</v>
      </c>
      <c r="I64" t="s">
        <v>261</v>
      </c>
      <c r="J64" t="s">
        <v>320</v>
      </c>
    </row>
    <row r="65" spans="1:10" x14ac:dyDescent="0.25">
      <c r="A65" t="s">
        <v>352</v>
      </c>
      <c r="B65" s="10">
        <f>'[FinanceOS_QA_Baseline.xlsx]Analysis Engine'!B45</f>
      </c>
      <c r="C65" s="10">
        <f>'[FinanceOS_v1.0-QA-RC1.xlsx]Analysis Engine'!B45</f>
      </c>
      <c r="D65">
        <f>IF(OR(B65="",C65=""),"",IF(AND(ISNUMBER(B65),ISNUMBER(C65)),C65-B65,IF(B65=C65,0,"≠")))</f>
      </c>
      <c r="E65">
        <f>0</f>
      </c>
      <c r="F65">
        <f>IF(OR(B65="",C65=""),"WAIT",IF(AND(ISNUMBER(D65),ISNUMBER(E65)),IF(ABS(D65-E65)&lt;0.005,"PASS","FAIL"),IF(D65=E65,"PASS","FAIL")))</f>
      </c>
      <c r="G65" t="s">
        <v>353</v>
      </c>
      <c r="H65" t="s">
        <v>320</v>
      </c>
      <c r="I65" t="s">
        <v>264</v>
      </c>
      <c r="J65" t="s">
        <v>320</v>
      </c>
    </row>
    <row r="66" spans="1:10" x14ac:dyDescent="0.25">
      <c r="A66" t="s">
        <v>354</v>
      </c>
      <c r="B66" s="10">
        <f>'[FinanceOS_QA_Baseline.xlsx]Analysis Engine'!B46</f>
      </c>
      <c r="C66" s="10">
        <f>'[FinanceOS_v1.0-QA-RC1.xlsx]Analysis Engine'!B46</f>
      </c>
      <c r="D66">
        <f>IF(OR(B66="",C66=""),"",IF(AND(ISNUMBER(B66),ISNUMBER(C66)),C66-B66,IF(B66=C66,0,"≠")))</f>
      </c>
      <c r="E66">
        <f>0</f>
      </c>
      <c r="F66">
        <f>IF(OR(B66="",C66=""),"WAIT",IF(AND(ISNUMBER(D66),ISNUMBER(E66)),IF(ABS(D66-E66)&lt;0.005,"PASS","FAIL"),IF(D66=E66,"PASS","FAIL")))</f>
      </c>
      <c r="G66" t="s">
        <v>355</v>
      </c>
      <c r="H66" t="s">
        <v>320</v>
      </c>
      <c r="I66" t="s">
        <v>356</v>
      </c>
      <c r="J66" t="s">
        <v>320</v>
      </c>
    </row>
    <row r="67" spans="1:10" x14ac:dyDescent="0.25">
      <c r="A67" t="s">
        <v>357</v>
      </c>
      <c r="B67" s="11">
        <f>'[FinanceOS_QA_Baseline.xlsx]Analysis Engine'!B47</f>
      </c>
      <c r="C67" s="11">
        <f>'[FinanceOS_v1.0-QA-RC1.xlsx]Analysis Engine'!B47</f>
      </c>
      <c r="D67">
        <f>IF(OR(B67="",C67=""),"",IF(AND(ISNUMBER(B67),ISNUMBER(C67)),C67-B67,IF(B67=C67,0,"≠")))</f>
      </c>
      <c r="E67">
        <f>0</f>
      </c>
      <c r="F67">
        <f>IF(OR(B67="",C67=""),"WAIT",IF(AND(ISNUMBER(D67),ISNUMBER(E67)),IF(ABS(D67-E67)&lt;0.005,"PASS","FAIL"),IF(D67=E67,"PASS","FAIL")))</f>
      </c>
      <c r="G67" t="s">
        <v>358</v>
      </c>
      <c r="H67" t="s">
        <v>320</v>
      </c>
      <c r="I67" t="s">
        <v>359</v>
      </c>
      <c r="J67" t="s">
        <v>320</v>
      </c>
    </row>
    <row r="68" spans="1:10" x14ac:dyDescent="0.25">
      <c r="A68" t="s">
        <v>360</v>
      </c>
      <c r="B68" s="10">
        <f>'[FinanceOS_QA_Baseline.xlsx]Analysis Engine'!B48</f>
      </c>
      <c r="C68" s="10">
        <f>'[FinanceOS_v1.0-QA-RC1.xlsx]Analysis Engine'!B48</f>
      </c>
      <c r="D68">
        <f>IF(OR(B68="",C68=""),"",IF(AND(ISNUMBER(B68),ISNUMBER(C68)),C68-B68,IF(B68=C68,0,"≠")))</f>
      </c>
      <c r="E68">
        <f>0</f>
      </c>
      <c r="F68">
        <f>IF(OR(B68="",C68=""),"WAIT",IF(AND(ISNUMBER(D68),ISNUMBER(E68)),IF(ABS(D68-E68)&lt;0.005,"PASS","FAIL"),IF(D68=E68,"PASS","FAIL")))</f>
      </c>
      <c r="G68" t="s">
        <v>212</v>
      </c>
      <c r="H68" t="s">
        <v>320</v>
      </c>
      <c r="I68" t="s">
        <v>267</v>
      </c>
      <c r="J68" t="s">
        <v>320</v>
      </c>
    </row>
    <row r="69" spans="1:10" x14ac:dyDescent="0.25">
      <c r="A69" t="s">
        <v>361</v>
      </c>
      <c r="B69" s="10">
        <f>'[FinanceOS_QA_Baseline.xlsx]Analysis Engine'!B49</f>
      </c>
      <c r="C69" s="10">
        <f>'[FinanceOS_v1.0-QA-RC1.xlsx]Analysis Engine'!B49</f>
      </c>
      <c r="D69">
        <f>IF(OR(B69="",C69=""),"",IF(AND(ISNUMBER(B69),ISNUMBER(C69)),C69-B69,IF(B69=C69,0,"≠")))</f>
      </c>
      <c r="E69">
        <f>0</f>
      </c>
      <c r="F69">
        <f>IF(OR(B69="",C69=""),"WAIT",IF(AND(ISNUMBER(D69),ISNUMBER(E69)),IF(ABS(D69-E69)&lt;0.005,"PASS","FAIL"),IF(D69=E69,"PASS","FAIL")))</f>
      </c>
      <c r="G69" t="s">
        <v>362</v>
      </c>
      <c r="H69" t="s">
        <v>320</v>
      </c>
      <c r="I69" t="s">
        <v>270</v>
      </c>
      <c r="J69" t="s">
        <v>320</v>
      </c>
    </row>
    <row r="70" spans="1:10" x14ac:dyDescent="0.25">
      <c r="A70" t="s">
        <v>363</v>
      </c>
      <c r="B70" s="10">
        <f>'[FinanceOS_QA_Baseline.xlsx]Analysis Engine'!B54</f>
      </c>
      <c r="C70" s="10">
        <f>'[FinanceOS_v1.0-QA-RC1.xlsx]Analysis Engine'!B54</f>
      </c>
      <c r="D70">
        <f>IF(OR(B70="",C70=""),"",IF(AND(ISNUMBER(B70),ISNUMBER(C70)),C70-B70,IF(B70=C70,0,"≠")))</f>
      </c>
      <c r="E70">
        <f>0</f>
      </c>
      <c r="F70">
        <f>IF(OR(B70="",C70=""),"WAIT",IF(AND(ISNUMBER(D70),ISNUMBER(E70)),IF(ABS(D70-E70)&lt;0.005,"PASS","FAIL"),IF(D70=E70,"PASS","FAIL")))</f>
      </c>
      <c r="G70" t="s">
        <v>364</v>
      </c>
      <c r="H70" t="s">
        <v>320</v>
      </c>
      <c r="I70" t="s">
        <v>280</v>
      </c>
      <c r="J70" t="s">
        <v>320</v>
      </c>
    </row>
    <row r="71" spans="1:10" x14ac:dyDescent="0.25">
      <c r="A71" t="s">
        <v>365</v>
      </c>
      <c r="B71" s="10">
        <f>'[FinanceOS_QA_Baseline.xlsx]Analysis Engine'!B55</f>
      </c>
      <c r="C71" s="10">
        <f>'[FinanceOS_v1.0-QA-RC1.xlsx]Analysis Engine'!B55</f>
      </c>
      <c r="D71">
        <f>IF(OR(B71="",C71=""),"",IF(AND(ISNUMBER(B71),ISNUMBER(C71)),C71-B71,IF(B71=C71,0,"≠")))</f>
      </c>
      <c r="E71">
        <f>0</f>
      </c>
      <c r="F71">
        <f>IF(OR(B71="",C71=""),"WAIT",IF(AND(ISNUMBER(D71),ISNUMBER(E71)),IF(ABS(D71-E71)&lt;0.005,"PASS","FAIL"),IF(D71=E71,"PASS","FAIL")))</f>
      </c>
      <c r="G71" t="s">
        <v>366</v>
      </c>
      <c r="H71" t="s">
        <v>320</v>
      </c>
      <c r="I71" t="s">
        <v>283</v>
      </c>
      <c r="J71" t="s">
        <v>320</v>
      </c>
    </row>
    <row r="72" spans="1:10" x14ac:dyDescent="0.25">
      <c r="A72" t="s">
        <v>367</v>
      </c>
      <c r="B72" s="10">
        <f>'[FinanceOS_QA_Baseline.xlsx]Analysis Engine'!B56</f>
      </c>
      <c r="C72" s="10">
        <f>'[FinanceOS_v1.0-QA-RC1.xlsx]Analysis Engine'!B56</f>
      </c>
      <c r="D72">
        <f>IF(OR(B72="",C72=""),"",IF(AND(ISNUMBER(B72),ISNUMBER(C72)),C72-B72,IF(B72=C72,0,"≠")))</f>
      </c>
      <c r="E72">
        <f>0</f>
      </c>
      <c r="F72">
        <f>IF(OR(B72="",C72=""),"WAIT",IF(AND(ISNUMBER(D72),ISNUMBER(E72)),IF(ABS(D72-E72)&lt;0.005,"PASS","FAIL"),IF(D72=E72,"PASS","FAIL")))</f>
      </c>
      <c r="G72" t="s">
        <v>368</v>
      </c>
      <c r="H72" t="s">
        <v>320</v>
      </c>
      <c r="I72" t="s">
        <v>286</v>
      </c>
      <c r="J72" t="s">
        <v>320</v>
      </c>
    </row>
    <row r="73" spans="1:10" x14ac:dyDescent="0.25">
      <c r="A73" t="s">
        <v>369</v>
      </c>
      <c r="B73" s="11">
        <f>'[FinanceOS_QA_Baseline.xlsx]Analysis Engine'!B57</f>
      </c>
      <c r="C73" s="11">
        <f>'[FinanceOS_v1.0-QA-RC1.xlsx]Analysis Engine'!B57</f>
      </c>
      <c r="D73">
        <f>IF(OR(B73="",C73=""),"",IF(AND(ISNUMBER(B73),ISNUMBER(C73)),C73-B73,IF(B73=C73,0,"≠")))</f>
      </c>
      <c r="E73">
        <f>0</f>
      </c>
      <c r="F73">
        <f>IF(OR(B73="",C73=""),"WAIT",IF(AND(ISNUMBER(D73),ISNUMBER(E73)),IF(ABS(D73-E73)&lt;0.005,"PASS","FAIL"),IF(D73=E73,"PASS","FAIL")))</f>
      </c>
      <c r="G73" t="s">
        <v>370</v>
      </c>
      <c r="H73" t="s">
        <v>320</v>
      </c>
      <c r="I73" t="s">
        <v>289</v>
      </c>
      <c r="J73" t="s">
        <v>320</v>
      </c>
    </row>
    <row r="74" spans="1:10" x14ac:dyDescent="0.25">
      <c r="A74" t="s">
        <v>371</v>
      </c>
      <c r="B74" s="10">
        <f>'[FinanceOS_QA_Baseline.xlsx]Analysis Engine'!B58</f>
      </c>
      <c r="C74" s="10">
        <f>'[FinanceOS_v1.0-QA-RC1.xlsx]Analysis Engine'!B58</f>
      </c>
      <c r="D74">
        <f>IF(OR(B74="",C74=""),"",IF(AND(ISNUMBER(B74),ISNUMBER(C74)),C74-B74,IF(B74=C74,0,"≠")))</f>
      </c>
      <c r="E74">
        <f>0</f>
      </c>
      <c r="F74">
        <f>IF(OR(B74="",C74=""),"WAIT",IF(AND(ISNUMBER(D74),ISNUMBER(E74)),IF(ABS(D74-E74)&lt;0.005,"PASS","FAIL"),IF(D74=E74,"PASS","FAIL")))</f>
      </c>
      <c r="G74" t="s">
        <v>247</v>
      </c>
      <c r="H74" t="s">
        <v>320</v>
      </c>
      <c r="I74" t="s">
        <v>292</v>
      </c>
      <c r="J74" t="s">
        <v>320</v>
      </c>
    </row>
    <row r="75" spans="1:10" x14ac:dyDescent="0.25">
      <c r="A75" t="s">
        <v>372</v>
      </c>
      <c r="B75" s="10">
        <f>'[FinanceOS_QA_Baseline.xlsx]Analysis Engine'!B74</f>
      </c>
      <c r="C75" s="10">
        <f>'[FinanceOS_v1.0-QA-RC1.xlsx]Analysis Engine'!B74</f>
      </c>
      <c r="D75">
        <f>IF(OR(B75="",C75=""),"",IF(AND(ISNUMBER(B75),ISNUMBER(C75)),C75-B75,IF(B75=C75,0,"≠")))</f>
      </c>
      <c r="E75">
        <f>0</f>
      </c>
      <c r="F75">
        <f>IF(OR(B75="",C75=""),"WAIT",IF(AND(ISNUMBER(D75),ISNUMBER(E75)),IF(ABS(D75-E75)&lt;0.005,"PASS","FAIL"),IF(D75=E75,"PASS","FAIL")))</f>
      </c>
      <c r="G75" t="s">
        <v>250</v>
      </c>
      <c r="H75" t="s">
        <v>320</v>
      </c>
      <c r="I75" t="s">
        <v>373</v>
      </c>
      <c r="J75" t="s">
        <v>320</v>
      </c>
    </row>
    <row r="76" spans="1:10" x14ac:dyDescent="0.25">
      <c r="A76" t="s">
        <v>374</v>
      </c>
      <c r="B76" s="10">
        <f>'[FinanceOS_QA_Baseline.xlsx]Analysis Engine'!B75</f>
      </c>
      <c r="C76" s="10">
        <f>'[FinanceOS_v1.0-QA-RC1.xlsx]Analysis Engine'!B75</f>
      </c>
      <c r="D76">
        <f>IF(OR(B76="",C76=""),"",IF(AND(ISNUMBER(B76),ISNUMBER(C76)),C76-B76,IF(B76=C76,0,"≠")))</f>
      </c>
      <c r="E76">
        <f>0</f>
      </c>
      <c r="F76">
        <f>IF(OR(B76="",C76=""),"WAIT",IF(AND(ISNUMBER(D76),ISNUMBER(E76)),IF(ABS(D76-E76)&lt;0.005,"PASS","FAIL"),IF(D76=E76,"PASS","FAIL")))</f>
      </c>
      <c r="G76" t="s">
        <v>375</v>
      </c>
      <c r="H76" t="s">
        <v>320</v>
      </c>
      <c r="I76" t="s">
        <v>376</v>
      </c>
      <c r="J76" t="s">
        <v>320</v>
      </c>
    </row>
    <row r="77" spans="1:10" x14ac:dyDescent="0.25">
      <c r="A77" t="s">
        <v>377</v>
      </c>
      <c r="B77" s="10">
        <f>'[FinanceOS_QA_Baseline.xlsx]Analysis Engine'!B76</f>
      </c>
      <c r="C77" s="10">
        <f>'[FinanceOS_v1.0-QA-RC1.xlsx]Analysis Engine'!B76</f>
      </c>
      <c r="D77">
        <f>IF(OR(B77="",C77=""),"",IF(AND(ISNUMBER(B77),ISNUMBER(C77)),C77-B77,IF(B77=C77,0,"≠")))</f>
      </c>
      <c r="E77">
        <f>0</f>
      </c>
      <c r="F77">
        <f>IF(OR(B77="",C77=""),"WAIT",IF(AND(ISNUMBER(D77),ISNUMBER(E77)),IF(ABS(D77-E77)&lt;0.005,"PASS","FAIL"),IF(D77=E77,"PASS","FAIL")))</f>
      </c>
      <c r="G77" t="s">
        <v>257</v>
      </c>
      <c r="H77" t="s">
        <v>320</v>
      </c>
      <c r="I77" t="s">
        <v>378</v>
      </c>
      <c r="J77" t="s">
        <v>320</v>
      </c>
    </row>
    <row r="78" spans="1:10" x14ac:dyDescent="0.25">
      <c r="A78" t="s">
        <v>379</v>
      </c>
      <c r="B78" s="11">
        <f>'[FinanceOS_QA_Baseline.xlsx]Analysis Engine'!B77</f>
      </c>
      <c r="C78" s="11">
        <f>'[FinanceOS_v1.0-QA-RC1.xlsx]Analysis Engine'!B77</f>
      </c>
      <c r="D78">
        <f>IF(OR(B78="",C78=""),"",IF(AND(ISNUMBER(B78),ISNUMBER(C78)),C78-B78,IF(B78=C78,0,"≠")))</f>
      </c>
      <c r="E78">
        <f>0</f>
      </c>
      <c r="F78">
        <f>IF(OR(B78="",C78=""),"WAIT",IF(AND(ISNUMBER(D78),ISNUMBER(E78)),IF(ABS(D78-E78)&lt;0.005,"PASS","FAIL"),IF(D78=E78,"PASS","FAIL")))</f>
      </c>
      <c r="G78" t="s">
        <v>260</v>
      </c>
      <c r="H78" t="s">
        <v>320</v>
      </c>
      <c r="I78" t="s">
        <v>380</v>
      </c>
      <c r="J78" t="s">
        <v>320</v>
      </c>
    </row>
    <row r="79" spans="1:10" x14ac:dyDescent="0.25">
      <c r="A79" t="s">
        <v>381</v>
      </c>
      <c r="B79" s="10">
        <f>'[FinanceOS_QA_Baseline.xlsx]Analysis Engine'!B79</f>
      </c>
      <c r="C79" s="10">
        <f>'[FinanceOS_v1.0-QA-RC1.xlsx]Analysis Engine'!B79</f>
      </c>
      <c r="D79">
        <f>IF(OR(B79="",C79=""),"",IF(AND(ISNUMBER(B79),ISNUMBER(C79)),C79-B79,IF(B79=C79,0,"≠")))</f>
      </c>
      <c r="E79">
        <f>0</f>
      </c>
      <c r="F79">
        <f>IF(OR(B79="",C79=""),"WAIT",IF(AND(ISNUMBER(D79),ISNUMBER(E79)),IF(ABS(D79-E79)&lt;0.005,"PASS","FAIL"),IF(D79=E79,"PASS","FAIL")))</f>
      </c>
      <c r="G79" t="s">
        <v>263</v>
      </c>
      <c r="H79" t="s">
        <v>320</v>
      </c>
      <c r="I79" t="s">
        <v>382</v>
      </c>
      <c r="J79" t="s">
        <v>320</v>
      </c>
    </row>
    <row r="80" spans="1:10" x14ac:dyDescent="0.25">
      <c r="A80" t="s">
        <v>383</v>
      </c>
      <c r="B80" s="11">
        <f>'[FinanceOS_QA_Baseline.xlsx]Analysis Engine'!B80</f>
      </c>
      <c r="C80" s="11">
        <f>'[FinanceOS_v1.0-QA-RC1.xlsx]Analysis Engine'!B80</f>
      </c>
      <c r="D80">
        <f>IF(OR(B80="",C80=""),"",IF(AND(ISNUMBER(B80),ISNUMBER(C80)),C80-B80,IF(B80=C80,0,"≠")))</f>
      </c>
      <c r="E80">
        <f>0</f>
      </c>
      <c r="F80">
        <f>IF(OR(B80="",C80=""),"WAIT",IF(AND(ISNUMBER(D80),ISNUMBER(E80)),IF(ABS(D80-E80)&lt;0.005,"PASS","FAIL"),IF(D80=E80,"PASS","FAIL")))</f>
      </c>
      <c r="G80" t="s">
        <v>308</v>
      </c>
      <c r="H80" t="s">
        <v>320</v>
      </c>
      <c r="I80" t="s">
        <v>384</v>
      </c>
      <c r="J80" t="s">
        <v>320</v>
      </c>
    </row>
    <row r="81" spans="1:10" x14ac:dyDescent="0.25">
      <c r="A81" t="s">
        <v>385</v>
      </c>
      <c r="B81" s="11">
        <f>'[FinanceOS_QA_Baseline.xlsx]Analysis Engine'!B81</f>
      </c>
      <c r="C81" s="11">
        <f>'[FinanceOS_v1.0-QA-RC1.xlsx]Analysis Engine'!B81</f>
      </c>
      <c r="D81">
        <f>IF(OR(B81="",C81=""),"",IF(AND(ISNUMBER(B81),ISNUMBER(C81)),C81-B81,IF(B81=C81,0,"≠")))</f>
      </c>
      <c r="E81">
        <f>0</f>
      </c>
      <c r="F81">
        <f>IF(OR(B81="",C81=""),"WAIT",IF(AND(ISNUMBER(D81),ISNUMBER(E81)),IF(ABS(D81-E81)&lt;0.005,"PASS","FAIL"),IF(D81=E81,"PASS","FAIL")))</f>
      </c>
      <c r="G81" t="s">
        <v>314</v>
      </c>
      <c r="H81" t="s">
        <v>320</v>
      </c>
      <c r="I81" t="s">
        <v>386</v>
      </c>
      <c r="J81" t="s">
        <v>320</v>
      </c>
    </row>
    <row r="82" spans="1:10" x14ac:dyDescent="0.25">
      <c r="A82" t="s">
        <v>387</v>
      </c>
      <c r="B82" s="10">
        <f>'[FinanceOS_QA_Baseline.xlsx]Analysis Engine'!B107</f>
      </c>
      <c r="C82" s="10">
        <f>'[FinanceOS_v1.0-QA-RC1.xlsx]Analysis Engine'!B107</f>
      </c>
      <c r="D82">
        <f>IF(OR(B82="",C82=""),"",IF(AND(ISNUMBER(B82),ISNUMBER(C82)),C82-B82,IF(B82=C82,0,"≠")))</f>
      </c>
      <c r="E82">
        <f>0</f>
      </c>
      <c r="F82">
        <f>IF(OR(B82="",C82=""),"WAIT",IF(AND(ISNUMBER(D82),ISNUMBER(E82)),IF(ABS(D82-E82)&lt;0.005,"PASS","FAIL"),IF(D82=E82,"PASS","FAIL")))</f>
      </c>
      <c r="G82" t="s">
        <v>388</v>
      </c>
      <c r="H82" t="s">
        <v>320</v>
      </c>
      <c r="I82" t="s">
        <v>389</v>
      </c>
      <c r="J82" t="s">
        <v>320</v>
      </c>
    </row>
    <row r="83" spans="1:10" x14ac:dyDescent="0.25">
      <c r="A83" t="s">
        <v>390</v>
      </c>
      <c r="B83" s="11">
        <f>'[FinanceOS_QA_Baseline.xlsx]Analysis Engine'!B108</f>
      </c>
      <c r="C83" s="11">
        <f>'[FinanceOS_v1.0-QA-RC1.xlsx]Analysis Engine'!B108</f>
      </c>
      <c r="D83">
        <f>IF(OR(B83="",C83=""),"",IF(AND(ISNUMBER(B83),ISNUMBER(C83)),C83-B83,IF(B83=C83,0,"≠")))</f>
      </c>
      <c r="E83">
        <f>0</f>
      </c>
      <c r="F83">
        <f>IF(OR(B83="",C83=""),"WAIT",IF(AND(ISNUMBER(D83),ISNUMBER(E83)),IF(ABS(D83-E83)&lt;0.005,"PASS","FAIL"),IF(D83=E83,"PASS","FAIL")))</f>
      </c>
      <c r="G83" t="s">
        <v>291</v>
      </c>
      <c r="H83" t="s">
        <v>320</v>
      </c>
      <c r="I83" t="s">
        <v>391</v>
      </c>
      <c r="J83" t="s">
        <v>320</v>
      </c>
    </row>
    <row r="84" spans="1:10" x14ac:dyDescent="0.25">
      <c r="A84" t="s">
        <v>392</v>
      </c>
      <c r="B84" s="10">
        <f>'[FinanceOS_QA_Baseline.xlsx]Analysis Engine'!B109</f>
      </c>
      <c r="C84" s="10">
        <f>'[FinanceOS_v1.0-QA-RC1.xlsx]Analysis Engine'!B109</f>
      </c>
      <c r="D84">
        <f>IF(OR(B84="",C84=""),"",IF(AND(ISNUMBER(B84),ISNUMBER(C84)),C84-B84,IF(B84=C84,0,"≠")))</f>
      </c>
      <c r="E84">
        <f>0</f>
      </c>
      <c r="F84">
        <f>IF(OR(B84="",C84=""),"WAIT",IF(AND(ISNUMBER(D84),ISNUMBER(E84)),IF(ABS(D84-E84)&lt;0.005,"PASS","FAIL"),IF(D84=E84,"PASS","FAIL")))</f>
      </c>
      <c r="G84" t="s">
        <v>285</v>
      </c>
      <c r="H84" t="s">
        <v>320</v>
      </c>
      <c r="I84" t="s">
        <v>393</v>
      </c>
      <c r="J84" t="s">
        <v>320</v>
      </c>
    </row>
    <row r="85" spans="1:10" x14ac:dyDescent="0.25">
      <c r="A85" t="s">
        <v>394</v>
      </c>
      <c r="B85" s="10">
        <f>'[FinanceOS_QA_Baseline.xlsx]Analysis Engine'!B30</f>
      </c>
      <c r="C85" s="10">
        <f>'[FinanceOS_v1.0-QA-RC1.xlsx]Analysis Engine'!B30</f>
      </c>
      <c r="D85">
        <f>IF(OR(B85="",C85=""),"",IF(AND(ISNUMBER(B85),ISNUMBER(C85)),C85-B85,IF(B85=C85,0,"≠")))</f>
      </c>
      <c r="E85">
        <f>0</f>
      </c>
      <c r="F85">
        <f>IF(OR(B85="",C85=""),"WAIT",IF(AND(ISNUMBER(D85),ISNUMBER(E85)),IF(ABS(D85-E85)&lt;0.005,"PASS","FAIL"),IF(D85=E85,"PASS","FAIL")))</f>
      </c>
      <c r="G85" t="s">
        <v>395</v>
      </c>
      <c r="H85" t="s">
        <v>320</v>
      </c>
      <c r="I85" t="s">
        <v>229</v>
      </c>
      <c r="J85" t="s">
        <v>320</v>
      </c>
    </row>
    <row r="86" spans="1:10" x14ac:dyDescent="0.25">
      <c r="A86" t="s">
        <v>396</v>
      </c>
      <c r="B86" s="10">
        <f>'[FinanceOS_QA_Baseline.xlsx]Analysis Engine'!B37</f>
      </c>
      <c r="C86" s="10">
        <f>'[FinanceOS_v1.0-QA-RC1.xlsx]Analysis Engine'!B37</f>
      </c>
      <c r="D86">
        <f>IF(OR(B86="",C86=""),"",IF(AND(ISNUMBER(B86),ISNUMBER(C86)),C86-B86,IF(B86=C86,0,"≠")))</f>
      </c>
      <c r="E86">
        <f>0</f>
      </c>
      <c r="F86">
        <f>IF(OR(B86="",C86=""),"WAIT",IF(AND(ISNUMBER(D86),ISNUMBER(E86)),IF(ABS(D86-E86)&lt;0.005,"PASS","FAIL"),IF(D86=E86,"PASS","FAIL")))</f>
      </c>
      <c r="G86" t="s">
        <v>397</v>
      </c>
      <c r="H86" t="s">
        <v>320</v>
      </c>
      <c r="I86" t="s">
        <v>245</v>
      </c>
      <c r="J86" t="s">
        <v>320</v>
      </c>
    </row>
    <row r="87" spans="1:10" x14ac:dyDescent="0.25">
      <c r="A87" t="s">
        <v>398</v>
      </c>
      <c r="B87" s="10">
        <f>'[FinanceOS_QA_Baseline.xlsx]Analysis Engine'!B38</f>
      </c>
      <c r="C87" s="10">
        <f>'[FinanceOS_v1.0-QA-RC1.xlsx]Analysis Engine'!B38</f>
      </c>
      <c r="D87">
        <f>IF(OR(B87="",C87=""),"",IF(AND(ISNUMBER(B87),ISNUMBER(C87)),C87-B87,IF(B87=C87,0,"≠")))</f>
      </c>
      <c r="E87">
        <f>0</f>
      </c>
      <c r="F87">
        <f>IF(OR(B87="",C87=""),"WAIT",IF(AND(ISNUMBER(D87),ISNUMBER(E87)),IF(ABS(D87-E87)&lt;0.005,"PASS","FAIL"),IF(D87=E87,"PASS","FAIL")))</f>
      </c>
      <c r="G87" t="s">
        <v>399</v>
      </c>
      <c r="H87" t="s">
        <v>320</v>
      </c>
      <c r="I87" t="s">
        <v>248</v>
      </c>
      <c r="J87" t="s">
        <v>320</v>
      </c>
    </row>
    <row r="88" spans="1:10" x14ac:dyDescent="0.25">
      <c r="A88" t="s">
        <v>400</v>
      </c>
      <c r="B88" s="10">
        <f>'[FinanceOS_QA_Baseline.xlsx]Analysis Engine'!C37</f>
      </c>
      <c r="C88" s="10">
        <f>'[FinanceOS_v1.0-QA-RC1.xlsx]Analysis Engine'!C37</f>
      </c>
      <c r="D88">
        <f>IF(OR(B88="",C88=""),"",IF(AND(ISNUMBER(B88),ISNUMBER(C88)),C88-B88,IF(B88=C88,0,"≠")))</f>
      </c>
      <c r="E88">
        <f>0</f>
      </c>
      <c r="F88">
        <f>IF(OR(B88="",C88=""),"WAIT",IF(AND(ISNUMBER(D88),ISNUMBER(E88)),IF(ABS(D88-E88)&lt;0.005,"PASS","FAIL"),IF(D88=E88,"PASS","FAIL")))</f>
      </c>
      <c r="G88" t="s">
        <v>401</v>
      </c>
      <c r="H88" t="s">
        <v>320</v>
      </c>
      <c r="I88" t="s">
        <v>402</v>
      </c>
      <c r="J88" t="s">
        <v>320</v>
      </c>
    </row>
    <row r="89" spans="1:10" x14ac:dyDescent="0.25">
      <c r="A89" t="s">
        <v>403</v>
      </c>
      <c r="B89" s="10">
        <f>'[FinanceOS_QA_Baseline.xlsx]Analysis Engine'!C38</f>
      </c>
      <c r="C89" s="10">
        <f>'[FinanceOS_v1.0-QA-RC1.xlsx]Analysis Engine'!C38</f>
      </c>
      <c r="D89">
        <f>IF(OR(B89="",C89=""),"",IF(AND(ISNUMBER(B89),ISNUMBER(C89)),C89-B89,IF(B89=C89,0,"≠")))</f>
      </c>
      <c r="E89">
        <f>0</f>
      </c>
      <c r="F89">
        <f>IF(OR(B89="",C89=""),"WAIT",IF(AND(ISNUMBER(D89),ISNUMBER(E89)),IF(ABS(D89-E89)&lt;0.005,"PASS","FAIL"),IF(D89=E89,"PASS","FAIL")))</f>
      </c>
      <c r="G89" t="s">
        <v>404</v>
      </c>
      <c r="H89" t="s">
        <v>320</v>
      </c>
      <c r="I89" t="s">
        <v>405</v>
      </c>
      <c r="J89" t="s">
        <v>320</v>
      </c>
    </row>
    <row r="90" spans="1:10" x14ac:dyDescent="0.25">
      <c r="A90" t="s">
        <v>406</v>
      </c>
      <c r="B90" s="10">
        <f>'[FinanceOS_QA_Baseline.xlsx]Analysis Engine'!D38</f>
      </c>
      <c r="C90" s="10">
        <f>'[FinanceOS_v1.0-QA-RC1.xlsx]Analysis Engine'!D38</f>
      </c>
      <c r="D90">
        <f>IF(OR(B90="",C90=""),"",IF(AND(ISNUMBER(B90),ISNUMBER(C90)),C90-B90,IF(B90=C90,0,"≠")))</f>
      </c>
      <c r="E90">
        <f>0</f>
      </c>
      <c r="F90">
        <f>IF(OR(B90="",C90=""),"WAIT",IF(AND(ISNUMBER(D90),ISNUMBER(E90)),IF(ABS(D90-E90)&lt;0.005,"PASS","FAIL"),IF(D90=E90,"PASS","FAIL")))</f>
      </c>
      <c r="G90" t="s">
        <v>407</v>
      </c>
      <c r="H90" t="s">
        <v>320</v>
      </c>
      <c r="I90" t="s">
        <v>408</v>
      </c>
      <c r="J90" t="s">
        <v>320</v>
      </c>
    </row>
    <row r="91" spans="1:10" x14ac:dyDescent="0.25">
      <c r="A91" t="s">
        <v>409</v>
      </c>
      <c r="B91" s="10">
        <f>'[FinanceOS_QA_Baseline.xlsx]Analysis Engine'!B17</f>
      </c>
      <c r="C91" s="10">
        <f>'[FinanceOS_v1.0-QA-RC1.xlsx]Analysis Engine'!B17</f>
      </c>
      <c r="D91">
        <f>IF(OR(B91="",C91=""),"",IF(AND(ISNUMBER(B91),ISNUMBER(C91)),C91-B91,IF(B91=C91,0,"≠")))</f>
      </c>
      <c r="E91">
        <f>0</f>
      </c>
      <c r="F91">
        <f>IF(OR(B91="",C91=""),"WAIT",IF(AND(ISNUMBER(D91),ISNUMBER(E91)),IF(ABS(D91-E91)&lt;0.005,"PASS","FAIL"),IF(D91=E91,"PASS","FAIL")))</f>
      </c>
      <c r="G91" t="s">
        <v>410</v>
      </c>
      <c r="H91" t="s">
        <v>320</v>
      </c>
      <c r="I91" t="s">
        <v>200</v>
      </c>
      <c r="J91" t="s">
        <v>320</v>
      </c>
    </row>
    <row r="92" spans="1:10" x14ac:dyDescent="0.25">
      <c r="A92" t="s">
        <v>411</v>
      </c>
      <c r="B92" s="10">
        <f>'[FinanceOS_QA_Baseline.xlsx]Analysis Engine'!B18</f>
      </c>
      <c r="C92" s="10">
        <f>'[FinanceOS_v1.0-QA-RC1.xlsx]Analysis Engine'!B18</f>
      </c>
      <c r="D92">
        <f>IF(OR(B92="",C92=""),"",IF(AND(ISNUMBER(B92),ISNUMBER(C92)),C92-B92,IF(B92=C92,0,"≠")))</f>
      </c>
      <c r="E92">
        <f>0</f>
      </c>
      <c r="F92">
        <f>IF(OR(B92="",C92=""),"WAIT",IF(AND(ISNUMBER(D92),ISNUMBER(E92)),IF(ABS(D92-E92)&lt;0.005,"PASS","FAIL"),IF(D92=E92,"PASS","FAIL")))</f>
      </c>
      <c r="G92" t="s">
        <v>412</v>
      </c>
      <c r="H92" t="s">
        <v>320</v>
      </c>
      <c r="I92" t="s">
        <v>203</v>
      </c>
      <c r="J92" t="s">
        <v>320</v>
      </c>
    </row>
    <row r="93" spans="1:10" x14ac:dyDescent="0.25">
      <c r="A93" t="s">
        <v>413</v>
      </c>
      <c r="B93" s="10">
        <f>'[FinanceOS_QA_Baseline.xlsx]Analysis Engine'!B19</f>
      </c>
      <c r="C93" s="10">
        <f>'[FinanceOS_v1.0-QA-RC1.xlsx]Analysis Engine'!B19</f>
      </c>
      <c r="D93">
        <f>IF(OR(B93="",C93=""),"",IF(AND(ISNUMBER(B93),ISNUMBER(C93)),C93-B93,IF(B93=C93,0,"≠")))</f>
      </c>
      <c r="E93">
        <f>0</f>
      </c>
      <c r="F93">
        <f>IF(OR(B93="",C93=""),"WAIT",IF(AND(ISNUMBER(D93),ISNUMBER(E93)),IF(ABS(D93-E93)&lt;0.005,"PASS","FAIL"),IF(D93=E93,"PASS","FAIL")))</f>
      </c>
      <c r="G93" t="s">
        <v>414</v>
      </c>
      <c r="H93" t="s">
        <v>320</v>
      </c>
      <c r="I93" t="s">
        <v>206</v>
      </c>
      <c r="J93" t="s">
        <v>320</v>
      </c>
    </row>
    <row r="94" spans="1:10" x14ac:dyDescent="0.25">
      <c r="A94" t="s">
        <v>415</v>
      </c>
      <c r="B94" s="10">
        <f>'[FinanceOS_QA_Baseline.xlsx]Analysis Engine'!D7</f>
      </c>
      <c r="C94" s="10">
        <f>'[FinanceOS_v1.0-QA-RC1.xlsx]Analysis Engine'!D7</f>
      </c>
      <c r="D94">
        <f>IF(OR(B94="",C94=""),"",IF(AND(ISNUMBER(B94),ISNUMBER(C94)),C94-B94,IF(B94=C94,0,"≠")))</f>
      </c>
      <c r="E94">
        <f>0</f>
      </c>
      <c r="F94">
        <f>IF(OR(B94="",C94=""),"WAIT",IF(AND(ISNUMBER(D94),ISNUMBER(E94)),IF(ABS(D94-E94)&lt;0.005,"PASS","FAIL"),IF(D94=E94,"PASS","FAIL")))</f>
      </c>
      <c r="G94" t="s">
        <v>416</v>
      </c>
      <c r="H94" t="s">
        <v>320</v>
      </c>
      <c r="I94" t="s">
        <v>417</v>
      </c>
      <c r="J94" t="s">
        <v>320</v>
      </c>
    </row>
    <row r="95" spans="1:10" x14ac:dyDescent="0.25">
      <c r="A95" t="s">
        <v>418</v>
      </c>
      <c r="B95" s="10">
        <f>'[FinanceOS_QA_Baseline.xlsx]Analysis Engine'!D9</f>
      </c>
      <c r="C95" s="10">
        <f>'[FinanceOS_v1.0-QA-RC1.xlsx]Analysis Engine'!D9</f>
      </c>
      <c r="D95">
        <f>IF(OR(B95="",C95=""),"",IF(AND(ISNUMBER(B95),ISNUMBER(C95)),C95-B95,IF(B95=C95,0,"≠")))</f>
      </c>
      <c r="E95">
        <f>0</f>
      </c>
      <c r="F95">
        <f>IF(OR(B95="",C95=""),"WAIT",IF(AND(ISNUMBER(D95),ISNUMBER(E95)),IF(ABS(D95-E95)&lt;0.005,"PASS","FAIL"),IF(D95=E95,"PASS","FAIL")))</f>
      </c>
      <c r="G95" t="s">
        <v>419</v>
      </c>
      <c r="H95" t="s">
        <v>320</v>
      </c>
      <c r="I95" t="s">
        <v>420</v>
      </c>
      <c r="J95" t="s">
        <v>320</v>
      </c>
    </row>
    <row r="96" spans="1:10" x14ac:dyDescent="0.25">
      <c r="A96" t="s">
        <v>421</v>
      </c>
      <c r="B96" s="11">
        <f>'[FinanceOS_QA_Baseline.xlsx]Analysis Engine'!B50</f>
      </c>
      <c r="C96" s="11">
        <f>'[FinanceOS_v1.0-QA-RC1.xlsx]Analysis Engine'!B50</f>
      </c>
      <c r="D96">
        <f>IF(OR(B96="",C96=""),"",IF(AND(ISNUMBER(B96),ISNUMBER(C96)),C96-B96,IF(B96=C96,0,"≠")))</f>
      </c>
      <c r="E96">
        <f>0</f>
      </c>
      <c r="F96">
        <f>IF(OR(B96="",C96=""),"WAIT",IF(AND(ISNUMBER(D96),ISNUMBER(E96)),IF(ABS(D96-E96)&lt;0.005,"PASS","FAIL"),IF(D96=E96,"PASS","FAIL")))</f>
      </c>
      <c r="G96" t="s">
        <v>422</v>
      </c>
      <c r="H96" t="s">
        <v>320</v>
      </c>
      <c r="I96" t="s">
        <v>273</v>
      </c>
      <c r="J96" t="s">
        <v>320</v>
      </c>
    </row>
  </sheetData>
  <conditionalFormatting sqref="F2:F96">
    <cfRule type="containsText" dxfId="10" priority="1">
      <formula>NOT(ISERROR(SEARCH("PASS",F2)))</formula>
    </cfRule>
    <cfRule type="containsText" dxfId="11" priority="2">
      <formula>NOT(ISERROR(SEARCH("FAIL",F2)))</formula>
    </cfRule>
    <cfRule type="containsText" dxfId="12" priority="3">
      <formula>NOT(ISERROR(SEARCH("WAIT",F2)))</formula>
    </cfRule>
    <cfRule type="containsText" dxfId="13" priority="4">
      <formula>NOT(ISERROR(SEARCH("DO NOT PROMOTE",F2)))</formula>
    </cfRule>
    <cfRule type="containsText" dxfId="14" priority="5">
      <formula>NOT(ISERROR(SEARCH("READY FOR PROMOTION",F2)))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8" customWidth="1"/>
    <col min="3" max="3" width="70" customWidth="1"/>
    <col min="4" max="5" width="14" customWidth="1"/>
    <col min="6" max="6" width="12" customWidth="1"/>
    <col min="7" max="7" width="18" customWidth="1"/>
    <col min="8" max="8" width="12" customWidth="1"/>
  </cols>
  <sheetData>
    <row r="1" spans="1:8" x14ac:dyDescent="0.25">
      <c r="A1" s="8" t="s">
        <v>160</v>
      </c>
      <c r="B1" s="8" t="s">
        <v>161</v>
      </c>
      <c r="C1" s="8" t="s">
        <v>423</v>
      </c>
      <c r="D1" s="8" t="s">
        <v>424</v>
      </c>
      <c r="E1" s="8" t="s">
        <v>425</v>
      </c>
      <c r="F1" s="8" t="s">
        <v>426</v>
      </c>
      <c r="G1" s="8" t="s">
        <v>427</v>
      </c>
      <c r="H1" s="8" t="s">
        <v>157</v>
      </c>
    </row>
    <row r="2" spans="1:8" x14ac:dyDescent="0.25">
      <c r="A2" t="s">
        <v>165</v>
      </c>
      <c r="B2" t="s">
        <v>166</v>
      </c>
      <c r="C2">
        <f>IFERROR(FORMULATEXT('[FinanceOS_v1.0-QA-RC1.xlsx]Business Engine'!B4),"(value/no formula)")</f>
      </c>
      <c r="D2">
        <f>'Difference Engine'!B2</f>
      </c>
      <c r="E2">
        <f>'Difference Engine'!C2</f>
      </c>
      <c r="F2">
        <f>IF(OR(D2="",E2=""),"WAIT",IF(AND(ISNUMBER(D2),ISNUMBER(E2)),IF(ABS(E2-D2)&gt;0.005,"YES","NO"),IF(D2=E2,"NO","YES")))</f>
      </c>
      <c r="G2">
        <f>IF(AND(ISNUMBER('Difference Engine'!E2),ABS('Difference Engine'!E2)&gt;0.005),"YES","NO")</f>
      </c>
      <c r="H2">
        <f>IF(OR(F2="WAIT",D2=""),"WAIT",IF(F2=G2,"PASS","FAIL"))</f>
      </c>
    </row>
    <row r="3" spans="1:8" x14ac:dyDescent="0.25">
      <c r="A3" t="s">
        <v>169</v>
      </c>
      <c r="B3" t="s">
        <v>166</v>
      </c>
      <c r="C3">
        <f>IFERROR(FORMULATEXT('[FinanceOS_v1.0-QA-RC1.xlsx]Business Engine'!B5),"(value/no formula)")</f>
      </c>
      <c r="D3">
        <f>'Difference Engine'!B3</f>
      </c>
      <c r="E3">
        <f>'Difference Engine'!C3</f>
      </c>
      <c r="F3">
        <f>IF(OR(D3="",E3=""),"WAIT",IF(AND(ISNUMBER(D3),ISNUMBER(E3)),IF(ABS(E3-D3)&gt;0.005,"YES","NO"),IF(D3=E3,"NO","YES")))</f>
      </c>
      <c r="G3">
        <f>IF(AND(ISNUMBER('Difference Engine'!E3),ABS('Difference Engine'!E3)&gt;0.005),"YES","NO")</f>
      </c>
      <c r="H3">
        <f>IF(OR(F3="WAIT",D3=""),"WAIT",IF(F3=G3,"PASS","FAIL"))</f>
      </c>
    </row>
    <row r="4" spans="1:8" x14ac:dyDescent="0.25">
      <c r="A4" t="s">
        <v>172</v>
      </c>
      <c r="B4" t="s">
        <v>166</v>
      </c>
      <c r="C4">
        <f>IFERROR(FORMULATEXT('[FinanceOS_v1.0-QA-RC1.xlsx]Business Engine'!B6),"(value/no formula)")</f>
      </c>
      <c r="D4">
        <f>'Difference Engine'!B4</f>
      </c>
      <c r="E4">
        <f>'Difference Engine'!C4</f>
      </c>
      <c r="F4">
        <f>IF(OR(D4="",E4=""),"WAIT",IF(AND(ISNUMBER(D4),ISNUMBER(E4)),IF(ABS(E4-D4)&gt;0.005,"YES","NO"),IF(D4=E4,"NO","YES")))</f>
      </c>
      <c r="G4">
        <f>IF(AND(ISNUMBER('Difference Engine'!E4),ABS('Difference Engine'!E4)&gt;0.005),"YES","NO")</f>
      </c>
      <c r="H4">
        <f>IF(OR(F4="WAIT",D4=""),"WAIT",IF(F4=G4,"PASS","FAIL"))</f>
      </c>
    </row>
    <row r="5" spans="1:8" x14ac:dyDescent="0.25">
      <c r="A5" t="s">
        <v>175</v>
      </c>
      <c r="B5" t="s">
        <v>166</v>
      </c>
      <c r="C5">
        <f>IFERROR(FORMULATEXT('[FinanceOS_v1.0-QA-RC1.xlsx]Business Engine'!B7),"(value/no formula)")</f>
      </c>
      <c r="D5">
        <f>'Difference Engine'!B5</f>
      </c>
      <c r="E5">
        <f>'Difference Engine'!C5</f>
      </c>
      <c r="F5">
        <f>IF(OR(D5="",E5=""),"WAIT",IF(AND(ISNUMBER(D5),ISNUMBER(E5)),IF(ABS(E5-D5)&gt;0.005,"YES","NO"),IF(D5=E5,"NO","YES")))</f>
      </c>
      <c r="G5">
        <f>IF(AND(ISNUMBER('Difference Engine'!E5),ABS('Difference Engine'!E5)&gt;0.005),"YES","NO")</f>
      </c>
      <c r="H5">
        <f>IF(OR(F5="WAIT",D5=""),"WAIT",IF(F5=G5,"PASS","FAIL"))</f>
      </c>
    </row>
    <row r="6" spans="1:8" x14ac:dyDescent="0.25">
      <c r="A6" t="s">
        <v>178</v>
      </c>
      <c r="B6" t="s">
        <v>166</v>
      </c>
      <c r="C6">
        <f>IFERROR(FORMULATEXT('[FinanceOS_v1.0-QA-RC1.xlsx]Business Engine'!B8),"(value/no formula)")</f>
      </c>
      <c r="D6">
        <f>'Difference Engine'!B6</f>
      </c>
      <c r="E6">
        <f>'Difference Engine'!C6</f>
      </c>
      <c r="F6">
        <f>IF(OR(D6="",E6=""),"WAIT",IF(AND(ISNUMBER(D6),ISNUMBER(E6)),IF(ABS(E6-D6)&gt;0.005,"YES","NO"),IF(D6=E6,"NO","YES")))</f>
      </c>
      <c r="G6">
        <f>IF(AND(ISNUMBER('Difference Engine'!E6),ABS('Difference Engine'!E6)&gt;0.005),"YES","NO")</f>
      </c>
      <c r="H6">
        <f>IF(OR(F6="WAIT",D6=""),"WAIT",IF(F6=G6,"PASS","FAIL"))</f>
      </c>
    </row>
    <row r="7" spans="1:8" x14ac:dyDescent="0.25">
      <c r="A7" t="s">
        <v>181</v>
      </c>
      <c r="B7" t="s">
        <v>166</v>
      </c>
      <c r="C7">
        <f>IFERROR(FORMULATEXT('[FinanceOS_v1.0-QA-RC1.xlsx]Business Engine'!B9),"(value/no formula)")</f>
      </c>
      <c r="D7">
        <f>'Difference Engine'!B7</f>
      </c>
      <c r="E7">
        <f>'Difference Engine'!C7</f>
      </c>
      <c r="F7">
        <f>IF(OR(D7="",E7=""),"WAIT",IF(AND(ISNUMBER(D7),ISNUMBER(E7)),IF(ABS(E7-D7)&gt;0.005,"YES","NO"),IF(D7=E7,"NO","YES")))</f>
      </c>
      <c r="G7">
        <f>IF(AND(ISNUMBER('Difference Engine'!E7),ABS('Difference Engine'!E7)&gt;0.005),"YES","NO")</f>
      </c>
      <c r="H7">
        <f>IF(OR(F7="WAIT",D7=""),"WAIT",IF(F7=G7,"PASS","FAIL"))</f>
      </c>
    </row>
    <row r="8" spans="1:8" x14ac:dyDescent="0.25">
      <c r="A8" t="s">
        <v>185</v>
      </c>
      <c r="B8" t="s">
        <v>166</v>
      </c>
      <c r="C8">
        <f>IFERROR(FORMULATEXT('[FinanceOS_v1.0-QA-RC1.xlsx]Business Engine'!B12),"(value/no formula)")</f>
      </c>
      <c r="D8">
        <f>'Difference Engine'!B8</f>
      </c>
      <c r="E8">
        <f>'Difference Engine'!C8</f>
      </c>
      <c r="F8">
        <f>IF(OR(D8="",E8=""),"WAIT",IF(AND(ISNUMBER(D8),ISNUMBER(E8)),IF(ABS(E8-D8)&gt;0.005,"YES","NO"),IF(D8=E8,"NO","YES")))</f>
      </c>
      <c r="G8">
        <f>IF(AND(ISNUMBER('Difference Engine'!E8),ABS('Difference Engine'!E8)&gt;0.005),"YES","NO")</f>
      </c>
      <c r="H8">
        <f>IF(OR(F8="WAIT",D8=""),"WAIT",IF(F8=G8,"PASS","FAIL"))</f>
      </c>
    </row>
    <row r="9" spans="1:8" x14ac:dyDescent="0.25">
      <c r="A9" t="s">
        <v>188</v>
      </c>
      <c r="B9" t="s">
        <v>166</v>
      </c>
      <c r="C9">
        <f>IFERROR(FORMULATEXT('[FinanceOS_v1.0-QA-RC1.xlsx]Business Engine'!B13),"(value/no formula)")</f>
      </c>
      <c r="D9">
        <f>'Difference Engine'!B9</f>
      </c>
      <c r="E9">
        <f>'Difference Engine'!C9</f>
      </c>
      <c r="F9">
        <f>IF(OR(D9="",E9=""),"WAIT",IF(AND(ISNUMBER(D9),ISNUMBER(E9)),IF(ABS(E9-D9)&gt;0.005,"YES","NO"),IF(D9=E9,"NO","YES")))</f>
      </c>
      <c r="G9">
        <f>IF(AND(ISNUMBER('Difference Engine'!E9),ABS('Difference Engine'!E9)&gt;0.005),"YES","NO")</f>
      </c>
      <c r="H9">
        <f>IF(OR(F9="WAIT",D9=""),"WAIT",IF(F9=G9,"PASS","FAIL"))</f>
      </c>
    </row>
    <row r="10" spans="1:8" x14ac:dyDescent="0.25">
      <c r="A10" t="s">
        <v>191</v>
      </c>
      <c r="B10" t="s">
        <v>166</v>
      </c>
      <c r="C10">
        <f>IFERROR(FORMULATEXT('[FinanceOS_v1.0-QA-RC1.xlsx]Business Engine'!B14),"(value/no formula)")</f>
      </c>
      <c r="D10">
        <f>'Difference Engine'!B10</f>
      </c>
      <c r="E10">
        <f>'Difference Engine'!C10</f>
      </c>
      <c r="F10">
        <f>IF(OR(D10="",E10=""),"WAIT",IF(AND(ISNUMBER(D10),ISNUMBER(E10)),IF(ABS(E10-D10)&gt;0.005,"YES","NO"),IF(D10=E10,"NO","YES")))</f>
      </c>
      <c r="G10">
        <f>IF(AND(ISNUMBER('Difference Engine'!E10),ABS('Difference Engine'!E10)&gt;0.005),"YES","NO")</f>
      </c>
      <c r="H10">
        <f>IF(OR(F10="WAIT",D10=""),"WAIT",IF(F10=G10,"PASS","FAIL"))</f>
      </c>
    </row>
    <row r="11" spans="1:8" x14ac:dyDescent="0.25">
      <c r="A11" t="s">
        <v>194</v>
      </c>
      <c r="B11" t="s">
        <v>166</v>
      </c>
      <c r="C11">
        <f>IFERROR(FORMULATEXT('[FinanceOS_v1.0-QA-RC1.xlsx]Business Engine'!B15),"(value/no formula)")</f>
      </c>
      <c r="D11">
        <f>'Difference Engine'!B11</f>
      </c>
      <c r="E11">
        <f>'Difference Engine'!C11</f>
      </c>
      <c r="F11">
        <f>IF(OR(D11="",E11=""),"WAIT",IF(AND(ISNUMBER(D11),ISNUMBER(E11)),IF(ABS(E11-D11)&gt;0.005,"YES","NO"),IF(D11=E11,"NO","YES")))</f>
      </c>
      <c r="G11">
        <f>IF(AND(ISNUMBER('Difference Engine'!E11),ABS('Difference Engine'!E11)&gt;0.005),"YES","NO")</f>
      </c>
      <c r="H11">
        <f>IF(OR(F11="WAIT",D11=""),"WAIT",IF(F11=G11,"PASS","FAIL"))</f>
      </c>
    </row>
    <row r="12" spans="1:8" x14ac:dyDescent="0.25">
      <c r="A12" t="s">
        <v>197</v>
      </c>
      <c r="B12" t="s">
        <v>166</v>
      </c>
      <c r="C12">
        <f>IFERROR(FORMULATEXT('[FinanceOS_v1.0-QA-RC1.xlsx]Business Engine'!B16),"(value/no formula)")</f>
      </c>
      <c r="D12">
        <f>'Difference Engine'!B12</f>
      </c>
      <c r="E12">
        <f>'Difference Engine'!C12</f>
      </c>
      <c r="F12">
        <f>IF(OR(D12="",E12=""),"WAIT",IF(AND(ISNUMBER(D12),ISNUMBER(E12)),IF(ABS(E12-D12)&gt;0.005,"YES","NO"),IF(D12=E12,"NO","YES")))</f>
      </c>
      <c r="G12">
        <f>IF(AND(ISNUMBER('Difference Engine'!E12),ABS('Difference Engine'!E12)&gt;0.005),"YES","NO")</f>
      </c>
      <c r="H12">
        <f>IF(OR(F12="WAIT",D12=""),"WAIT",IF(F12=G12,"PASS","FAIL"))</f>
      </c>
    </row>
    <row r="13" spans="1:8" x14ac:dyDescent="0.25">
      <c r="A13" t="s">
        <v>200</v>
      </c>
      <c r="B13" t="s">
        <v>166</v>
      </c>
      <c r="C13">
        <f>IFERROR(FORMULATEXT('[FinanceOS_v1.0-QA-RC1.xlsx]Business Engine'!B17),"(value/no formula)")</f>
      </c>
      <c r="D13">
        <f>'Difference Engine'!B13</f>
      </c>
      <c r="E13">
        <f>'Difference Engine'!C13</f>
      </c>
      <c r="F13">
        <f>IF(OR(D13="",E13=""),"WAIT",IF(AND(ISNUMBER(D13),ISNUMBER(E13)),IF(ABS(E13-D13)&gt;0.005,"YES","NO"),IF(D13=E13,"NO","YES")))</f>
      </c>
      <c r="G13">
        <f>IF(AND(ISNUMBER('Difference Engine'!E13),ABS('Difference Engine'!E13)&gt;0.005),"YES","NO")</f>
      </c>
      <c r="H13">
        <f>IF(OR(F13="WAIT",D13=""),"WAIT",IF(F13=G13,"PASS","FAIL"))</f>
      </c>
    </row>
    <row r="14" spans="1:8" x14ac:dyDescent="0.25">
      <c r="A14" t="s">
        <v>203</v>
      </c>
      <c r="B14" t="s">
        <v>166</v>
      </c>
      <c r="C14">
        <f>IFERROR(FORMULATEXT('[FinanceOS_v1.0-QA-RC1.xlsx]Business Engine'!B18),"(value/no formula)")</f>
      </c>
      <c r="D14">
        <f>'Difference Engine'!B14</f>
      </c>
      <c r="E14">
        <f>'Difference Engine'!C14</f>
      </c>
      <c r="F14">
        <f>IF(OR(D14="",E14=""),"WAIT",IF(AND(ISNUMBER(D14),ISNUMBER(E14)),IF(ABS(E14-D14)&gt;0.005,"YES","NO"),IF(D14=E14,"NO","YES")))</f>
      </c>
      <c r="G14">
        <f>IF(AND(ISNUMBER('Difference Engine'!E14),ABS('Difference Engine'!E14)&gt;0.005),"YES","NO")</f>
      </c>
      <c r="H14">
        <f>IF(OR(F14="WAIT",D14=""),"WAIT",IF(F14=G14,"PASS","FAIL"))</f>
      </c>
    </row>
    <row r="15" spans="1:8" x14ac:dyDescent="0.25">
      <c r="A15" t="s">
        <v>206</v>
      </c>
      <c r="B15" t="s">
        <v>166</v>
      </c>
      <c r="C15">
        <f>IFERROR(FORMULATEXT('[FinanceOS_v1.0-QA-RC1.xlsx]Business Engine'!B19),"(value/no formula)")</f>
      </c>
      <c r="D15">
        <f>'Difference Engine'!B15</f>
      </c>
      <c r="E15">
        <f>'Difference Engine'!C15</f>
      </c>
      <c r="F15">
        <f>IF(OR(D15="",E15=""),"WAIT",IF(AND(ISNUMBER(D15),ISNUMBER(E15)),IF(ABS(E15-D15)&gt;0.005,"YES","NO"),IF(D15=E15,"NO","YES")))</f>
      </c>
      <c r="G15">
        <f>IF(AND(ISNUMBER('Difference Engine'!E15),ABS('Difference Engine'!E15)&gt;0.005),"YES","NO")</f>
      </c>
      <c r="H15">
        <f>IF(OR(F15="WAIT",D15=""),"WAIT",IF(F15=G15,"PASS","FAIL"))</f>
      </c>
    </row>
    <row r="16" spans="1:8" x14ac:dyDescent="0.25">
      <c r="A16" t="s">
        <v>210</v>
      </c>
      <c r="B16" t="s">
        <v>166</v>
      </c>
      <c r="C16">
        <f>IFERROR(FORMULATEXT('[FinanceOS_v1.0-QA-RC1.xlsx]Business Engine'!B22),"(value/no formula)")</f>
      </c>
      <c r="D16">
        <f>'Difference Engine'!B16</f>
      </c>
      <c r="E16">
        <f>'Difference Engine'!C16</f>
      </c>
      <c r="F16">
        <f>IF(OR(D16="",E16=""),"WAIT",IF(AND(ISNUMBER(D16),ISNUMBER(E16)),IF(ABS(E16-D16)&gt;0.005,"YES","NO"),IF(D16=E16,"NO","YES")))</f>
      </c>
      <c r="G16">
        <f>IF(AND(ISNUMBER('Difference Engine'!E16),ABS('Difference Engine'!E16)&gt;0.005),"YES","NO")</f>
      </c>
      <c r="H16">
        <f>IF(OR(F16="WAIT",D16=""),"WAIT",IF(F16=G16,"PASS","FAIL"))</f>
      </c>
    </row>
    <row r="17" spans="1:8" x14ac:dyDescent="0.25">
      <c r="A17" t="s">
        <v>213</v>
      </c>
      <c r="B17" t="s">
        <v>166</v>
      </c>
      <c r="C17">
        <f>IFERROR(FORMULATEXT('[FinanceOS_v1.0-QA-RC1.xlsx]Business Engine'!B23),"(value/no formula)")</f>
      </c>
      <c r="D17">
        <f>'Difference Engine'!B17</f>
      </c>
      <c r="E17">
        <f>'Difference Engine'!C17</f>
      </c>
      <c r="F17">
        <f>IF(OR(D17="",E17=""),"WAIT",IF(AND(ISNUMBER(D17),ISNUMBER(E17)),IF(ABS(E17-D17)&gt;0.005,"YES","NO"),IF(D17=E17,"NO","YES")))</f>
      </c>
      <c r="G17">
        <f>IF(AND(ISNUMBER('Difference Engine'!E17),ABS('Difference Engine'!E17)&gt;0.005),"YES","NO")</f>
      </c>
      <c r="H17">
        <f>IF(OR(F17="WAIT",D17=""),"WAIT",IF(F17=G17,"PASS","FAIL"))</f>
      </c>
    </row>
    <row r="18" spans="1:8" x14ac:dyDescent="0.25">
      <c r="A18" t="s">
        <v>216</v>
      </c>
      <c r="B18" t="s">
        <v>166</v>
      </c>
      <c r="C18">
        <f>IFERROR(FORMULATEXT('[FinanceOS_v1.0-QA-RC1.xlsx]Business Engine'!B24),"(value/no formula)")</f>
      </c>
      <c r="D18">
        <f>'Difference Engine'!B18</f>
      </c>
      <c r="E18">
        <f>'Difference Engine'!C18</f>
      </c>
      <c r="F18">
        <f>IF(OR(D18="",E18=""),"WAIT",IF(AND(ISNUMBER(D18),ISNUMBER(E18)),IF(ABS(E18-D18)&gt;0.005,"YES","NO"),IF(D18=E18,"NO","YES")))</f>
      </c>
      <c r="G18">
        <f>IF(AND(ISNUMBER('Difference Engine'!E18),ABS('Difference Engine'!E18)&gt;0.005),"YES","NO")</f>
      </c>
      <c r="H18">
        <f>IF(OR(F18="WAIT",D18=""),"WAIT",IF(F18=G18,"PASS","FAIL"))</f>
      </c>
    </row>
    <row r="19" spans="1:8" x14ac:dyDescent="0.25">
      <c r="A19" t="s">
        <v>219</v>
      </c>
      <c r="B19" t="s">
        <v>166</v>
      </c>
      <c r="C19">
        <f>IFERROR(FORMULATEXT('[FinanceOS_v1.0-QA-RC1.xlsx]Business Engine'!B25),"(value/no formula)")</f>
      </c>
      <c r="D19">
        <f>'Difference Engine'!B19</f>
      </c>
      <c r="E19">
        <f>'Difference Engine'!C19</f>
      </c>
      <c r="F19">
        <f>IF(OR(D19="",E19=""),"WAIT",IF(AND(ISNUMBER(D19),ISNUMBER(E19)),IF(ABS(E19-D19)&gt;0.005,"YES","NO"),IF(D19=E19,"NO","YES")))</f>
      </c>
      <c r="G19">
        <f>IF(AND(ISNUMBER('Difference Engine'!E19),ABS('Difference Engine'!E19)&gt;0.005),"YES","NO")</f>
      </c>
      <c r="H19">
        <f>IF(OR(F19="WAIT",D19=""),"WAIT",IF(F19=G19,"PASS","FAIL"))</f>
      </c>
    </row>
    <row r="20" spans="1:8" x14ac:dyDescent="0.25">
      <c r="A20" t="s">
        <v>223</v>
      </c>
      <c r="B20" t="s">
        <v>166</v>
      </c>
      <c r="C20">
        <f>IFERROR(FORMULATEXT('[FinanceOS_v1.0-QA-RC1.xlsx]Business Engine'!B28),"(value/no formula)")</f>
      </c>
      <c r="D20">
        <f>'Difference Engine'!B20</f>
      </c>
      <c r="E20">
        <f>'Difference Engine'!C20</f>
      </c>
      <c r="F20">
        <f>IF(OR(D20="",E20=""),"WAIT",IF(AND(ISNUMBER(D20),ISNUMBER(E20)),IF(ABS(E20-D20)&gt;0.005,"YES","NO"),IF(D20=E20,"NO","YES")))</f>
      </c>
      <c r="G20">
        <f>IF(AND(ISNUMBER('Difference Engine'!E20),ABS('Difference Engine'!E20)&gt;0.005),"YES","NO")</f>
      </c>
      <c r="H20">
        <f>IF(OR(F20="WAIT",D20=""),"WAIT",IF(F20=G20,"PASS","FAIL"))</f>
      </c>
    </row>
    <row r="21" spans="1:8" x14ac:dyDescent="0.25">
      <c r="A21" t="s">
        <v>226</v>
      </c>
      <c r="B21" t="s">
        <v>166</v>
      </c>
      <c r="C21">
        <f>IFERROR(FORMULATEXT('[FinanceOS_v1.0-QA-RC1.xlsx]Business Engine'!B29),"(value/no formula)")</f>
      </c>
      <c r="D21">
        <f>'Difference Engine'!B21</f>
      </c>
      <c r="E21">
        <f>'Difference Engine'!C21</f>
      </c>
      <c r="F21">
        <f>IF(OR(D21="",E21=""),"WAIT",IF(AND(ISNUMBER(D21),ISNUMBER(E21)),IF(ABS(E21-D21)&gt;0.005,"YES","NO"),IF(D21=E21,"NO","YES")))</f>
      </c>
      <c r="G21">
        <f>IF(AND(ISNUMBER('Difference Engine'!E21),ABS('Difference Engine'!E21)&gt;0.005),"YES","NO")</f>
      </c>
      <c r="H21">
        <f>IF(OR(F21="WAIT",D21=""),"WAIT",IF(F21=G21,"PASS","FAIL"))</f>
      </c>
    </row>
    <row r="22" spans="1:8" x14ac:dyDescent="0.25">
      <c r="A22" t="s">
        <v>229</v>
      </c>
      <c r="B22" t="s">
        <v>166</v>
      </c>
      <c r="C22">
        <f>IFERROR(FORMULATEXT('[FinanceOS_v1.0-QA-RC1.xlsx]Business Engine'!B30),"(value/no formula)")</f>
      </c>
      <c r="D22">
        <f>'Difference Engine'!B22</f>
      </c>
      <c r="E22">
        <f>'Difference Engine'!C22</f>
      </c>
      <c r="F22">
        <f>IF(OR(D22="",E22=""),"WAIT",IF(AND(ISNUMBER(D22),ISNUMBER(E22)),IF(ABS(E22-D22)&gt;0.005,"YES","NO"),IF(D22=E22,"NO","YES")))</f>
      </c>
      <c r="G22">
        <f>IF(AND(ISNUMBER('Difference Engine'!E22),ABS('Difference Engine'!E22)&gt;0.005),"YES","NO")</f>
      </c>
      <c r="H22">
        <f>IF(OR(F22="WAIT",D22=""),"WAIT",IF(F22=G22,"PASS","FAIL"))</f>
      </c>
    </row>
    <row r="23" spans="1:8" x14ac:dyDescent="0.25">
      <c r="A23" t="s">
        <v>232</v>
      </c>
      <c r="B23" t="s">
        <v>166</v>
      </c>
      <c r="C23">
        <f>IFERROR(FORMULATEXT('[FinanceOS_v1.0-QA-RC1.xlsx]Business Engine'!B31),"(value/no formula)")</f>
      </c>
      <c r="D23">
        <f>'Difference Engine'!B23</f>
      </c>
      <c r="E23">
        <f>'Difference Engine'!C23</f>
      </c>
      <c r="F23">
        <f>IF(OR(D23="",E23=""),"WAIT",IF(AND(ISNUMBER(D23),ISNUMBER(E23)),IF(ABS(E23-D23)&gt;0.005,"YES","NO"),IF(D23=E23,"NO","YES")))</f>
      </c>
      <c r="G23">
        <f>IF(AND(ISNUMBER('Difference Engine'!E23),ABS('Difference Engine'!E23)&gt;0.005),"YES","NO")</f>
      </c>
      <c r="H23">
        <f>IF(OR(F23="WAIT",D23=""),"WAIT",IF(F23=G23,"PASS","FAIL"))</f>
      </c>
    </row>
    <row r="24" spans="1:8" x14ac:dyDescent="0.25">
      <c r="A24" t="s">
        <v>236</v>
      </c>
      <c r="B24" t="s">
        <v>166</v>
      </c>
      <c r="C24">
        <f>IFERROR(FORMULATEXT('[FinanceOS_v1.0-QA-RC1.xlsx]Business Engine'!B34),"(value/no formula)")</f>
      </c>
      <c r="D24">
        <f>'Difference Engine'!B24</f>
      </c>
      <c r="E24">
        <f>'Difference Engine'!C24</f>
      </c>
      <c r="F24">
        <f>IF(OR(D24="",E24=""),"WAIT",IF(AND(ISNUMBER(D24),ISNUMBER(E24)),IF(ABS(E24-D24)&gt;0.005,"YES","NO"),IF(D24=E24,"NO","YES")))</f>
      </c>
      <c r="G24">
        <f>IF(AND(ISNUMBER('Difference Engine'!E24),ABS('Difference Engine'!E24)&gt;0.005),"YES","NO")</f>
      </c>
      <c r="H24">
        <f>IF(OR(F24="WAIT",D24=""),"WAIT",IF(F24=G24,"PASS","FAIL"))</f>
      </c>
    </row>
    <row r="25" spans="1:8" x14ac:dyDescent="0.25">
      <c r="A25" t="s">
        <v>239</v>
      </c>
      <c r="B25" t="s">
        <v>166</v>
      </c>
      <c r="C25">
        <f>IFERROR(FORMULATEXT('[FinanceOS_v1.0-QA-RC1.xlsx]Business Engine'!B35),"(value/no formula)")</f>
      </c>
      <c r="D25">
        <f>'Difference Engine'!B25</f>
      </c>
      <c r="E25">
        <f>'Difference Engine'!C25</f>
      </c>
      <c r="F25">
        <f>IF(OR(D25="",E25=""),"WAIT",IF(AND(ISNUMBER(D25),ISNUMBER(E25)),IF(ABS(E25-D25)&gt;0.005,"YES","NO"),IF(D25=E25,"NO","YES")))</f>
      </c>
      <c r="G25">
        <f>IF(AND(ISNUMBER('Difference Engine'!E25),ABS('Difference Engine'!E25)&gt;0.005),"YES","NO")</f>
      </c>
      <c r="H25">
        <f>IF(OR(F25="WAIT",D25=""),"WAIT",IF(F25=G25,"PASS","FAIL"))</f>
      </c>
    </row>
    <row r="26" spans="1:8" x14ac:dyDescent="0.25">
      <c r="A26" t="s">
        <v>242</v>
      </c>
      <c r="B26" t="s">
        <v>166</v>
      </c>
      <c r="C26">
        <f>IFERROR(FORMULATEXT('[FinanceOS_v1.0-QA-RC1.xlsx]Business Engine'!B36),"(value/no formula)")</f>
      </c>
      <c r="D26">
        <f>'Difference Engine'!B26</f>
      </c>
      <c r="E26">
        <f>'Difference Engine'!C26</f>
      </c>
      <c r="F26">
        <f>IF(OR(D26="",E26=""),"WAIT",IF(AND(ISNUMBER(D26),ISNUMBER(E26)),IF(ABS(E26-D26)&gt;0.005,"YES","NO"),IF(D26=E26,"NO","YES")))</f>
      </c>
      <c r="G26">
        <f>IF(AND(ISNUMBER('Difference Engine'!E26),ABS('Difference Engine'!E26)&gt;0.005),"YES","NO")</f>
      </c>
      <c r="H26">
        <f>IF(OR(F26="WAIT",D26=""),"WAIT",IF(F26=G26,"PASS","FAIL"))</f>
      </c>
    </row>
    <row r="27" spans="1:8" x14ac:dyDescent="0.25">
      <c r="A27" t="s">
        <v>245</v>
      </c>
      <c r="B27" t="s">
        <v>166</v>
      </c>
      <c r="C27">
        <f>IFERROR(FORMULATEXT('[FinanceOS_v1.0-QA-RC1.xlsx]Business Engine'!B37),"(value/no formula)")</f>
      </c>
      <c r="D27">
        <f>'Difference Engine'!B27</f>
      </c>
      <c r="E27">
        <f>'Difference Engine'!C27</f>
      </c>
      <c r="F27">
        <f>IF(OR(D27="",E27=""),"WAIT",IF(AND(ISNUMBER(D27),ISNUMBER(E27)),IF(ABS(E27-D27)&gt;0.005,"YES","NO"),IF(D27=E27,"NO","YES")))</f>
      </c>
      <c r="G27">
        <f>IF(AND(ISNUMBER('Difference Engine'!E27),ABS('Difference Engine'!E27)&gt;0.005),"YES","NO")</f>
      </c>
      <c r="H27">
        <f>IF(OR(F27="WAIT",D27=""),"WAIT",IF(F27=G27,"PASS","FAIL"))</f>
      </c>
    </row>
    <row r="28" spans="1:8" x14ac:dyDescent="0.25">
      <c r="A28" t="s">
        <v>248</v>
      </c>
      <c r="B28" t="s">
        <v>166</v>
      </c>
      <c r="C28">
        <f>IFERROR(FORMULATEXT('[FinanceOS_v1.0-QA-RC1.xlsx]Business Engine'!B38),"(value/no formula)")</f>
      </c>
      <c r="D28">
        <f>'Difference Engine'!B28</f>
      </c>
      <c r="E28">
        <f>'Difference Engine'!C28</f>
      </c>
      <c r="F28">
        <f>IF(OR(D28="",E28=""),"WAIT",IF(AND(ISNUMBER(D28),ISNUMBER(E28)),IF(ABS(E28-D28)&gt;0.005,"YES","NO"),IF(D28=E28,"NO","YES")))</f>
      </c>
      <c r="G28">
        <f>IF(AND(ISNUMBER('Difference Engine'!E28),ABS('Difference Engine'!E28)&gt;0.005),"YES","NO")</f>
      </c>
      <c r="H28">
        <f>IF(OR(F28="WAIT",D28=""),"WAIT",IF(F28=G28,"PASS","FAIL"))</f>
      </c>
    </row>
    <row r="29" spans="1:8" x14ac:dyDescent="0.25">
      <c r="A29" t="s">
        <v>252</v>
      </c>
      <c r="B29" t="s">
        <v>166</v>
      </c>
      <c r="C29">
        <f>IFERROR(FORMULATEXT('[FinanceOS_v1.0-QA-RC1.xlsx]Business Engine'!B41),"(value/no formula)")</f>
      </c>
      <c r="D29">
        <f>'Difference Engine'!B29</f>
      </c>
      <c r="E29">
        <f>'Difference Engine'!C29</f>
      </c>
      <c r="F29">
        <f>IF(OR(D29="",E29=""),"WAIT",IF(AND(ISNUMBER(D29),ISNUMBER(E29)),IF(ABS(E29-D29)&gt;0.005,"YES","NO"),IF(D29=E29,"NO","YES")))</f>
      </c>
      <c r="G29">
        <f>IF(AND(ISNUMBER('Difference Engine'!E29),ABS('Difference Engine'!E29)&gt;0.005),"YES","NO")</f>
      </c>
      <c r="H29">
        <f>IF(OR(F29="WAIT",D29=""),"WAIT",IF(F29=G29,"PASS","FAIL"))</f>
      </c>
    </row>
    <row r="30" spans="1:8" x14ac:dyDescent="0.25">
      <c r="A30" t="s">
        <v>255</v>
      </c>
      <c r="B30" t="s">
        <v>166</v>
      </c>
      <c r="C30">
        <f>IFERROR(FORMULATEXT('[FinanceOS_v1.0-QA-RC1.xlsx]Business Engine'!B42),"(value/no formula)")</f>
      </c>
      <c r="D30">
        <f>'Difference Engine'!B30</f>
      </c>
      <c r="E30">
        <f>'Difference Engine'!C30</f>
      </c>
      <c r="F30">
        <f>IF(OR(D30="",E30=""),"WAIT",IF(AND(ISNUMBER(D30),ISNUMBER(E30)),IF(ABS(E30-D30)&gt;0.005,"YES","NO"),IF(D30=E30,"NO","YES")))</f>
      </c>
      <c r="G30">
        <f>IF(AND(ISNUMBER('Difference Engine'!E30),ABS('Difference Engine'!E30)&gt;0.005),"YES","NO")</f>
      </c>
      <c r="H30">
        <f>IF(OR(F30="WAIT",D30=""),"WAIT",IF(F30=G30,"PASS","FAIL"))</f>
      </c>
    </row>
    <row r="31" spans="1:8" x14ac:dyDescent="0.25">
      <c r="A31" t="s">
        <v>258</v>
      </c>
      <c r="B31" t="s">
        <v>166</v>
      </c>
      <c r="C31">
        <f>IFERROR(FORMULATEXT('[FinanceOS_v1.0-QA-RC1.xlsx]Business Engine'!B43),"(value/no formula)")</f>
      </c>
      <c r="D31">
        <f>'Difference Engine'!B31</f>
      </c>
      <c r="E31">
        <f>'Difference Engine'!C31</f>
      </c>
      <c r="F31">
        <f>IF(OR(D31="",E31=""),"WAIT",IF(AND(ISNUMBER(D31),ISNUMBER(E31)),IF(ABS(E31-D31)&gt;0.005,"YES","NO"),IF(D31=E31,"NO","YES")))</f>
      </c>
      <c r="G31">
        <f>IF(AND(ISNUMBER('Difference Engine'!E31),ABS('Difference Engine'!E31)&gt;0.005),"YES","NO")</f>
      </c>
      <c r="H31">
        <f>IF(OR(F31="WAIT",D31=""),"WAIT",IF(F31=G31,"PASS","FAIL"))</f>
      </c>
    </row>
    <row r="32" spans="1:8" x14ac:dyDescent="0.25">
      <c r="A32" t="s">
        <v>261</v>
      </c>
      <c r="B32" t="s">
        <v>166</v>
      </c>
      <c r="C32">
        <f>IFERROR(FORMULATEXT('[FinanceOS_v1.0-QA-RC1.xlsx]Business Engine'!B44),"(value/no formula)")</f>
      </c>
      <c r="D32">
        <f>'Difference Engine'!B32</f>
      </c>
      <c r="E32">
        <f>'Difference Engine'!C32</f>
      </c>
      <c r="F32">
        <f>IF(OR(D32="",E32=""),"WAIT",IF(AND(ISNUMBER(D32),ISNUMBER(E32)),IF(ABS(E32-D32)&gt;0.005,"YES","NO"),IF(D32=E32,"NO","YES")))</f>
      </c>
      <c r="G32">
        <f>IF(AND(ISNUMBER('Difference Engine'!E32),ABS('Difference Engine'!E32)&gt;0.005),"YES","NO")</f>
      </c>
      <c r="H32">
        <f>IF(OR(F32="WAIT",D32=""),"WAIT",IF(F32=G32,"PASS","FAIL"))</f>
      </c>
    </row>
    <row r="33" spans="1:8" x14ac:dyDescent="0.25">
      <c r="A33" t="s">
        <v>264</v>
      </c>
      <c r="B33" t="s">
        <v>166</v>
      </c>
      <c r="C33">
        <f>IFERROR(FORMULATEXT('[FinanceOS_v1.0-QA-RC1.xlsx]Business Engine'!B45),"(value/no formula)")</f>
      </c>
      <c r="D33">
        <f>'Difference Engine'!B33</f>
      </c>
      <c r="E33">
        <f>'Difference Engine'!C33</f>
      </c>
      <c r="F33">
        <f>IF(OR(D33="",E33=""),"WAIT",IF(AND(ISNUMBER(D33),ISNUMBER(E33)),IF(ABS(E33-D33)&gt;0.005,"YES","NO"),IF(D33=E33,"NO","YES")))</f>
      </c>
      <c r="G33">
        <f>IF(AND(ISNUMBER('Difference Engine'!E33),ABS('Difference Engine'!E33)&gt;0.005),"YES","NO")</f>
      </c>
      <c r="H33">
        <f>IF(OR(F33="WAIT",D33=""),"WAIT",IF(F33=G33,"PASS","FAIL"))</f>
      </c>
    </row>
    <row r="34" spans="1:8" x14ac:dyDescent="0.25">
      <c r="A34" t="s">
        <v>267</v>
      </c>
      <c r="B34" t="s">
        <v>166</v>
      </c>
      <c r="C34">
        <f>IFERROR(FORMULATEXT('[FinanceOS_v1.0-QA-RC1.xlsx]Business Engine'!B48),"(value/no formula)")</f>
      </c>
      <c r="D34">
        <f>'Difference Engine'!B34</f>
      </c>
      <c r="E34">
        <f>'Difference Engine'!C34</f>
      </c>
      <c r="F34">
        <f>IF(OR(D34="",E34=""),"WAIT",IF(AND(ISNUMBER(D34),ISNUMBER(E34)),IF(ABS(E34-D34)&gt;0.005,"YES","NO"),IF(D34=E34,"NO","YES")))</f>
      </c>
      <c r="G34">
        <f>IF(AND(ISNUMBER('Difference Engine'!E34),ABS('Difference Engine'!E34)&gt;0.005),"YES","NO")</f>
      </c>
      <c r="H34">
        <f>IF(OR(F34="WAIT",D34=""),"WAIT",IF(F34=G34,"PASS","FAIL"))</f>
      </c>
    </row>
    <row r="35" spans="1:8" x14ac:dyDescent="0.25">
      <c r="A35" t="s">
        <v>270</v>
      </c>
      <c r="B35" t="s">
        <v>166</v>
      </c>
      <c r="C35">
        <f>IFERROR(FORMULATEXT('[FinanceOS_v1.0-QA-RC1.xlsx]Business Engine'!B49),"(value/no formula)")</f>
      </c>
      <c r="D35">
        <f>'Difference Engine'!B35</f>
      </c>
      <c r="E35">
        <f>'Difference Engine'!C35</f>
      </c>
      <c r="F35">
        <f>IF(OR(D35="",E35=""),"WAIT",IF(AND(ISNUMBER(D35),ISNUMBER(E35)),IF(ABS(E35-D35)&gt;0.005,"YES","NO"),IF(D35=E35,"NO","YES")))</f>
      </c>
      <c r="G35">
        <f>IF(AND(ISNUMBER('Difference Engine'!E35),ABS('Difference Engine'!E35)&gt;0.005),"YES","NO")</f>
      </c>
      <c r="H35">
        <f>IF(OR(F35="WAIT",D35=""),"WAIT",IF(F35=G35,"PASS","FAIL"))</f>
      </c>
    </row>
    <row r="36" spans="1:8" x14ac:dyDescent="0.25">
      <c r="A36" t="s">
        <v>273</v>
      </c>
      <c r="B36" t="s">
        <v>166</v>
      </c>
      <c r="C36">
        <f>IFERROR(FORMULATEXT('[FinanceOS_v1.0-QA-RC1.xlsx]Business Engine'!B50),"(value/no formula)")</f>
      </c>
      <c r="D36">
        <f>'Difference Engine'!B36</f>
      </c>
      <c r="E36">
        <f>'Difference Engine'!C36</f>
      </c>
      <c r="F36">
        <f>IF(OR(D36="",E36=""),"WAIT",IF(AND(ISNUMBER(D36),ISNUMBER(E36)),IF(ABS(E36-D36)&gt;0.005,"YES","NO"),IF(D36=E36,"NO","YES")))</f>
      </c>
      <c r="G36">
        <f>IF(AND(ISNUMBER('Difference Engine'!E36),ABS('Difference Engine'!E36)&gt;0.005),"YES","NO")</f>
      </c>
      <c r="H36">
        <f>IF(OR(F36="WAIT",D36=""),"WAIT",IF(F36=G36,"PASS","FAIL"))</f>
      </c>
    </row>
    <row r="37" spans="1:8" x14ac:dyDescent="0.25">
      <c r="A37" t="s">
        <v>277</v>
      </c>
      <c r="B37" t="s">
        <v>166</v>
      </c>
      <c r="C37">
        <f>IFERROR(FORMULATEXT('[FinanceOS_v1.0-QA-RC1.xlsx]Business Engine'!B53),"(value/no formula)")</f>
      </c>
      <c r="D37">
        <f>'Difference Engine'!B37</f>
      </c>
      <c r="E37">
        <f>'Difference Engine'!C37</f>
      </c>
      <c r="F37">
        <f>IF(OR(D37="",E37=""),"WAIT",IF(AND(ISNUMBER(D37),ISNUMBER(E37)),IF(ABS(E37-D37)&gt;0.005,"YES","NO"),IF(D37=E37,"NO","YES")))</f>
      </c>
      <c r="G37">
        <f>IF(AND(ISNUMBER('Difference Engine'!E37),ABS('Difference Engine'!E37)&gt;0.005),"YES","NO")</f>
      </c>
      <c r="H37">
        <f>IF(OR(F37="WAIT",D37=""),"WAIT",IF(F37=G37,"PASS","FAIL"))</f>
      </c>
    </row>
    <row r="38" spans="1:8" x14ac:dyDescent="0.25">
      <c r="A38" t="s">
        <v>280</v>
      </c>
      <c r="B38" t="s">
        <v>166</v>
      </c>
      <c r="C38">
        <f>IFERROR(FORMULATEXT('[FinanceOS_v1.0-QA-RC1.xlsx]Business Engine'!B54),"(value/no formula)")</f>
      </c>
      <c r="D38">
        <f>'Difference Engine'!B38</f>
      </c>
      <c r="E38">
        <f>'Difference Engine'!C38</f>
      </c>
      <c r="F38">
        <f>IF(OR(D38="",E38=""),"WAIT",IF(AND(ISNUMBER(D38),ISNUMBER(E38)),IF(ABS(E38-D38)&gt;0.005,"YES","NO"),IF(D38=E38,"NO","YES")))</f>
      </c>
      <c r="G38">
        <f>IF(AND(ISNUMBER('Difference Engine'!E38),ABS('Difference Engine'!E38)&gt;0.005),"YES","NO")</f>
      </c>
      <c r="H38">
        <f>IF(OR(F38="WAIT",D38=""),"WAIT",IF(F38=G38,"PASS","FAIL"))</f>
      </c>
    </row>
    <row r="39" spans="1:8" x14ac:dyDescent="0.25">
      <c r="A39" t="s">
        <v>283</v>
      </c>
      <c r="B39" t="s">
        <v>166</v>
      </c>
      <c r="C39">
        <f>IFERROR(FORMULATEXT('[FinanceOS_v1.0-QA-RC1.xlsx]Business Engine'!B55),"(value/no formula)")</f>
      </c>
      <c r="D39">
        <f>'Difference Engine'!B39</f>
      </c>
      <c r="E39">
        <f>'Difference Engine'!C39</f>
      </c>
      <c r="F39">
        <f>IF(OR(D39="",E39=""),"WAIT",IF(AND(ISNUMBER(D39),ISNUMBER(E39)),IF(ABS(E39-D39)&gt;0.005,"YES","NO"),IF(D39=E39,"NO","YES")))</f>
      </c>
      <c r="G39">
        <f>IF(AND(ISNUMBER('Difference Engine'!E39),ABS('Difference Engine'!E39)&gt;0.005),"YES","NO")</f>
      </c>
      <c r="H39">
        <f>IF(OR(F39="WAIT",D39=""),"WAIT",IF(F39=G39,"PASS","FAIL"))</f>
      </c>
    </row>
    <row r="40" spans="1:8" x14ac:dyDescent="0.25">
      <c r="A40" t="s">
        <v>286</v>
      </c>
      <c r="B40" t="s">
        <v>166</v>
      </c>
      <c r="C40">
        <f>IFERROR(FORMULATEXT('[FinanceOS_v1.0-QA-RC1.xlsx]Business Engine'!B56),"(value/no formula)")</f>
      </c>
      <c r="D40">
        <f>'Difference Engine'!B40</f>
      </c>
      <c r="E40">
        <f>'Difference Engine'!C40</f>
      </c>
      <c r="F40">
        <f>IF(OR(D40="",E40=""),"WAIT",IF(AND(ISNUMBER(D40),ISNUMBER(E40)),IF(ABS(E40-D40)&gt;0.005,"YES","NO"),IF(D40=E40,"NO","YES")))</f>
      </c>
      <c r="G40">
        <f>IF(AND(ISNUMBER('Difference Engine'!E40),ABS('Difference Engine'!E40)&gt;0.005),"YES","NO")</f>
      </c>
      <c r="H40">
        <f>IF(OR(F40="WAIT",D40=""),"WAIT",IF(F40=G40,"PASS","FAIL"))</f>
      </c>
    </row>
    <row r="41" spans="1:8" x14ac:dyDescent="0.25">
      <c r="A41" t="s">
        <v>289</v>
      </c>
      <c r="B41" t="s">
        <v>166</v>
      </c>
      <c r="C41">
        <f>IFERROR(FORMULATEXT('[FinanceOS_v1.0-QA-RC1.xlsx]Business Engine'!B57),"(value/no formula)")</f>
      </c>
      <c r="D41">
        <f>'Difference Engine'!B41</f>
      </c>
      <c r="E41">
        <f>'Difference Engine'!C41</f>
      </c>
      <c r="F41">
        <f>IF(OR(D41="",E41=""),"WAIT",IF(AND(ISNUMBER(D41),ISNUMBER(E41)),IF(ABS(E41-D41)&gt;0.005,"YES","NO"),IF(D41=E41,"NO","YES")))</f>
      </c>
      <c r="G41">
        <f>IF(AND(ISNUMBER('Difference Engine'!E41),ABS('Difference Engine'!E41)&gt;0.005),"YES","NO")</f>
      </c>
      <c r="H41">
        <f>IF(OR(F41="WAIT",D41=""),"WAIT",IF(F41=G41,"PASS","FAIL"))</f>
      </c>
    </row>
    <row r="42" spans="1:8" x14ac:dyDescent="0.25">
      <c r="A42" t="s">
        <v>292</v>
      </c>
      <c r="B42" t="s">
        <v>166</v>
      </c>
      <c r="C42">
        <f>IFERROR(FORMULATEXT('[FinanceOS_v1.0-QA-RC1.xlsx]Business Engine'!B58),"(value/no formula)")</f>
      </c>
      <c r="D42">
        <f>'Difference Engine'!B42</f>
      </c>
      <c r="E42">
        <f>'Difference Engine'!C42</f>
      </c>
      <c r="F42">
        <f>IF(OR(D42="",E42=""),"WAIT",IF(AND(ISNUMBER(D42),ISNUMBER(E42)),IF(ABS(E42-D42)&gt;0.005,"YES","NO"),IF(D42=E42,"NO","YES")))</f>
      </c>
      <c r="G42">
        <f>IF(AND(ISNUMBER('Difference Engine'!E42),ABS('Difference Engine'!E42)&gt;0.005),"YES","NO")</f>
      </c>
      <c r="H42">
        <f>IF(OR(F42="WAIT",D42=""),"WAIT",IF(F42=G42,"PASS","FAIL"))</f>
      </c>
    </row>
    <row r="43" spans="1:8" x14ac:dyDescent="0.25">
      <c r="A43" t="s">
        <v>295</v>
      </c>
      <c r="B43" t="s">
        <v>166</v>
      </c>
      <c r="C43">
        <f>IFERROR(FORMULATEXT('[FinanceOS_v1.0-QA-RC1.xlsx]Business Engine'!B61),"(value/no formula)")</f>
      </c>
      <c r="D43">
        <f>'Difference Engine'!B43</f>
      </c>
      <c r="E43">
        <f>'Difference Engine'!C43</f>
      </c>
      <c r="F43">
        <f>IF(OR(D43="",E43=""),"WAIT",IF(AND(ISNUMBER(D43),ISNUMBER(E43)),IF(ABS(E43-D43)&gt;0.005,"YES","NO"),IF(D43=E43,"NO","YES")))</f>
      </c>
      <c r="G43">
        <f>IF(AND(ISNUMBER('Difference Engine'!E43),ABS('Difference Engine'!E43)&gt;0.005),"YES","NO")</f>
      </c>
      <c r="H43">
        <f>IF(OR(F43="WAIT",D43=""),"WAIT",IF(F43=G43,"PASS","FAIL"))</f>
      </c>
    </row>
    <row r="44" spans="1:8" x14ac:dyDescent="0.25">
      <c r="A44" t="s">
        <v>298</v>
      </c>
      <c r="B44" t="s">
        <v>166</v>
      </c>
      <c r="C44">
        <f>IFERROR(FORMULATEXT('[FinanceOS_v1.0-QA-RC1.xlsx]Business Engine'!B62),"(value/no formula)")</f>
      </c>
      <c r="D44">
        <f>'Difference Engine'!B44</f>
      </c>
      <c r="E44">
        <f>'Difference Engine'!C44</f>
      </c>
      <c r="F44">
        <f>IF(OR(D44="",E44=""),"WAIT",IF(AND(ISNUMBER(D44),ISNUMBER(E44)),IF(ABS(E44-D44)&gt;0.005,"YES","NO"),IF(D44=E44,"NO","YES")))</f>
      </c>
      <c r="G44">
        <f>IF(AND(ISNUMBER('Difference Engine'!E44),ABS('Difference Engine'!E44)&gt;0.005),"YES","NO")</f>
      </c>
      <c r="H44">
        <f>IF(OR(F44="WAIT",D44=""),"WAIT",IF(F44=G44,"PASS","FAIL"))</f>
      </c>
    </row>
    <row r="45" spans="1:8" x14ac:dyDescent="0.25">
      <c r="A45" t="s">
        <v>301</v>
      </c>
      <c r="B45" t="s">
        <v>166</v>
      </c>
      <c r="C45">
        <f>IFERROR(FORMULATEXT('[FinanceOS_v1.0-QA-RC1.xlsx]Business Engine'!B63),"(value/no formula)")</f>
      </c>
      <c r="D45">
        <f>'Difference Engine'!B45</f>
      </c>
      <c r="E45">
        <f>'Difference Engine'!C45</f>
      </c>
      <c r="F45">
        <f>IF(OR(D45="",E45=""),"WAIT",IF(AND(ISNUMBER(D45),ISNUMBER(E45)),IF(ABS(E45-D45)&gt;0.005,"YES","NO"),IF(D45=E45,"NO","YES")))</f>
      </c>
      <c r="G45">
        <f>IF(AND(ISNUMBER('Difference Engine'!E45),ABS('Difference Engine'!E45)&gt;0.005),"YES","NO")</f>
      </c>
      <c r="H45">
        <f>IF(OR(F45="WAIT",D45=""),"WAIT",IF(F45=G45,"PASS","FAIL"))</f>
      </c>
    </row>
    <row r="46" spans="1:8" x14ac:dyDescent="0.25">
      <c r="A46" t="s">
        <v>304</v>
      </c>
      <c r="B46" t="s">
        <v>166</v>
      </c>
      <c r="C46">
        <f>IFERROR(FORMULATEXT('[FinanceOS_v1.0-QA-RC1.xlsx]Business Engine'!B64),"(value/no formula)")</f>
      </c>
      <c r="D46">
        <f>'Difference Engine'!B46</f>
      </c>
      <c r="E46">
        <f>'Difference Engine'!C46</f>
      </c>
      <c r="F46">
        <f>IF(OR(D46="",E46=""),"WAIT",IF(AND(ISNUMBER(D46),ISNUMBER(E46)),IF(ABS(E46-D46)&gt;0.005,"YES","NO"),IF(D46=E46,"NO","YES")))</f>
      </c>
      <c r="G46">
        <f>IF(AND(ISNUMBER('Difference Engine'!E46),ABS('Difference Engine'!E46)&gt;0.005),"YES","NO")</f>
      </c>
      <c r="H46">
        <f>IF(OR(F46="WAIT",D46=""),"WAIT",IF(F46=G46,"PASS","FAIL"))</f>
      </c>
    </row>
    <row r="47" spans="1:8" x14ac:dyDescent="0.25">
      <c r="A47" t="s">
        <v>306</v>
      </c>
      <c r="B47" t="s">
        <v>166</v>
      </c>
      <c r="C47">
        <f>IFERROR(FORMULATEXT('[FinanceOS_v1.0-QA-RC1.xlsx]Business Engine'!B65),"(value/no formula)")</f>
      </c>
      <c r="D47">
        <f>'Difference Engine'!B47</f>
      </c>
      <c r="E47">
        <f>'Difference Engine'!C47</f>
      </c>
      <c r="F47">
        <f>IF(OR(D47="",E47=""),"WAIT",IF(AND(ISNUMBER(D47),ISNUMBER(E47)),IF(ABS(E47-D47)&gt;0.005,"YES","NO"),IF(D47=E47,"NO","YES")))</f>
      </c>
      <c r="G47">
        <f>IF(AND(ISNUMBER('Difference Engine'!E47),ABS('Difference Engine'!E47)&gt;0.005),"YES","NO")</f>
      </c>
      <c r="H47">
        <f>IF(OR(F47="WAIT",D47=""),"WAIT",IF(F47=G47,"PASS","FAIL"))</f>
      </c>
    </row>
    <row r="48" spans="1:8" x14ac:dyDescent="0.25">
      <c r="A48" t="s">
        <v>309</v>
      </c>
      <c r="B48" t="s">
        <v>166</v>
      </c>
      <c r="C48">
        <f>IFERROR(FORMULATEXT('[FinanceOS_v1.0-QA-RC1.xlsx]Business Engine'!B66),"(value/no formula)")</f>
      </c>
      <c r="D48">
        <f>'Difference Engine'!B48</f>
      </c>
      <c r="E48">
        <f>'Difference Engine'!C48</f>
      </c>
      <c r="F48">
        <f>IF(OR(D48="",E48=""),"WAIT",IF(AND(ISNUMBER(D48),ISNUMBER(E48)),IF(ABS(E48-D48)&gt;0.005,"YES","NO"),IF(D48=E48,"NO","YES")))</f>
      </c>
      <c r="G48">
        <f>IF(AND(ISNUMBER('Difference Engine'!E48),ABS('Difference Engine'!E48)&gt;0.005),"YES","NO")</f>
      </c>
      <c r="H48">
        <f>IF(OR(F48="WAIT",D48=""),"WAIT",IF(F48=G48,"PASS","FAIL"))</f>
      </c>
    </row>
    <row r="49" spans="1:8" x14ac:dyDescent="0.25">
      <c r="A49" t="s">
        <v>312</v>
      </c>
      <c r="B49" t="s">
        <v>166</v>
      </c>
      <c r="C49">
        <f>IFERROR(FORMULATEXT('[FinanceOS_v1.0-QA-RC1.xlsx]Business Engine'!B67),"(value/no formula)")</f>
      </c>
      <c r="D49">
        <f>'Difference Engine'!B49</f>
      </c>
      <c r="E49">
        <f>'Difference Engine'!C49</f>
      </c>
      <c r="F49">
        <f>IF(OR(D49="",E49=""),"WAIT",IF(AND(ISNUMBER(D49),ISNUMBER(E49)),IF(ABS(E49-D49)&gt;0.005,"YES","NO"),IF(D49=E49,"NO","YES")))</f>
      </c>
      <c r="G49">
        <f>IF(AND(ISNUMBER('Difference Engine'!E49),ABS('Difference Engine'!E49)&gt;0.005),"YES","NO")</f>
      </c>
      <c r="H49">
        <f>IF(OR(F49="WAIT",D49=""),"WAIT",IF(F49=G49,"PASS","FAIL"))</f>
      </c>
    </row>
    <row r="50" spans="1:8" x14ac:dyDescent="0.25">
      <c r="A50" t="s">
        <v>315</v>
      </c>
      <c r="B50" t="s">
        <v>166</v>
      </c>
      <c r="C50">
        <f>IFERROR(FORMULATEXT('[FinanceOS_v1.0-QA-RC1.xlsx]Business Engine'!B68),"(value/no formula)")</f>
      </c>
      <c r="D50">
        <f>'Difference Engine'!B50</f>
      </c>
      <c r="E50">
        <f>'Difference Engine'!C50</f>
      </c>
      <c r="F50">
        <f>IF(OR(D50="",E50=""),"WAIT",IF(AND(ISNUMBER(D50),ISNUMBER(E50)),IF(ABS(E50-D50)&gt;0.005,"YES","NO"),IF(D50=E50,"NO","YES")))</f>
      </c>
      <c r="G50">
        <f>IF(AND(ISNUMBER('Difference Engine'!E50),ABS('Difference Engine'!E50)&gt;0.005),"YES","NO")</f>
      </c>
      <c r="H50">
        <f>IF(OR(F50="WAIT",D50=""),"WAIT",IF(F50=G50,"PASS","FAIL"))</f>
      </c>
    </row>
    <row r="51" spans="1:8" x14ac:dyDescent="0.25">
      <c r="A51" t="s">
        <v>318</v>
      </c>
      <c r="B51" t="s">
        <v>166</v>
      </c>
      <c r="C51">
        <f>IFERROR(FORMULATEXT('[FinanceOS_v1.0-QA-RC1.xlsx]Business Engine'!B1),"(value/no formula)")</f>
      </c>
      <c r="D51">
        <f>'Difference Engine'!B51</f>
      </c>
      <c r="E51">
        <f>'Difference Engine'!C51</f>
      </c>
      <c r="F51">
        <f>IF(OR(D51="",E51=""),"WAIT",IF(AND(ISNUMBER(D51),ISNUMBER(E51)),IF(ABS(E51-D51)&gt;0.005,"YES","NO"),IF(D51=E51,"NO","YES")))</f>
      </c>
      <c r="G51">
        <f>IF(AND(ISNUMBER('Difference Engine'!E51),ABS('Difference Engine'!E51)&gt;0.005),"YES","NO")</f>
      </c>
      <c r="H51">
        <f>IF(OR(F51="WAIT",D51=""),"WAIT",IF(F51=G51,"PASS","FAIL"))</f>
      </c>
    </row>
    <row r="52" spans="1:8" x14ac:dyDescent="0.25">
      <c r="A52" t="s">
        <v>321</v>
      </c>
      <c r="B52" t="s">
        <v>320</v>
      </c>
      <c r="C52">
        <f>IFERROR(FORMULATEXT('[FinanceOS_v1.0-QA-RC1.xlsx]Analysis Engine'!B2),"(value/no formula)")</f>
      </c>
      <c r="D52">
        <f>'Difference Engine'!B52</f>
      </c>
      <c r="E52">
        <f>'Difference Engine'!C52</f>
      </c>
      <c r="F52">
        <f>IF(OR(D52="",E52=""),"WAIT",IF(AND(ISNUMBER(D52),ISNUMBER(E52)),IF(ABS(E52-D52)&gt;0.005,"YES","NO"),IF(D52=E52,"NO","YES")))</f>
      </c>
      <c r="G52">
        <f>IF(AND(ISNUMBER('Difference Engine'!E52),ABS('Difference Engine'!E52)&gt;0.005),"YES","NO")</f>
      </c>
      <c r="H52">
        <f>IF(OR(F52="WAIT",D52=""),"WAIT",IF(F52=G52,"PASS","FAIL"))</f>
      </c>
    </row>
    <row r="53" spans="1:8" x14ac:dyDescent="0.25">
      <c r="A53" t="s">
        <v>172</v>
      </c>
      <c r="B53" t="s">
        <v>320</v>
      </c>
      <c r="C53">
        <f>IFERROR(FORMULATEXT('[FinanceOS_v1.0-QA-RC1.xlsx]Analysis Engine'!B6),"(value/no formula)")</f>
      </c>
      <c r="D53">
        <f>'Difference Engine'!B53</f>
      </c>
      <c r="E53">
        <f>'Difference Engine'!C53</f>
      </c>
      <c r="F53">
        <f>IF(OR(D53="",E53=""),"WAIT",IF(AND(ISNUMBER(D53),ISNUMBER(E53)),IF(ABS(E53-D53)&gt;0.005,"YES","NO"),IF(D53=E53,"NO","YES")))</f>
      </c>
      <c r="G53">
        <f>IF(AND(ISNUMBER('Difference Engine'!E53),ABS('Difference Engine'!E53)&gt;0.005),"YES","NO")</f>
      </c>
      <c r="H53">
        <f>IF(OR(F53="WAIT",D53=""),"WAIT",IF(F53=G53,"PASS","FAIL"))</f>
      </c>
    </row>
    <row r="54" spans="1:8" x14ac:dyDescent="0.25">
      <c r="A54" t="s">
        <v>175</v>
      </c>
      <c r="B54" t="s">
        <v>320</v>
      </c>
      <c r="C54">
        <f>IFERROR(FORMULATEXT('[FinanceOS_v1.0-QA-RC1.xlsx]Analysis Engine'!B7),"(value/no formula)")</f>
      </c>
      <c r="D54">
        <f>'Difference Engine'!B54</f>
      </c>
      <c r="E54">
        <f>'Difference Engine'!C54</f>
      </c>
      <c r="F54">
        <f>IF(OR(D54="",E54=""),"WAIT",IF(AND(ISNUMBER(D54),ISNUMBER(E54)),IF(ABS(E54-D54)&gt;0.005,"YES","NO"),IF(D54=E54,"NO","YES")))</f>
      </c>
      <c r="G54">
        <f>IF(AND(ISNUMBER('Difference Engine'!E54),ABS('Difference Engine'!E54)&gt;0.005),"YES","NO")</f>
      </c>
      <c r="H54">
        <f>IF(OR(F54="WAIT",D54=""),"WAIT",IF(F54=G54,"PASS","FAIL"))</f>
      </c>
    </row>
    <row r="55" spans="1:8" x14ac:dyDescent="0.25">
      <c r="A55" t="s">
        <v>178</v>
      </c>
      <c r="B55" t="s">
        <v>320</v>
      </c>
      <c r="C55">
        <f>IFERROR(FORMULATEXT('[FinanceOS_v1.0-QA-RC1.xlsx]Analysis Engine'!B8),"(value/no formula)")</f>
      </c>
      <c r="D55">
        <f>'Difference Engine'!B55</f>
      </c>
      <c r="E55">
        <f>'Difference Engine'!C55</f>
      </c>
      <c r="F55">
        <f>IF(OR(D55="",E55=""),"WAIT",IF(AND(ISNUMBER(D55),ISNUMBER(E55)),IF(ABS(E55-D55)&gt;0.005,"YES","NO"),IF(D55=E55,"NO","YES")))</f>
      </c>
      <c r="G55">
        <f>IF(AND(ISNUMBER('Difference Engine'!E55),ABS('Difference Engine'!E55)&gt;0.005),"YES","NO")</f>
      </c>
      <c r="H55">
        <f>IF(OR(F55="WAIT",D55=""),"WAIT",IF(F55=G55,"PASS","FAIL"))</f>
      </c>
    </row>
    <row r="56" spans="1:8" x14ac:dyDescent="0.25">
      <c r="A56" t="s">
        <v>181</v>
      </c>
      <c r="B56" t="s">
        <v>320</v>
      </c>
      <c r="C56">
        <f>IFERROR(FORMULATEXT('[FinanceOS_v1.0-QA-RC1.xlsx]Analysis Engine'!B9),"(value/no formula)")</f>
      </c>
      <c r="D56">
        <f>'Difference Engine'!B56</f>
      </c>
      <c r="E56">
        <f>'Difference Engine'!C56</f>
      </c>
      <c r="F56">
        <f>IF(OR(D56="",E56=""),"WAIT",IF(AND(ISNUMBER(D56),ISNUMBER(E56)),IF(ABS(E56-D56)&gt;0.005,"YES","NO"),IF(D56=E56,"NO","YES")))</f>
      </c>
      <c r="G56">
        <f>IF(AND(ISNUMBER('Difference Engine'!E56),ABS('Difference Engine'!E56)&gt;0.005),"YES","NO")</f>
      </c>
      <c r="H56">
        <f>IF(OR(F56="WAIT",D56=""),"WAIT",IF(F56=G56,"PASS","FAIL"))</f>
      </c>
    </row>
    <row r="57" spans="1:8" x14ac:dyDescent="0.25">
      <c r="A57" t="s">
        <v>332</v>
      </c>
      <c r="B57" t="s">
        <v>320</v>
      </c>
      <c r="C57">
        <f>IFERROR(FORMULATEXT('[FinanceOS_v1.0-QA-RC1.xlsx]Analysis Engine'!B10),"(value/no formula)")</f>
      </c>
      <c r="D57">
        <f>'Difference Engine'!B57</f>
      </c>
      <c r="E57">
        <f>'Difference Engine'!C57</f>
      </c>
      <c r="F57">
        <f>IF(OR(D57="",E57=""),"WAIT",IF(AND(ISNUMBER(D57),ISNUMBER(E57)),IF(ABS(E57-D57)&gt;0.005,"YES","NO"),IF(D57=E57,"NO","YES")))</f>
      </c>
      <c r="G57">
        <f>IF(AND(ISNUMBER('Difference Engine'!E57),ABS('Difference Engine'!E57)&gt;0.005),"YES","NO")</f>
      </c>
      <c r="H57">
        <f>IF(OR(F57="WAIT",D57=""),"WAIT",IF(F57=G57,"PASS","FAIL"))</f>
      </c>
    </row>
    <row r="58" spans="1:8" x14ac:dyDescent="0.25">
      <c r="A58" t="s">
        <v>335</v>
      </c>
      <c r="B58" t="s">
        <v>320</v>
      </c>
      <c r="C58">
        <f>IFERROR(FORMULATEXT('[FinanceOS_v1.0-QA-RC1.xlsx]Analysis Engine'!B11),"(value/no formula)")</f>
      </c>
      <c r="D58">
        <f>'Difference Engine'!B58</f>
      </c>
      <c r="E58">
        <f>'Difference Engine'!C58</f>
      </c>
      <c r="F58">
        <f>IF(OR(D58="",E58=""),"WAIT",IF(AND(ISNUMBER(D58),ISNUMBER(E58)),IF(ABS(E58-D58)&gt;0.005,"YES","NO"),IF(D58=E58,"NO","YES")))</f>
      </c>
      <c r="G58">
        <f>IF(AND(ISNUMBER('Difference Engine'!E58),ABS('Difference Engine'!E58)&gt;0.005),"YES","NO")</f>
      </c>
      <c r="H58">
        <f>IF(OR(F58="WAIT",D58=""),"WAIT",IF(F58=G58,"PASS","FAIL"))</f>
      </c>
    </row>
    <row r="59" spans="1:8" x14ac:dyDescent="0.25">
      <c r="A59" t="s">
        <v>338</v>
      </c>
      <c r="B59" t="s">
        <v>320</v>
      </c>
      <c r="C59">
        <f>IFERROR(FORMULATEXT('[FinanceOS_v1.0-QA-RC1.xlsx]Analysis Engine'!C6),"(value/no formula)")</f>
      </c>
      <c r="D59">
        <f>'Difference Engine'!B59</f>
      </c>
      <c r="E59">
        <f>'Difference Engine'!C59</f>
      </c>
      <c r="F59">
        <f>IF(OR(D59="",E59=""),"WAIT",IF(AND(ISNUMBER(D59),ISNUMBER(E59)),IF(ABS(E59-D59)&gt;0.005,"YES","NO"),IF(D59=E59,"NO","YES")))</f>
      </c>
      <c r="G59">
        <f>IF(AND(ISNUMBER('Difference Engine'!E59),ABS('Difference Engine'!E59)&gt;0.005),"YES","NO")</f>
      </c>
      <c r="H59">
        <f>IF(OR(F59="WAIT",D59=""),"WAIT",IF(F59=G59,"PASS","FAIL"))</f>
      </c>
    </row>
    <row r="60" spans="1:8" x14ac:dyDescent="0.25">
      <c r="A60" t="s">
        <v>341</v>
      </c>
      <c r="B60" t="s">
        <v>320</v>
      </c>
      <c r="C60">
        <f>IFERROR(FORMULATEXT('[FinanceOS_v1.0-QA-RC1.xlsx]Analysis Engine'!D6),"(value/no formula)")</f>
      </c>
      <c r="D60">
        <f>'Difference Engine'!B60</f>
      </c>
      <c r="E60">
        <f>'Difference Engine'!C60</f>
      </c>
      <c r="F60">
        <f>IF(OR(D60="",E60=""),"WAIT",IF(AND(ISNUMBER(D60),ISNUMBER(E60)),IF(ABS(E60-D60)&gt;0.005,"YES","NO"),IF(D60=E60,"NO","YES")))</f>
      </c>
      <c r="G60">
        <f>IF(AND(ISNUMBER('Difference Engine'!E60),ABS('Difference Engine'!E60)&gt;0.005),"YES","NO")</f>
      </c>
      <c r="H60">
        <f>IF(OR(F60="WAIT",D60=""),"WAIT",IF(F60=G60,"PASS","FAIL"))</f>
      </c>
    </row>
    <row r="61" spans="1:8" x14ac:dyDescent="0.25">
      <c r="A61" t="s">
        <v>191</v>
      </c>
      <c r="B61" t="s">
        <v>320</v>
      </c>
      <c r="C61">
        <f>IFERROR(FORMULATEXT('[FinanceOS_v1.0-QA-RC1.xlsx]Analysis Engine'!B14),"(value/no formula)")</f>
      </c>
      <c r="D61">
        <f>'Difference Engine'!B61</f>
      </c>
      <c r="E61">
        <f>'Difference Engine'!C61</f>
      </c>
      <c r="F61">
        <f>IF(OR(D61="",E61=""),"WAIT",IF(AND(ISNUMBER(D61),ISNUMBER(E61)),IF(ABS(E61-D61)&gt;0.005,"YES","NO"),IF(D61=E61,"NO","YES")))</f>
      </c>
      <c r="G61">
        <f>IF(AND(ISNUMBER('Difference Engine'!E61),ABS('Difference Engine'!E61)&gt;0.005),"YES","NO")</f>
      </c>
      <c r="H61">
        <f>IF(OR(F61="WAIT",D61=""),"WAIT",IF(F61=G61,"PASS","FAIL"))</f>
      </c>
    </row>
    <row r="62" spans="1:8" x14ac:dyDescent="0.25">
      <c r="A62" t="s">
        <v>346</v>
      </c>
      <c r="B62" t="s">
        <v>320</v>
      </c>
      <c r="C62">
        <f>IFERROR(FORMULATEXT('[FinanceOS_v1.0-QA-RC1.xlsx]Analysis Engine'!C14),"(value/no formula)")</f>
      </c>
      <c r="D62">
        <f>'Difference Engine'!B62</f>
      </c>
      <c r="E62">
        <f>'Difference Engine'!C62</f>
      </c>
      <c r="F62">
        <f>IF(OR(D62="",E62=""),"WAIT",IF(AND(ISNUMBER(D62),ISNUMBER(E62)),IF(ABS(E62-D62)&gt;0.005,"YES","NO"),IF(D62=E62,"NO","YES")))</f>
      </c>
      <c r="G62">
        <f>IF(AND(ISNUMBER('Difference Engine'!E62),ABS('Difference Engine'!E62)&gt;0.005),"YES","NO")</f>
      </c>
      <c r="H62">
        <f>IF(OR(F62="WAIT",D62=""),"WAIT",IF(F62=G62,"PASS","FAIL"))</f>
      </c>
    </row>
    <row r="63" spans="1:8" x14ac:dyDescent="0.25">
      <c r="A63" t="s">
        <v>349</v>
      </c>
      <c r="B63" t="s">
        <v>320</v>
      </c>
      <c r="C63">
        <f>IFERROR(FORMULATEXT('[FinanceOS_v1.0-QA-RC1.xlsx]Analysis Engine'!D14),"(value/no formula)")</f>
      </c>
      <c r="D63">
        <f>'Difference Engine'!B63</f>
      </c>
      <c r="E63">
        <f>'Difference Engine'!C63</f>
      </c>
      <c r="F63">
        <f>IF(OR(D63="",E63=""),"WAIT",IF(AND(ISNUMBER(D63),ISNUMBER(E63)),IF(ABS(E63-D63)&gt;0.005,"YES","NO"),IF(D63=E63,"NO","YES")))</f>
      </c>
      <c r="G63">
        <f>IF(AND(ISNUMBER('Difference Engine'!E63),ABS('Difference Engine'!E63)&gt;0.005),"YES","NO")</f>
      </c>
      <c r="H63">
        <f>IF(OR(F63="WAIT",D63=""),"WAIT",IF(F63=G63,"PASS","FAIL"))</f>
      </c>
    </row>
    <row r="64" spans="1:8" x14ac:dyDescent="0.25">
      <c r="A64" t="s">
        <v>261</v>
      </c>
      <c r="B64" t="s">
        <v>320</v>
      </c>
      <c r="C64">
        <f>IFERROR(FORMULATEXT('[FinanceOS_v1.0-QA-RC1.xlsx]Analysis Engine'!B44),"(value/no formula)")</f>
      </c>
      <c r="D64">
        <f>'Difference Engine'!B64</f>
      </c>
      <c r="E64">
        <f>'Difference Engine'!C64</f>
      </c>
      <c r="F64">
        <f>IF(OR(D64="",E64=""),"WAIT",IF(AND(ISNUMBER(D64),ISNUMBER(E64)),IF(ABS(E64-D64)&gt;0.005,"YES","NO"),IF(D64=E64,"NO","YES")))</f>
      </c>
      <c r="G64">
        <f>IF(AND(ISNUMBER('Difference Engine'!E64),ABS('Difference Engine'!E64)&gt;0.005),"YES","NO")</f>
      </c>
      <c r="H64">
        <f>IF(OR(F64="WAIT",D64=""),"WAIT",IF(F64=G64,"PASS","FAIL"))</f>
      </c>
    </row>
    <row r="65" spans="1:8" x14ac:dyDescent="0.25">
      <c r="A65" t="s">
        <v>264</v>
      </c>
      <c r="B65" t="s">
        <v>320</v>
      </c>
      <c r="C65">
        <f>IFERROR(FORMULATEXT('[FinanceOS_v1.0-QA-RC1.xlsx]Analysis Engine'!B45),"(value/no formula)")</f>
      </c>
      <c r="D65">
        <f>'Difference Engine'!B65</f>
      </c>
      <c r="E65">
        <f>'Difference Engine'!C65</f>
      </c>
      <c r="F65">
        <f>IF(OR(D65="",E65=""),"WAIT",IF(AND(ISNUMBER(D65),ISNUMBER(E65)),IF(ABS(E65-D65)&gt;0.005,"YES","NO"),IF(D65=E65,"NO","YES")))</f>
      </c>
      <c r="G65">
        <f>IF(AND(ISNUMBER('Difference Engine'!E65),ABS('Difference Engine'!E65)&gt;0.005),"YES","NO")</f>
      </c>
      <c r="H65">
        <f>IF(OR(F65="WAIT",D65=""),"WAIT",IF(F65=G65,"PASS","FAIL"))</f>
      </c>
    </row>
    <row r="66" spans="1:8" x14ac:dyDescent="0.25">
      <c r="A66" t="s">
        <v>356</v>
      </c>
      <c r="B66" t="s">
        <v>320</v>
      </c>
      <c r="C66">
        <f>IFERROR(FORMULATEXT('[FinanceOS_v1.0-QA-RC1.xlsx]Analysis Engine'!B46),"(value/no formula)")</f>
      </c>
      <c r="D66">
        <f>'Difference Engine'!B66</f>
      </c>
      <c r="E66">
        <f>'Difference Engine'!C66</f>
      </c>
      <c r="F66">
        <f>IF(OR(D66="",E66=""),"WAIT",IF(AND(ISNUMBER(D66),ISNUMBER(E66)),IF(ABS(E66-D66)&gt;0.005,"YES","NO"),IF(D66=E66,"NO","YES")))</f>
      </c>
      <c r="G66">
        <f>IF(AND(ISNUMBER('Difference Engine'!E66),ABS('Difference Engine'!E66)&gt;0.005),"YES","NO")</f>
      </c>
      <c r="H66">
        <f>IF(OR(F66="WAIT",D66=""),"WAIT",IF(F66=G66,"PASS","FAIL"))</f>
      </c>
    </row>
    <row r="67" spans="1:8" x14ac:dyDescent="0.25">
      <c r="A67" t="s">
        <v>359</v>
      </c>
      <c r="B67" t="s">
        <v>320</v>
      </c>
      <c r="C67">
        <f>IFERROR(FORMULATEXT('[FinanceOS_v1.0-QA-RC1.xlsx]Analysis Engine'!B47),"(value/no formula)")</f>
      </c>
      <c r="D67">
        <f>'Difference Engine'!B67</f>
      </c>
      <c r="E67">
        <f>'Difference Engine'!C67</f>
      </c>
      <c r="F67">
        <f>IF(OR(D67="",E67=""),"WAIT",IF(AND(ISNUMBER(D67),ISNUMBER(E67)),IF(ABS(E67-D67)&gt;0.005,"YES","NO"),IF(D67=E67,"NO","YES")))</f>
      </c>
      <c r="G67">
        <f>IF(AND(ISNUMBER('Difference Engine'!E67),ABS('Difference Engine'!E67)&gt;0.005),"YES","NO")</f>
      </c>
      <c r="H67">
        <f>IF(OR(F67="WAIT",D67=""),"WAIT",IF(F67=G67,"PASS","FAIL"))</f>
      </c>
    </row>
    <row r="68" spans="1:8" x14ac:dyDescent="0.25">
      <c r="A68" t="s">
        <v>267</v>
      </c>
      <c r="B68" t="s">
        <v>320</v>
      </c>
      <c r="C68">
        <f>IFERROR(FORMULATEXT('[FinanceOS_v1.0-QA-RC1.xlsx]Analysis Engine'!B48),"(value/no formula)")</f>
      </c>
      <c r="D68">
        <f>'Difference Engine'!B68</f>
      </c>
      <c r="E68">
        <f>'Difference Engine'!C68</f>
      </c>
      <c r="F68">
        <f>IF(OR(D68="",E68=""),"WAIT",IF(AND(ISNUMBER(D68),ISNUMBER(E68)),IF(ABS(E68-D68)&gt;0.005,"YES","NO"),IF(D68=E68,"NO","YES")))</f>
      </c>
      <c r="G68">
        <f>IF(AND(ISNUMBER('Difference Engine'!E68),ABS('Difference Engine'!E68)&gt;0.005),"YES","NO")</f>
      </c>
      <c r="H68">
        <f>IF(OR(F68="WAIT",D68=""),"WAIT",IF(F68=G68,"PASS","FAIL"))</f>
      </c>
    </row>
    <row r="69" spans="1:8" x14ac:dyDescent="0.25">
      <c r="A69" t="s">
        <v>270</v>
      </c>
      <c r="B69" t="s">
        <v>320</v>
      </c>
      <c r="C69">
        <f>IFERROR(FORMULATEXT('[FinanceOS_v1.0-QA-RC1.xlsx]Analysis Engine'!B49),"(value/no formula)")</f>
      </c>
      <c r="D69">
        <f>'Difference Engine'!B69</f>
      </c>
      <c r="E69">
        <f>'Difference Engine'!C69</f>
      </c>
      <c r="F69">
        <f>IF(OR(D69="",E69=""),"WAIT",IF(AND(ISNUMBER(D69),ISNUMBER(E69)),IF(ABS(E69-D69)&gt;0.005,"YES","NO"),IF(D69=E69,"NO","YES")))</f>
      </c>
      <c r="G69">
        <f>IF(AND(ISNUMBER('Difference Engine'!E69),ABS('Difference Engine'!E69)&gt;0.005),"YES","NO")</f>
      </c>
      <c r="H69">
        <f>IF(OR(F69="WAIT",D69=""),"WAIT",IF(F69=G69,"PASS","FAIL"))</f>
      </c>
    </row>
    <row r="70" spans="1:8" x14ac:dyDescent="0.25">
      <c r="A70" t="s">
        <v>280</v>
      </c>
      <c r="B70" t="s">
        <v>320</v>
      </c>
      <c r="C70">
        <f>IFERROR(FORMULATEXT('[FinanceOS_v1.0-QA-RC1.xlsx]Analysis Engine'!B54),"(value/no formula)")</f>
      </c>
      <c r="D70">
        <f>'Difference Engine'!B70</f>
      </c>
      <c r="E70">
        <f>'Difference Engine'!C70</f>
      </c>
      <c r="F70">
        <f>IF(OR(D70="",E70=""),"WAIT",IF(AND(ISNUMBER(D70),ISNUMBER(E70)),IF(ABS(E70-D70)&gt;0.005,"YES","NO"),IF(D70=E70,"NO","YES")))</f>
      </c>
      <c r="G70">
        <f>IF(AND(ISNUMBER('Difference Engine'!E70),ABS('Difference Engine'!E70)&gt;0.005),"YES","NO")</f>
      </c>
      <c r="H70">
        <f>IF(OR(F70="WAIT",D70=""),"WAIT",IF(F70=G70,"PASS","FAIL"))</f>
      </c>
    </row>
    <row r="71" spans="1:8" x14ac:dyDescent="0.25">
      <c r="A71" t="s">
        <v>283</v>
      </c>
      <c r="B71" t="s">
        <v>320</v>
      </c>
      <c r="C71">
        <f>IFERROR(FORMULATEXT('[FinanceOS_v1.0-QA-RC1.xlsx]Analysis Engine'!B55),"(value/no formula)")</f>
      </c>
      <c r="D71">
        <f>'Difference Engine'!B71</f>
      </c>
      <c r="E71">
        <f>'Difference Engine'!C71</f>
      </c>
      <c r="F71">
        <f>IF(OR(D71="",E71=""),"WAIT",IF(AND(ISNUMBER(D71),ISNUMBER(E71)),IF(ABS(E71-D71)&gt;0.005,"YES","NO"),IF(D71=E71,"NO","YES")))</f>
      </c>
      <c r="G71">
        <f>IF(AND(ISNUMBER('Difference Engine'!E71),ABS('Difference Engine'!E71)&gt;0.005),"YES","NO")</f>
      </c>
      <c r="H71">
        <f>IF(OR(F71="WAIT",D71=""),"WAIT",IF(F71=G71,"PASS","FAIL"))</f>
      </c>
    </row>
    <row r="72" spans="1:8" x14ac:dyDescent="0.25">
      <c r="A72" t="s">
        <v>286</v>
      </c>
      <c r="B72" t="s">
        <v>320</v>
      </c>
      <c r="C72">
        <f>IFERROR(FORMULATEXT('[FinanceOS_v1.0-QA-RC1.xlsx]Analysis Engine'!B56),"(value/no formula)")</f>
      </c>
      <c r="D72">
        <f>'Difference Engine'!B72</f>
      </c>
      <c r="E72">
        <f>'Difference Engine'!C72</f>
      </c>
      <c r="F72">
        <f>IF(OR(D72="",E72=""),"WAIT",IF(AND(ISNUMBER(D72),ISNUMBER(E72)),IF(ABS(E72-D72)&gt;0.005,"YES","NO"),IF(D72=E72,"NO","YES")))</f>
      </c>
      <c r="G72">
        <f>IF(AND(ISNUMBER('Difference Engine'!E72),ABS('Difference Engine'!E72)&gt;0.005),"YES","NO")</f>
      </c>
      <c r="H72">
        <f>IF(OR(F72="WAIT",D72=""),"WAIT",IF(F72=G72,"PASS","FAIL"))</f>
      </c>
    </row>
    <row r="73" spans="1:8" x14ac:dyDescent="0.25">
      <c r="A73" t="s">
        <v>289</v>
      </c>
      <c r="B73" t="s">
        <v>320</v>
      </c>
      <c r="C73">
        <f>IFERROR(FORMULATEXT('[FinanceOS_v1.0-QA-RC1.xlsx]Analysis Engine'!B57),"(value/no formula)")</f>
      </c>
      <c r="D73">
        <f>'Difference Engine'!B73</f>
      </c>
      <c r="E73">
        <f>'Difference Engine'!C73</f>
      </c>
      <c r="F73">
        <f>IF(OR(D73="",E73=""),"WAIT",IF(AND(ISNUMBER(D73),ISNUMBER(E73)),IF(ABS(E73-D73)&gt;0.005,"YES","NO"),IF(D73=E73,"NO","YES")))</f>
      </c>
      <c r="G73">
        <f>IF(AND(ISNUMBER('Difference Engine'!E73),ABS('Difference Engine'!E73)&gt;0.005),"YES","NO")</f>
      </c>
      <c r="H73">
        <f>IF(OR(F73="WAIT",D73=""),"WAIT",IF(F73=G73,"PASS","FAIL"))</f>
      </c>
    </row>
    <row r="74" spans="1:8" x14ac:dyDescent="0.25">
      <c r="A74" t="s">
        <v>292</v>
      </c>
      <c r="B74" t="s">
        <v>320</v>
      </c>
      <c r="C74">
        <f>IFERROR(FORMULATEXT('[FinanceOS_v1.0-QA-RC1.xlsx]Analysis Engine'!B58),"(value/no formula)")</f>
      </c>
      <c r="D74">
        <f>'Difference Engine'!B74</f>
      </c>
      <c r="E74">
        <f>'Difference Engine'!C74</f>
      </c>
      <c r="F74">
        <f>IF(OR(D74="",E74=""),"WAIT",IF(AND(ISNUMBER(D74),ISNUMBER(E74)),IF(ABS(E74-D74)&gt;0.005,"YES","NO"),IF(D74=E74,"NO","YES")))</f>
      </c>
      <c r="G74">
        <f>IF(AND(ISNUMBER('Difference Engine'!E74),ABS('Difference Engine'!E74)&gt;0.005),"YES","NO")</f>
      </c>
      <c r="H74">
        <f>IF(OR(F74="WAIT",D74=""),"WAIT",IF(F74=G74,"PASS","FAIL"))</f>
      </c>
    </row>
    <row r="75" spans="1:8" x14ac:dyDescent="0.25">
      <c r="A75" t="s">
        <v>373</v>
      </c>
      <c r="B75" t="s">
        <v>320</v>
      </c>
      <c r="C75">
        <f>IFERROR(FORMULATEXT('[FinanceOS_v1.0-QA-RC1.xlsx]Analysis Engine'!B74),"(value/no formula)")</f>
      </c>
      <c r="D75">
        <f>'Difference Engine'!B75</f>
      </c>
      <c r="E75">
        <f>'Difference Engine'!C75</f>
      </c>
      <c r="F75">
        <f>IF(OR(D75="",E75=""),"WAIT",IF(AND(ISNUMBER(D75),ISNUMBER(E75)),IF(ABS(E75-D75)&gt;0.005,"YES","NO"),IF(D75=E75,"NO","YES")))</f>
      </c>
      <c r="G75">
        <f>IF(AND(ISNUMBER('Difference Engine'!E75),ABS('Difference Engine'!E75)&gt;0.005),"YES","NO")</f>
      </c>
      <c r="H75">
        <f>IF(OR(F75="WAIT",D75=""),"WAIT",IF(F75=G75,"PASS","FAIL"))</f>
      </c>
    </row>
    <row r="76" spans="1:8" x14ac:dyDescent="0.25">
      <c r="A76" t="s">
        <v>376</v>
      </c>
      <c r="B76" t="s">
        <v>320</v>
      </c>
      <c r="C76">
        <f>IFERROR(FORMULATEXT('[FinanceOS_v1.0-QA-RC1.xlsx]Analysis Engine'!B75),"(value/no formula)")</f>
      </c>
      <c r="D76">
        <f>'Difference Engine'!B76</f>
      </c>
      <c r="E76">
        <f>'Difference Engine'!C76</f>
      </c>
      <c r="F76">
        <f>IF(OR(D76="",E76=""),"WAIT",IF(AND(ISNUMBER(D76),ISNUMBER(E76)),IF(ABS(E76-D76)&gt;0.005,"YES","NO"),IF(D76=E76,"NO","YES")))</f>
      </c>
      <c r="G76">
        <f>IF(AND(ISNUMBER('Difference Engine'!E76),ABS('Difference Engine'!E76)&gt;0.005),"YES","NO")</f>
      </c>
      <c r="H76">
        <f>IF(OR(F76="WAIT",D76=""),"WAIT",IF(F76=G76,"PASS","FAIL"))</f>
      </c>
    </row>
    <row r="77" spans="1:8" x14ac:dyDescent="0.25">
      <c r="A77" t="s">
        <v>378</v>
      </c>
      <c r="B77" t="s">
        <v>320</v>
      </c>
      <c r="C77">
        <f>IFERROR(FORMULATEXT('[FinanceOS_v1.0-QA-RC1.xlsx]Analysis Engine'!B76),"(value/no formula)")</f>
      </c>
      <c r="D77">
        <f>'Difference Engine'!B77</f>
      </c>
      <c r="E77">
        <f>'Difference Engine'!C77</f>
      </c>
      <c r="F77">
        <f>IF(OR(D77="",E77=""),"WAIT",IF(AND(ISNUMBER(D77),ISNUMBER(E77)),IF(ABS(E77-D77)&gt;0.005,"YES","NO"),IF(D77=E77,"NO","YES")))</f>
      </c>
      <c r="G77">
        <f>IF(AND(ISNUMBER('Difference Engine'!E77),ABS('Difference Engine'!E77)&gt;0.005),"YES","NO")</f>
      </c>
      <c r="H77">
        <f>IF(OR(F77="WAIT",D77=""),"WAIT",IF(F77=G77,"PASS","FAIL"))</f>
      </c>
    </row>
    <row r="78" spans="1:8" x14ac:dyDescent="0.25">
      <c r="A78" t="s">
        <v>380</v>
      </c>
      <c r="B78" t="s">
        <v>320</v>
      </c>
      <c r="C78">
        <f>IFERROR(FORMULATEXT('[FinanceOS_v1.0-QA-RC1.xlsx]Analysis Engine'!B77),"(value/no formula)")</f>
      </c>
      <c r="D78">
        <f>'Difference Engine'!B78</f>
      </c>
      <c r="E78">
        <f>'Difference Engine'!C78</f>
      </c>
      <c r="F78">
        <f>IF(OR(D78="",E78=""),"WAIT",IF(AND(ISNUMBER(D78),ISNUMBER(E78)),IF(ABS(E78-D78)&gt;0.005,"YES","NO"),IF(D78=E78,"NO","YES")))</f>
      </c>
      <c r="G78">
        <f>IF(AND(ISNUMBER('Difference Engine'!E78),ABS('Difference Engine'!E78)&gt;0.005),"YES","NO")</f>
      </c>
      <c r="H78">
        <f>IF(OR(F78="WAIT",D78=""),"WAIT",IF(F78=G78,"PASS","FAIL"))</f>
      </c>
    </row>
    <row r="79" spans="1:8" x14ac:dyDescent="0.25">
      <c r="A79" t="s">
        <v>382</v>
      </c>
      <c r="B79" t="s">
        <v>320</v>
      </c>
      <c r="C79">
        <f>IFERROR(FORMULATEXT('[FinanceOS_v1.0-QA-RC1.xlsx]Analysis Engine'!B79),"(value/no formula)")</f>
      </c>
      <c r="D79">
        <f>'Difference Engine'!B79</f>
      </c>
      <c r="E79">
        <f>'Difference Engine'!C79</f>
      </c>
      <c r="F79">
        <f>IF(OR(D79="",E79=""),"WAIT",IF(AND(ISNUMBER(D79),ISNUMBER(E79)),IF(ABS(E79-D79)&gt;0.005,"YES","NO"),IF(D79=E79,"NO","YES")))</f>
      </c>
      <c r="G79">
        <f>IF(AND(ISNUMBER('Difference Engine'!E79),ABS('Difference Engine'!E79)&gt;0.005),"YES","NO")</f>
      </c>
      <c r="H79">
        <f>IF(OR(F79="WAIT",D79=""),"WAIT",IF(F79=G79,"PASS","FAIL"))</f>
      </c>
    </row>
    <row r="80" spans="1:8" x14ac:dyDescent="0.25">
      <c r="A80" t="s">
        <v>384</v>
      </c>
      <c r="B80" t="s">
        <v>320</v>
      </c>
      <c r="C80">
        <f>IFERROR(FORMULATEXT('[FinanceOS_v1.0-QA-RC1.xlsx]Analysis Engine'!B80),"(value/no formula)")</f>
      </c>
      <c r="D80">
        <f>'Difference Engine'!B80</f>
      </c>
      <c r="E80">
        <f>'Difference Engine'!C80</f>
      </c>
      <c r="F80">
        <f>IF(OR(D80="",E80=""),"WAIT",IF(AND(ISNUMBER(D80),ISNUMBER(E80)),IF(ABS(E80-D80)&gt;0.005,"YES","NO"),IF(D80=E80,"NO","YES")))</f>
      </c>
      <c r="G80">
        <f>IF(AND(ISNUMBER('Difference Engine'!E80),ABS('Difference Engine'!E80)&gt;0.005),"YES","NO")</f>
      </c>
      <c r="H80">
        <f>IF(OR(F80="WAIT",D80=""),"WAIT",IF(F80=G80,"PASS","FAIL"))</f>
      </c>
    </row>
    <row r="81" spans="1:8" x14ac:dyDescent="0.25">
      <c r="A81" t="s">
        <v>386</v>
      </c>
      <c r="B81" t="s">
        <v>320</v>
      </c>
      <c r="C81">
        <f>IFERROR(FORMULATEXT('[FinanceOS_v1.0-QA-RC1.xlsx]Analysis Engine'!B81),"(value/no formula)")</f>
      </c>
      <c r="D81">
        <f>'Difference Engine'!B81</f>
      </c>
      <c r="E81">
        <f>'Difference Engine'!C81</f>
      </c>
      <c r="F81">
        <f>IF(OR(D81="",E81=""),"WAIT",IF(AND(ISNUMBER(D81),ISNUMBER(E81)),IF(ABS(E81-D81)&gt;0.005,"YES","NO"),IF(D81=E81,"NO","YES")))</f>
      </c>
      <c r="G81">
        <f>IF(AND(ISNUMBER('Difference Engine'!E81),ABS('Difference Engine'!E81)&gt;0.005),"YES","NO")</f>
      </c>
      <c r="H81">
        <f>IF(OR(F81="WAIT",D81=""),"WAIT",IF(F81=G81,"PASS","FAIL"))</f>
      </c>
    </row>
    <row r="82" spans="1:8" x14ac:dyDescent="0.25">
      <c r="A82" t="s">
        <v>389</v>
      </c>
      <c r="B82" t="s">
        <v>320</v>
      </c>
      <c r="C82">
        <f>IFERROR(FORMULATEXT('[FinanceOS_v1.0-QA-RC1.xlsx]Analysis Engine'!B107),"(value/no formula)")</f>
      </c>
      <c r="D82">
        <f>'Difference Engine'!B82</f>
      </c>
      <c r="E82">
        <f>'Difference Engine'!C82</f>
      </c>
      <c r="F82">
        <f>IF(OR(D82="",E82=""),"WAIT",IF(AND(ISNUMBER(D82),ISNUMBER(E82)),IF(ABS(E82-D82)&gt;0.005,"YES","NO"),IF(D82=E82,"NO","YES")))</f>
      </c>
      <c r="G82">
        <f>IF(AND(ISNUMBER('Difference Engine'!E82),ABS('Difference Engine'!E82)&gt;0.005),"YES","NO")</f>
      </c>
      <c r="H82">
        <f>IF(OR(F82="WAIT",D82=""),"WAIT",IF(F82=G82,"PASS","FAIL"))</f>
      </c>
    </row>
    <row r="83" spans="1:8" x14ac:dyDescent="0.25">
      <c r="A83" t="s">
        <v>391</v>
      </c>
      <c r="B83" t="s">
        <v>320</v>
      </c>
      <c r="C83">
        <f>IFERROR(FORMULATEXT('[FinanceOS_v1.0-QA-RC1.xlsx]Analysis Engine'!B108),"(value/no formula)")</f>
      </c>
      <c r="D83">
        <f>'Difference Engine'!B83</f>
      </c>
      <c r="E83">
        <f>'Difference Engine'!C83</f>
      </c>
      <c r="F83">
        <f>IF(OR(D83="",E83=""),"WAIT",IF(AND(ISNUMBER(D83),ISNUMBER(E83)),IF(ABS(E83-D83)&gt;0.005,"YES","NO"),IF(D83=E83,"NO","YES")))</f>
      </c>
      <c r="G83">
        <f>IF(AND(ISNUMBER('Difference Engine'!E83),ABS('Difference Engine'!E83)&gt;0.005),"YES","NO")</f>
      </c>
      <c r="H83">
        <f>IF(OR(F83="WAIT",D83=""),"WAIT",IF(F83=G83,"PASS","FAIL"))</f>
      </c>
    </row>
    <row r="84" spans="1:8" x14ac:dyDescent="0.25">
      <c r="A84" t="s">
        <v>393</v>
      </c>
      <c r="B84" t="s">
        <v>320</v>
      </c>
      <c r="C84">
        <f>IFERROR(FORMULATEXT('[FinanceOS_v1.0-QA-RC1.xlsx]Analysis Engine'!B109),"(value/no formula)")</f>
      </c>
      <c r="D84">
        <f>'Difference Engine'!B84</f>
      </c>
      <c r="E84">
        <f>'Difference Engine'!C84</f>
      </c>
      <c r="F84">
        <f>IF(OR(D84="",E84=""),"WAIT",IF(AND(ISNUMBER(D84),ISNUMBER(E84)),IF(ABS(E84-D84)&gt;0.005,"YES","NO"),IF(D84=E84,"NO","YES")))</f>
      </c>
      <c r="G84">
        <f>IF(AND(ISNUMBER('Difference Engine'!E84),ABS('Difference Engine'!E84)&gt;0.005),"YES","NO")</f>
      </c>
      <c r="H84">
        <f>IF(OR(F84="WAIT",D84=""),"WAIT",IF(F84=G84,"PASS","FAIL"))</f>
      </c>
    </row>
    <row r="85" spans="1:8" x14ac:dyDescent="0.25">
      <c r="A85" t="s">
        <v>229</v>
      </c>
      <c r="B85" t="s">
        <v>320</v>
      </c>
      <c r="C85">
        <f>IFERROR(FORMULATEXT('[FinanceOS_v1.0-QA-RC1.xlsx]Analysis Engine'!B30),"(value/no formula)")</f>
      </c>
      <c r="D85">
        <f>'Difference Engine'!B85</f>
      </c>
      <c r="E85">
        <f>'Difference Engine'!C85</f>
      </c>
      <c r="F85">
        <f>IF(OR(D85="",E85=""),"WAIT",IF(AND(ISNUMBER(D85),ISNUMBER(E85)),IF(ABS(E85-D85)&gt;0.005,"YES","NO"),IF(D85=E85,"NO","YES")))</f>
      </c>
      <c r="G85">
        <f>IF(AND(ISNUMBER('Difference Engine'!E85),ABS('Difference Engine'!E85)&gt;0.005),"YES","NO")</f>
      </c>
      <c r="H85">
        <f>IF(OR(F85="WAIT",D85=""),"WAIT",IF(F85=G85,"PASS","FAIL"))</f>
      </c>
    </row>
    <row r="86" spans="1:8" x14ac:dyDescent="0.25">
      <c r="A86" t="s">
        <v>245</v>
      </c>
      <c r="B86" t="s">
        <v>320</v>
      </c>
      <c r="C86">
        <f>IFERROR(FORMULATEXT('[FinanceOS_v1.0-QA-RC1.xlsx]Analysis Engine'!B37),"(value/no formula)")</f>
      </c>
      <c r="D86">
        <f>'Difference Engine'!B86</f>
      </c>
      <c r="E86">
        <f>'Difference Engine'!C86</f>
      </c>
      <c r="F86">
        <f>IF(OR(D86="",E86=""),"WAIT",IF(AND(ISNUMBER(D86),ISNUMBER(E86)),IF(ABS(E86-D86)&gt;0.005,"YES","NO"),IF(D86=E86,"NO","YES")))</f>
      </c>
      <c r="G86">
        <f>IF(AND(ISNUMBER('Difference Engine'!E86),ABS('Difference Engine'!E86)&gt;0.005),"YES","NO")</f>
      </c>
      <c r="H86">
        <f>IF(OR(F86="WAIT",D86=""),"WAIT",IF(F86=G86,"PASS","FAIL"))</f>
      </c>
    </row>
    <row r="87" spans="1:8" x14ac:dyDescent="0.25">
      <c r="A87" t="s">
        <v>248</v>
      </c>
      <c r="B87" t="s">
        <v>320</v>
      </c>
      <c r="C87">
        <f>IFERROR(FORMULATEXT('[FinanceOS_v1.0-QA-RC1.xlsx]Analysis Engine'!B38),"(value/no formula)")</f>
      </c>
      <c r="D87">
        <f>'Difference Engine'!B87</f>
      </c>
      <c r="E87">
        <f>'Difference Engine'!C87</f>
      </c>
      <c r="F87">
        <f>IF(OR(D87="",E87=""),"WAIT",IF(AND(ISNUMBER(D87),ISNUMBER(E87)),IF(ABS(E87-D87)&gt;0.005,"YES","NO"),IF(D87=E87,"NO","YES")))</f>
      </c>
      <c r="G87">
        <f>IF(AND(ISNUMBER('Difference Engine'!E87),ABS('Difference Engine'!E87)&gt;0.005),"YES","NO")</f>
      </c>
      <c r="H87">
        <f>IF(OR(F87="WAIT",D87=""),"WAIT",IF(F87=G87,"PASS","FAIL"))</f>
      </c>
    </row>
    <row r="88" spans="1:8" x14ac:dyDescent="0.25">
      <c r="A88" t="s">
        <v>402</v>
      </c>
      <c r="B88" t="s">
        <v>320</v>
      </c>
      <c r="C88">
        <f>IFERROR(FORMULATEXT('[FinanceOS_v1.0-QA-RC1.xlsx]Analysis Engine'!C37),"(value/no formula)")</f>
      </c>
      <c r="D88">
        <f>'Difference Engine'!B88</f>
      </c>
      <c r="E88">
        <f>'Difference Engine'!C88</f>
      </c>
      <c r="F88">
        <f>IF(OR(D88="",E88=""),"WAIT",IF(AND(ISNUMBER(D88),ISNUMBER(E88)),IF(ABS(E88-D88)&gt;0.005,"YES","NO"),IF(D88=E88,"NO","YES")))</f>
      </c>
      <c r="G88">
        <f>IF(AND(ISNUMBER('Difference Engine'!E88),ABS('Difference Engine'!E88)&gt;0.005),"YES","NO")</f>
      </c>
      <c r="H88">
        <f>IF(OR(F88="WAIT",D88=""),"WAIT",IF(F88=G88,"PASS","FAIL"))</f>
      </c>
    </row>
    <row r="89" spans="1:8" x14ac:dyDescent="0.25">
      <c r="A89" t="s">
        <v>405</v>
      </c>
      <c r="B89" t="s">
        <v>320</v>
      </c>
      <c r="C89">
        <f>IFERROR(FORMULATEXT('[FinanceOS_v1.0-QA-RC1.xlsx]Analysis Engine'!C38),"(value/no formula)")</f>
      </c>
      <c r="D89">
        <f>'Difference Engine'!B89</f>
      </c>
      <c r="E89">
        <f>'Difference Engine'!C89</f>
      </c>
      <c r="F89">
        <f>IF(OR(D89="",E89=""),"WAIT",IF(AND(ISNUMBER(D89),ISNUMBER(E89)),IF(ABS(E89-D89)&gt;0.005,"YES","NO"),IF(D89=E89,"NO","YES")))</f>
      </c>
      <c r="G89">
        <f>IF(AND(ISNUMBER('Difference Engine'!E89),ABS('Difference Engine'!E89)&gt;0.005),"YES","NO")</f>
      </c>
      <c r="H89">
        <f>IF(OR(F89="WAIT",D89=""),"WAIT",IF(F89=G89,"PASS","FAIL"))</f>
      </c>
    </row>
    <row r="90" spans="1:8" x14ac:dyDescent="0.25">
      <c r="A90" t="s">
        <v>408</v>
      </c>
      <c r="B90" t="s">
        <v>320</v>
      </c>
      <c r="C90">
        <f>IFERROR(FORMULATEXT('[FinanceOS_v1.0-QA-RC1.xlsx]Analysis Engine'!D38),"(value/no formula)")</f>
      </c>
      <c r="D90">
        <f>'Difference Engine'!B90</f>
      </c>
      <c r="E90">
        <f>'Difference Engine'!C90</f>
      </c>
      <c r="F90">
        <f>IF(OR(D90="",E90=""),"WAIT",IF(AND(ISNUMBER(D90),ISNUMBER(E90)),IF(ABS(E90-D90)&gt;0.005,"YES","NO"),IF(D90=E90,"NO","YES")))</f>
      </c>
      <c r="G90">
        <f>IF(AND(ISNUMBER('Difference Engine'!E90),ABS('Difference Engine'!E90)&gt;0.005),"YES","NO")</f>
      </c>
      <c r="H90">
        <f>IF(OR(F90="WAIT",D90=""),"WAIT",IF(F90=G90,"PASS","FAIL"))</f>
      </c>
    </row>
    <row r="91" spans="1:8" x14ac:dyDescent="0.25">
      <c r="A91" t="s">
        <v>200</v>
      </c>
      <c r="B91" t="s">
        <v>320</v>
      </c>
      <c r="C91">
        <f>IFERROR(FORMULATEXT('[FinanceOS_v1.0-QA-RC1.xlsx]Analysis Engine'!B17),"(value/no formula)")</f>
      </c>
      <c r="D91">
        <f>'Difference Engine'!B91</f>
      </c>
      <c r="E91">
        <f>'Difference Engine'!C91</f>
      </c>
      <c r="F91">
        <f>IF(OR(D91="",E91=""),"WAIT",IF(AND(ISNUMBER(D91),ISNUMBER(E91)),IF(ABS(E91-D91)&gt;0.005,"YES","NO"),IF(D91=E91,"NO","YES")))</f>
      </c>
      <c r="G91">
        <f>IF(AND(ISNUMBER('Difference Engine'!E91),ABS('Difference Engine'!E91)&gt;0.005),"YES","NO")</f>
      </c>
      <c r="H91">
        <f>IF(OR(F91="WAIT",D91=""),"WAIT",IF(F91=G91,"PASS","FAIL"))</f>
      </c>
    </row>
    <row r="92" spans="1:8" x14ac:dyDescent="0.25">
      <c r="A92" t="s">
        <v>203</v>
      </c>
      <c r="B92" t="s">
        <v>320</v>
      </c>
      <c r="C92">
        <f>IFERROR(FORMULATEXT('[FinanceOS_v1.0-QA-RC1.xlsx]Analysis Engine'!B18),"(value/no formula)")</f>
      </c>
      <c r="D92">
        <f>'Difference Engine'!B92</f>
      </c>
      <c r="E92">
        <f>'Difference Engine'!C92</f>
      </c>
      <c r="F92">
        <f>IF(OR(D92="",E92=""),"WAIT",IF(AND(ISNUMBER(D92),ISNUMBER(E92)),IF(ABS(E92-D92)&gt;0.005,"YES","NO"),IF(D92=E92,"NO","YES")))</f>
      </c>
      <c r="G92">
        <f>IF(AND(ISNUMBER('Difference Engine'!E92),ABS('Difference Engine'!E92)&gt;0.005),"YES","NO")</f>
      </c>
      <c r="H92">
        <f>IF(OR(F92="WAIT",D92=""),"WAIT",IF(F92=G92,"PASS","FAIL"))</f>
      </c>
    </row>
    <row r="93" spans="1:8" x14ac:dyDescent="0.25">
      <c r="A93" t="s">
        <v>206</v>
      </c>
      <c r="B93" t="s">
        <v>320</v>
      </c>
      <c r="C93">
        <f>IFERROR(FORMULATEXT('[FinanceOS_v1.0-QA-RC1.xlsx]Analysis Engine'!B19),"(value/no formula)")</f>
      </c>
      <c r="D93">
        <f>'Difference Engine'!B93</f>
      </c>
      <c r="E93">
        <f>'Difference Engine'!C93</f>
      </c>
      <c r="F93">
        <f>IF(OR(D93="",E93=""),"WAIT",IF(AND(ISNUMBER(D93),ISNUMBER(E93)),IF(ABS(E93-D93)&gt;0.005,"YES","NO"),IF(D93=E93,"NO","YES")))</f>
      </c>
      <c r="G93">
        <f>IF(AND(ISNUMBER('Difference Engine'!E93),ABS('Difference Engine'!E93)&gt;0.005),"YES","NO")</f>
      </c>
      <c r="H93">
        <f>IF(OR(F93="WAIT",D93=""),"WAIT",IF(F93=G93,"PASS","FAIL"))</f>
      </c>
    </row>
    <row r="94" spans="1:8" x14ac:dyDescent="0.25">
      <c r="A94" t="s">
        <v>417</v>
      </c>
      <c r="B94" t="s">
        <v>320</v>
      </c>
      <c r="C94">
        <f>IFERROR(FORMULATEXT('[FinanceOS_v1.0-QA-RC1.xlsx]Analysis Engine'!D7),"(value/no formula)")</f>
      </c>
      <c r="D94">
        <f>'Difference Engine'!B94</f>
      </c>
      <c r="E94">
        <f>'Difference Engine'!C94</f>
      </c>
      <c r="F94">
        <f>IF(OR(D94="",E94=""),"WAIT",IF(AND(ISNUMBER(D94),ISNUMBER(E94)),IF(ABS(E94-D94)&gt;0.005,"YES","NO"),IF(D94=E94,"NO","YES")))</f>
      </c>
      <c r="G94">
        <f>IF(AND(ISNUMBER('Difference Engine'!E94),ABS('Difference Engine'!E94)&gt;0.005),"YES","NO")</f>
      </c>
      <c r="H94">
        <f>IF(OR(F94="WAIT",D94=""),"WAIT",IF(F94=G94,"PASS","FAIL"))</f>
      </c>
    </row>
    <row r="95" spans="1:8" x14ac:dyDescent="0.25">
      <c r="A95" t="s">
        <v>420</v>
      </c>
      <c r="B95" t="s">
        <v>320</v>
      </c>
      <c r="C95">
        <f>IFERROR(FORMULATEXT('[FinanceOS_v1.0-QA-RC1.xlsx]Analysis Engine'!D9),"(value/no formula)")</f>
      </c>
      <c r="D95">
        <f>'Difference Engine'!B95</f>
      </c>
      <c r="E95">
        <f>'Difference Engine'!C95</f>
      </c>
      <c r="F95">
        <f>IF(OR(D95="",E95=""),"WAIT",IF(AND(ISNUMBER(D95),ISNUMBER(E95)),IF(ABS(E95-D95)&gt;0.005,"YES","NO"),IF(D95=E95,"NO","YES")))</f>
      </c>
      <c r="G95">
        <f>IF(AND(ISNUMBER('Difference Engine'!E95),ABS('Difference Engine'!E95)&gt;0.005),"YES","NO")</f>
      </c>
      <c r="H95">
        <f>IF(OR(F95="WAIT",D95=""),"WAIT",IF(F95=G95,"PASS","FAIL"))</f>
      </c>
    </row>
    <row r="96" spans="1:8" x14ac:dyDescent="0.25">
      <c r="A96" t="s">
        <v>273</v>
      </c>
      <c r="B96" t="s">
        <v>320</v>
      </c>
      <c r="C96">
        <f>IFERROR(FORMULATEXT('[FinanceOS_v1.0-QA-RC1.xlsx]Analysis Engine'!B50),"(value/no formula)")</f>
      </c>
      <c r="D96">
        <f>'Difference Engine'!B96</f>
      </c>
      <c r="E96">
        <f>'Difference Engine'!C96</f>
      </c>
      <c r="F96">
        <f>IF(OR(D96="",E96=""),"WAIT",IF(AND(ISNUMBER(D96),ISNUMBER(E96)),IF(ABS(E96-D96)&gt;0.005,"YES","NO"),IF(D96=E96,"NO","YES")))</f>
      </c>
      <c r="G96">
        <f>IF(AND(ISNUMBER('Difference Engine'!E96),ABS('Difference Engine'!E96)&gt;0.005),"YES","NO")</f>
      </c>
      <c r="H96">
        <f>IF(OR(F96="WAIT",D96=""),"WAIT",IF(F96=G96,"PASS","FAIL"))</f>
      </c>
    </row>
  </sheetData>
  <conditionalFormatting sqref="F2:H96">
    <cfRule type="containsText" dxfId="15" priority="1">
      <formula>NOT(ISERROR(SEARCH("PASS",F2)))</formula>
    </cfRule>
    <cfRule type="containsText" dxfId="16" priority="2">
      <formula>NOT(ISERROR(SEARCH("FAIL",F2)))</formula>
    </cfRule>
    <cfRule type="containsText" dxfId="17" priority="3">
      <formula>NOT(ISERROR(SEARCH("WAIT",F2)))</formula>
    </cfRule>
    <cfRule type="containsText" dxfId="18" priority="4">
      <formula>NOT(ISERROR(SEARCH("DO NOT PROMOTE",F2)))</formula>
    </cfRule>
    <cfRule type="containsText" dxfId="19" priority="5">
      <formula>NOT(ISERROR(SEARCH("READY FOR PROMOTION",F2)))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22" customWidth="1"/>
    <col min="3" max="3" width="10" customWidth="1"/>
    <col min="4" max="4" width="70" customWidth="1"/>
    <col min="5" max="5" width="16" customWidth="1"/>
  </cols>
  <sheetData>
    <row r="1" spans="1:5" x14ac:dyDescent="0.25">
      <c r="A1" s="8" t="s">
        <v>428</v>
      </c>
      <c r="B1" s="8" t="s">
        <v>429</v>
      </c>
      <c r="C1" s="8" t="s">
        <v>430</v>
      </c>
      <c r="D1" s="8" t="s">
        <v>431</v>
      </c>
      <c r="E1" s="8" t="s">
        <v>432</v>
      </c>
    </row>
    <row r="2" spans="1:5" x14ac:dyDescent="0.25">
      <c r="A2" t="s">
        <v>164</v>
      </c>
      <c r="B2" t="s">
        <v>433</v>
      </c>
      <c r="C2">
        <v>6</v>
      </c>
      <c r="D2" t="s">
        <v>434</v>
      </c>
      <c r="E2" t="s">
        <v>435</v>
      </c>
    </row>
    <row r="3" spans="1:5" x14ac:dyDescent="0.25">
      <c r="A3" t="s">
        <v>436</v>
      </c>
      <c r="B3" t="s">
        <v>437</v>
      </c>
      <c r="C3">
        <v>0</v>
      </c>
      <c r="D3" t="s">
        <v>438</v>
      </c>
      <c r="E3" t="s">
        <v>439</v>
      </c>
    </row>
    <row r="4" spans="1:5" x14ac:dyDescent="0.25">
      <c r="A4" t="s">
        <v>184</v>
      </c>
      <c r="B4" t="s">
        <v>440</v>
      </c>
      <c r="C4">
        <v>8</v>
      </c>
      <c r="D4" t="s">
        <v>441</v>
      </c>
      <c r="E4" t="s">
        <v>442</v>
      </c>
    </row>
    <row r="5" spans="1:5" x14ac:dyDescent="0.25">
      <c r="A5" t="s">
        <v>209</v>
      </c>
      <c r="B5" t="s">
        <v>443</v>
      </c>
      <c r="C5">
        <v>4</v>
      </c>
      <c r="D5" t="s">
        <v>444</v>
      </c>
      <c r="E5" t="s">
        <v>442</v>
      </c>
    </row>
    <row r="6" spans="1:5" x14ac:dyDescent="0.25">
      <c r="A6" t="s">
        <v>222</v>
      </c>
      <c r="B6" t="s">
        <v>445</v>
      </c>
      <c r="C6">
        <v>4</v>
      </c>
      <c r="D6" t="s">
        <v>446</v>
      </c>
      <c r="E6" t="s">
        <v>442</v>
      </c>
    </row>
    <row r="7" spans="1:5" x14ac:dyDescent="0.25">
      <c r="A7" t="s">
        <v>235</v>
      </c>
      <c r="B7" t="s">
        <v>447</v>
      </c>
      <c r="C7">
        <v>5</v>
      </c>
      <c r="D7" t="s">
        <v>448</v>
      </c>
      <c r="E7" t="s">
        <v>435</v>
      </c>
    </row>
    <row r="8" spans="1:5" x14ac:dyDescent="0.25">
      <c r="A8" t="s">
        <v>251</v>
      </c>
      <c r="B8" t="s">
        <v>449</v>
      </c>
      <c r="C8">
        <v>5</v>
      </c>
      <c r="D8" t="s">
        <v>12</v>
      </c>
      <c r="E8" t="s">
        <v>435</v>
      </c>
    </row>
    <row r="9" spans="1:5" x14ac:dyDescent="0.25">
      <c r="A9" t="s">
        <v>266</v>
      </c>
      <c r="B9" t="s">
        <v>450</v>
      </c>
      <c r="C9">
        <v>3</v>
      </c>
      <c r="D9" t="s">
        <v>446</v>
      </c>
      <c r="E9" t="s">
        <v>442</v>
      </c>
    </row>
    <row r="10" spans="1:5" x14ac:dyDescent="0.25">
      <c r="A10" t="s">
        <v>276</v>
      </c>
      <c r="B10" t="s">
        <v>451</v>
      </c>
      <c r="C10">
        <v>6</v>
      </c>
      <c r="D10" t="s">
        <v>452</v>
      </c>
      <c r="E10" t="s">
        <v>435</v>
      </c>
    </row>
    <row r="11" spans="1:5" x14ac:dyDescent="0.25">
      <c r="A11" t="s">
        <v>294</v>
      </c>
      <c r="B11" t="s">
        <v>453</v>
      </c>
      <c r="C11">
        <v>8</v>
      </c>
      <c r="D11" t="s">
        <v>446</v>
      </c>
      <c r="E11" t="s">
        <v>442</v>
      </c>
    </row>
    <row r="12" spans="1:5" x14ac:dyDescent="0.25">
      <c r="A12" t="s">
        <v>316</v>
      </c>
      <c r="B12" t="s">
        <v>318</v>
      </c>
      <c r="C12">
        <v>1</v>
      </c>
      <c r="D12" t="s">
        <v>12</v>
      </c>
      <c r="E12" t="s">
        <v>442</v>
      </c>
    </row>
    <row r="13" spans="1:5" x14ac:dyDescent="0.25">
      <c r="A13" t="s">
        <v>320</v>
      </c>
      <c r="B13" t="s">
        <v>454</v>
      </c>
      <c r="C13">
        <v>45</v>
      </c>
      <c r="D13" t="s">
        <v>455</v>
      </c>
      <c r="E13" t="s">
        <v>442</v>
      </c>
    </row>
  </sheetData>
  <conditionalFormatting sqref="E2:E13">
    <cfRule type="containsText" dxfId="20" priority="1">
      <formula>NOT(ISERROR(SEARCH("STRESSED",E2)))</formula>
    </cfRule>
    <cfRule type="containsText" dxfId="21" priority="2">
      <formula>NOT(ISERROR(SEARCH("BASELINE ONLY",E2)))</formula>
    </cfRule>
    <cfRule type="containsText" dxfId="22" priority="3">
      <formula>NOT(ISERROR(SEARCH("N/A",E2)))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48" customWidth="1"/>
    <col min="3" max="3" width="14" customWidth="1"/>
  </cols>
  <sheetData>
    <row r="1" spans="1:3" x14ac:dyDescent="0.25">
      <c r="A1" s="13" t="s">
        <v>456</v>
      </c>
      <c r="B1" s="13"/>
      <c r="C1" s="13"/>
    </row>
    <row r="3" spans="1:3" x14ac:dyDescent="0.25">
      <c r="A3" s="8" t="s">
        <v>457</v>
      </c>
      <c r="B3" s="8" t="s">
        <v>458</v>
      </c>
      <c r="C3" s="8" t="s">
        <v>36</v>
      </c>
    </row>
    <row r="4" spans="1:3" x14ac:dyDescent="0.25">
      <c r="A4" t="s">
        <v>459</v>
      </c>
      <c r="B4" t="s">
        <v>460</v>
      </c>
      <c r="C4" s="4" t="s">
        <v>461</v>
      </c>
    </row>
    <row r="5" spans="1:3" x14ac:dyDescent="0.25">
      <c r="A5" t="s">
        <v>462</v>
      </c>
      <c r="B5" t="s">
        <v>463</v>
      </c>
      <c r="C5" s="4" t="s">
        <v>461</v>
      </c>
    </row>
    <row r="6" spans="1:3" x14ac:dyDescent="0.25">
      <c r="A6" t="s">
        <v>464</v>
      </c>
      <c r="B6" t="s">
        <v>465</v>
      </c>
      <c r="C6" s="4" t="s">
        <v>461</v>
      </c>
    </row>
    <row r="7" spans="1:3" x14ac:dyDescent="0.25">
      <c r="A7" t="s">
        <v>462</v>
      </c>
      <c r="B7" t="s">
        <v>466</v>
      </c>
      <c r="C7" s="4" t="s">
        <v>461</v>
      </c>
    </row>
    <row r="8" spans="1:3" x14ac:dyDescent="0.25">
      <c r="A8" t="s">
        <v>462</v>
      </c>
      <c r="B8" t="s">
        <v>467</v>
      </c>
      <c r="C8" s="4" t="s">
        <v>461</v>
      </c>
    </row>
    <row r="9" spans="1:3" x14ac:dyDescent="0.25">
      <c r="A9" t="s">
        <v>462</v>
      </c>
      <c r="B9" t="s">
        <v>468</v>
      </c>
      <c r="C9" s="4" t="s">
        <v>461</v>
      </c>
    </row>
    <row r="10" spans="1:3" x14ac:dyDescent="0.25">
      <c r="A10" t="s">
        <v>462</v>
      </c>
      <c r="B10" t="s">
        <v>469</v>
      </c>
      <c r="C10" s="4" t="s">
        <v>461</v>
      </c>
    </row>
    <row r="11" spans="1:3" x14ac:dyDescent="0.25">
      <c r="A11" t="s">
        <v>462</v>
      </c>
      <c r="B11" t="s">
        <v>470</v>
      </c>
      <c r="C11" s="4" t="s">
        <v>461</v>
      </c>
    </row>
    <row r="13" spans="1:2" x14ac:dyDescent="0.25">
      <c r="A13" t="s">
        <v>471</v>
      </c>
      <c r="B13">
        <f>IF(COUNTIF(C4:C11,"FAIL")&gt;0,"FAIL",IF(COUNTIF(C4:C11,"PASS")=8,"PASS","WAIT"))</f>
      </c>
    </row>
  </sheetData>
  <mergeCells count="1">
    <mergeCell ref="A1:C1"/>
  </mergeCells>
  <conditionalFormatting sqref="C4:C11">
    <cfRule type="containsText" dxfId="23" priority="1">
      <formula>NOT(ISERROR(SEARCH("PASS",C4)))</formula>
    </cfRule>
    <cfRule type="containsText" dxfId="24" priority="2">
      <formula>NOT(ISERROR(SEARCH("FAIL",C4)))</formula>
    </cfRule>
    <cfRule type="containsText" dxfId="25" priority="3">
      <formula>NOT(ISERROR(SEARCH("WAIT",C4)))</formula>
    </cfRule>
    <cfRule type="containsText" dxfId="26" priority="4">
      <formula>NOT(ISERROR(SEARCH("DO NOT PROMOTE",C4)))</formula>
    </cfRule>
    <cfRule type="containsText" dxfId="27" priority="5">
      <formula>NOT(ISERROR(SEARCH("READY FOR PROMOTION",C4)))</formula>
    </cfRule>
  </conditionalFormatting>
  <conditionalFormatting sqref="B13">
    <cfRule type="containsText" dxfId="28" priority="6">
      <formula>NOT(ISERROR(SEARCH("PASS",B13)))</formula>
    </cfRule>
    <cfRule type="containsText" dxfId="29" priority="7">
      <formula>NOT(ISERROR(SEARCH("FAIL",B13)))</formula>
    </cfRule>
    <cfRule type="containsText" dxfId="30" priority="8">
      <formula>NOT(ISERROR(SEARCH("WAIT",B13)))</formula>
    </cfRule>
    <cfRule type="containsText" dxfId="31" priority="9">
      <formula>NOT(ISERROR(SEARCH("DO NOT PROMOTE",B13)))</formula>
    </cfRule>
    <cfRule type="containsText" dxfId="32" priority="10">
      <formula>NOT(ISERROR(SEARCH("READY FOR PROMOTION",B13)))</formula>
    </cfRule>
  </conditionalFormatting>
  <dataValidations count="2">
    <dataValidation type="list" sqref="C10:C11">
      <formula1>"WAIT,PASS,FAIL"</formula1>
    </dataValidation>
    <dataValidation type="list" sqref="C4:C11">
      <formula1>"WAIT,PASS,FAIL"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90" customWidth="1"/>
    <col min="3" max="3" width="18" customWidth="1"/>
    <col min="4" max="4" width="36" customWidth="1"/>
    <col min="6" max="6" width="16" customWidth="1"/>
    <col min="7" max="7" width="12" customWidth="1"/>
  </cols>
  <sheetData>
    <row r="1" spans="1:4" x14ac:dyDescent="0.25">
      <c r="A1" s="13" t="s">
        <v>472</v>
      </c>
      <c r="B1" s="13"/>
      <c r="C1" s="13"/>
      <c r="D1" s="13"/>
    </row>
    <row r="3" spans="1:7" x14ac:dyDescent="0.25">
      <c r="A3" s="8" t="s">
        <v>160</v>
      </c>
      <c r="B3" s="8" t="s">
        <v>473</v>
      </c>
      <c r="C3" s="8" t="s">
        <v>474</v>
      </c>
      <c r="D3" s="8" t="s">
        <v>475</v>
      </c>
      <c r="E3" s="8"/>
      <c r="F3" s="8" t="s">
        <v>476</v>
      </c>
      <c r="G3" s="8" t="s">
        <v>477</v>
      </c>
    </row>
    <row r="4" spans="1:7" x14ac:dyDescent="0.25">
      <c r="A4" t="s">
        <v>165</v>
      </c>
      <c r="B4">
        <f>IFERROR(FORMULATEXT('[FinanceOS_v1.0-QA-RC1.xlsx]Business Engine'!B4),"")</f>
      </c>
      <c r="C4">
        <f>IF(ISNUMBER(SEARCH("MAXIFS",B4)),"YES","NO")</f>
      </c>
      <c r="D4">
        <f>IF(ISNUMBER(SEARCH("AGGREGATE",B4)),"AGGREGATE ","")&amp;IF(ISNUMBER(SEARCH("LOOKUP",B4)),"LOOKUP ","")&amp;IF(ISNUMBER(SEARCH("FILTER",B4)),"FILTER ","")</f>
      </c>
      <c r="F4" t="s">
        <v>478</v>
      </c>
      <c r="G4">
        <f>COUNTIF(B:B,"*IF(*")</f>
      </c>
    </row>
    <row r="5" spans="1:7" x14ac:dyDescent="0.25">
      <c r="A5" t="s">
        <v>169</v>
      </c>
      <c r="B5">
        <f>IFERROR(FORMULATEXT('[FinanceOS_v1.0-QA-RC1.xlsx]Business Engine'!B5),"")</f>
      </c>
      <c r="C5">
        <f>IF(ISNUMBER(SEARCH("MAXIFS",B5)),"YES","NO")</f>
      </c>
      <c r="D5">
        <f>IF(ISNUMBER(SEARCH("AGGREGATE",B5)),"AGGREGATE ","")&amp;IF(ISNUMBER(SEARCH("LOOKUP",B5)),"LOOKUP ","")&amp;IF(ISNUMBER(SEARCH("FILTER",B5)),"FILTER ","")</f>
      </c>
      <c r="F5" t="s">
        <v>479</v>
      </c>
      <c r="G5">
        <f>COUNTIF(B:B,"*IFERROR(*")</f>
      </c>
    </row>
    <row r="6" spans="1:7" x14ac:dyDescent="0.25">
      <c r="A6" t="s">
        <v>172</v>
      </c>
      <c r="B6">
        <f>IFERROR(FORMULATEXT('[FinanceOS_v1.0-QA-RC1.xlsx]Business Engine'!B6),"")</f>
      </c>
      <c r="C6">
        <f>IF(ISNUMBER(SEARCH("MAXIFS",B6)),"YES","NO")</f>
      </c>
      <c r="D6">
        <f>IF(ISNUMBER(SEARCH("AGGREGATE",B6)),"AGGREGATE ","")&amp;IF(ISNUMBER(SEARCH("LOOKUP",B6)),"LOOKUP ","")&amp;IF(ISNUMBER(SEARCH("FILTER",B6)),"FILTER ","")</f>
      </c>
      <c r="F6" t="s">
        <v>480</v>
      </c>
      <c r="G6">
        <f>COUNTIF(B:B,"*SUMIFS(*")</f>
      </c>
    </row>
    <row r="7" spans="1:7" x14ac:dyDescent="0.25">
      <c r="A7" t="s">
        <v>175</v>
      </c>
      <c r="B7">
        <f>IFERROR(FORMULATEXT('[FinanceOS_v1.0-QA-RC1.xlsx]Business Engine'!B7),"")</f>
      </c>
      <c r="C7">
        <f>IF(ISNUMBER(SEARCH("MAXIFS",B7)),"YES","NO")</f>
      </c>
      <c r="D7">
        <f>IF(ISNUMBER(SEARCH("AGGREGATE",B7)),"AGGREGATE ","")&amp;IF(ISNUMBER(SEARCH("LOOKUP",B7)),"LOOKUP ","")&amp;IF(ISNUMBER(SEARCH("FILTER",B7)),"FILTER ","")</f>
      </c>
      <c r="F7" t="s">
        <v>481</v>
      </c>
      <c r="G7">
        <f>COUNTIF(B:B,"*COUNTIFS(*")</f>
      </c>
    </row>
    <row r="8" spans="1:7" x14ac:dyDescent="0.25">
      <c r="A8" t="s">
        <v>178</v>
      </c>
      <c r="B8">
        <f>IFERROR(FORMULATEXT('[FinanceOS_v1.0-QA-RC1.xlsx]Business Engine'!B8),"")</f>
      </c>
      <c r="C8">
        <f>IF(ISNUMBER(SEARCH("MAXIFS",B8)),"YES","NO")</f>
      </c>
      <c r="D8">
        <f>IF(ISNUMBER(SEARCH("AGGREGATE",B8)),"AGGREGATE ","")&amp;IF(ISNUMBER(SEARCH("LOOKUP",B8)),"LOOKUP ","")&amp;IF(ISNUMBER(SEARCH("FILTER",B8)),"FILTER ","")</f>
      </c>
      <c r="F8" t="s">
        <v>482</v>
      </c>
      <c r="G8">
        <f>COUNTIF(B:B,"*INDEX(*")</f>
      </c>
    </row>
    <row r="9" spans="1:7" x14ac:dyDescent="0.25">
      <c r="A9" t="s">
        <v>181</v>
      </c>
      <c r="B9">
        <f>IFERROR(FORMULATEXT('[FinanceOS_v1.0-QA-RC1.xlsx]Business Engine'!B9),"")</f>
      </c>
      <c r="C9">
        <f>IF(ISNUMBER(SEARCH("MAXIFS",B9)),"YES","NO")</f>
      </c>
      <c r="D9">
        <f>IF(ISNUMBER(SEARCH("AGGREGATE",B9)),"AGGREGATE ","")&amp;IF(ISNUMBER(SEARCH("LOOKUP",B9)),"LOOKUP ","")&amp;IF(ISNUMBER(SEARCH("FILTER",B9)),"FILTER ","")</f>
      </c>
      <c r="F9" t="s">
        <v>483</v>
      </c>
      <c r="G9">
        <f>COUNTIF(B:B,"*MATCH(*")</f>
      </c>
    </row>
    <row r="10" spans="1:7" x14ac:dyDescent="0.25">
      <c r="A10" t="s">
        <v>185</v>
      </c>
      <c r="B10">
        <f>IFERROR(FORMULATEXT('[FinanceOS_v1.0-QA-RC1.xlsx]Business Engine'!B12),"")</f>
      </c>
      <c r="C10">
        <f>IF(ISNUMBER(SEARCH("MAXIFS",B10)),"YES","NO")</f>
      </c>
      <c r="D10">
        <f>IF(ISNUMBER(SEARCH("AGGREGATE",B10)),"AGGREGATE ","")&amp;IF(ISNUMBER(SEARCH("LOOKUP",B10)),"LOOKUP ","")&amp;IF(ISNUMBER(SEARCH("FILTER",B10)),"FILTER ","")</f>
      </c>
      <c r="F10" t="s">
        <v>484</v>
      </c>
      <c r="G10">
        <f>COUNTIF(B:B,"*MAX(*")</f>
      </c>
    </row>
    <row r="11" spans="1:7" x14ac:dyDescent="0.25">
      <c r="A11" t="s">
        <v>188</v>
      </c>
      <c r="B11">
        <f>IFERROR(FORMULATEXT('[FinanceOS_v1.0-QA-RC1.xlsx]Business Engine'!B13),"")</f>
      </c>
      <c r="C11">
        <f>IF(ISNUMBER(SEARCH("MAXIFS",B11)),"YES","NO")</f>
      </c>
      <c r="D11">
        <f>IF(ISNUMBER(SEARCH("AGGREGATE",B11)),"AGGREGATE ","")&amp;IF(ISNUMBER(SEARCH("LOOKUP",B11)),"LOOKUP ","")&amp;IF(ISNUMBER(SEARCH("FILTER",B11)),"FILTER ","")</f>
      </c>
      <c r="F11" t="s">
        <v>485</v>
      </c>
      <c r="G11">
        <f>COUNTIF(B:B,"*LOOKUP(*")</f>
      </c>
    </row>
    <row r="12" spans="1:7" x14ac:dyDescent="0.25">
      <c r="A12" t="s">
        <v>191</v>
      </c>
      <c r="B12">
        <f>IFERROR(FORMULATEXT('[FinanceOS_v1.0-QA-RC1.xlsx]Business Engine'!B14),"")</f>
      </c>
      <c r="C12">
        <f>IF(ISNUMBER(SEARCH("MAXIFS",B12)),"YES","NO")</f>
      </c>
      <c r="D12">
        <f>IF(ISNUMBER(SEARCH("AGGREGATE",B12)),"AGGREGATE ","")&amp;IF(ISNUMBER(SEARCH("LOOKUP",B12)),"LOOKUP ","")&amp;IF(ISNUMBER(SEARCH("FILTER",B12)),"FILTER ","")</f>
      </c>
      <c r="F12" t="s">
        <v>486</v>
      </c>
      <c r="G12">
        <f>COUNTIF(B:B,"*AGGREGATE(*")</f>
      </c>
    </row>
    <row r="13" spans="1:7" x14ac:dyDescent="0.25">
      <c r="A13" t="s">
        <v>194</v>
      </c>
      <c r="B13">
        <f>IFERROR(FORMULATEXT('[FinanceOS_v1.0-QA-RC1.xlsx]Business Engine'!B15),"")</f>
      </c>
      <c r="C13">
        <f>IF(ISNUMBER(SEARCH("MAXIFS",B13)),"YES","NO")</f>
      </c>
      <c r="D13">
        <f>IF(ISNUMBER(SEARCH("AGGREGATE",B13)),"AGGREGATE ","")&amp;IF(ISNUMBER(SEARCH("LOOKUP",B13)),"LOOKUP ","")&amp;IF(ISNUMBER(SEARCH("FILTER",B13)),"FILTER ","")</f>
      </c>
      <c r="F13" t="s">
        <v>487</v>
      </c>
      <c r="G13">
        <f>COUNTIF(B:B,"*MAXIFS(*")</f>
      </c>
    </row>
    <row r="14" spans="1:7" x14ac:dyDescent="0.25">
      <c r="A14" t="s">
        <v>197</v>
      </c>
      <c r="B14">
        <f>IFERROR(FORMULATEXT('[FinanceOS_v1.0-QA-RC1.xlsx]Business Engine'!B16),"")</f>
      </c>
      <c r="C14">
        <f>IF(ISNUMBER(SEARCH("MAXIFS",B14)),"YES","NO")</f>
      </c>
      <c r="D14">
        <f>IF(ISNUMBER(SEARCH("AGGREGATE",B14)),"AGGREGATE ","")&amp;IF(ISNUMBER(SEARCH("LOOKUP",B14)),"LOOKUP ","")&amp;IF(ISNUMBER(SEARCH("FILTER",B14)),"FILTER ","")</f>
      </c>
      <c r="F14" t="s">
        <v>488</v>
      </c>
      <c r="G14">
        <f>COUNTIF(B:B,"*SUMPRODUCT(*")</f>
      </c>
    </row>
    <row r="15" spans="1:4" x14ac:dyDescent="0.25">
      <c r="A15" t="s">
        <v>200</v>
      </c>
      <c r="B15">
        <f>IFERROR(FORMULATEXT('[FinanceOS_v1.0-QA-RC1.xlsx]Business Engine'!B17),"")</f>
      </c>
      <c r="C15">
        <f>IF(ISNUMBER(SEARCH("MAXIFS",B15)),"YES","NO")</f>
      </c>
      <c r="D15">
        <f>IF(ISNUMBER(SEARCH("AGGREGATE",B15)),"AGGREGATE ","")&amp;IF(ISNUMBER(SEARCH("LOOKUP",B15)),"LOOKUP ","")&amp;IF(ISNUMBER(SEARCH("FILTER",B15)),"FILTER ","")</f>
      </c>
    </row>
    <row r="16" spans="1:7" x14ac:dyDescent="0.25">
      <c r="A16" t="s">
        <v>203</v>
      </c>
      <c r="B16">
        <f>IFERROR(FORMULATEXT('[FinanceOS_v1.0-QA-RC1.xlsx]Business Engine'!B18),"")</f>
      </c>
      <c r="C16">
        <f>IF(ISNUMBER(SEARCH("MAXIFS",B16)),"YES","NO")</f>
      </c>
      <c r="D16">
        <f>IF(ISNUMBER(SEARCH("AGGREGATE",B16)),"AGGREGATE ","")&amp;IF(ISNUMBER(SEARCH("LOOKUP",B16)),"LOOKUP ","")&amp;IF(ISNUMBER(SEARCH("FILTER",B16)),"FILTER ","")</f>
      </c>
      <c r="F16" t="s">
        <v>489</v>
      </c>
      <c r="G16">
        <f>IF(COUNTIF(C4:C53,"YES")&gt;0,"MAXIFS PRESENT","OK — no MAXIFS")</f>
      </c>
    </row>
    <row r="17" spans="1:4" x14ac:dyDescent="0.25">
      <c r="A17" t="s">
        <v>206</v>
      </c>
      <c r="B17">
        <f>IFERROR(FORMULATEXT('[FinanceOS_v1.0-QA-RC1.xlsx]Business Engine'!B19),"")</f>
      </c>
      <c r="C17">
        <f>IF(ISNUMBER(SEARCH("MAXIFS",B17)),"YES","NO")</f>
      </c>
      <c r="D17">
        <f>IF(ISNUMBER(SEARCH("AGGREGATE",B17)),"AGGREGATE ","")&amp;IF(ISNUMBER(SEARCH("LOOKUP",B17)),"LOOKUP ","")&amp;IF(ISNUMBER(SEARCH("FILTER",B17)),"FILTER ","")</f>
      </c>
    </row>
    <row r="18" spans="1:4" x14ac:dyDescent="0.25">
      <c r="A18" t="s">
        <v>210</v>
      </c>
      <c r="B18">
        <f>IFERROR(FORMULATEXT('[FinanceOS_v1.0-QA-RC1.xlsx]Business Engine'!B22),"")</f>
      </c>
      <c r="C18">
        <f>IF(ISNUMBER(SEARCH("MAXIFS",B18)),"YES","NO")</f>
      </c>
      <c r="D18">
        <f>IF(ISNUMBER(SEARCH("AGGREGATE",B18)),"AGGREGATE ","")&amp;IF(ISNUMBER(SEARCH("LOOKUP",B18)),"LOOKUP ","")&amp;IF(ISNUMBER(SEARCH("FILTER",B18)),"FILTER ","")</f>
      </c>
    </row>
    <row r="19" spans="1:4" x14ac:dyDescent="0.25">
      <c r="A19" t="s">
        <v>213</v>
      </c>
      <c r="B19">
        <f>IFERROR(FORMULATEXT('[FinanceOS_v1.0-QA-RC1.xlsx]Business Engine'!B23),"")</f>
      </c>
      <c r="C19">
        <f>IF(ISNUMBER(SEARCH("MAXIFS",B19)),"YES","NO")</f>
      </c>
      <c r="D19">
        <f>IF(ISNUMBER(SEARCH("AGGREGATE",B19)),"AGGREGATE ","")&amp;IF(ISNUMBER(SEARCH("LOOKUP",B19)),"LOOKUP ","")&amp;IF(ISNUMBER(SEARCH("FILTER",B19)),"FILTER ","")</f>
      </c>
    </row>
    <row r="20" spans="1:4" x14ac:dyDescent="0.25">
      <c r="A20" t="s">
        <v>216</v>
      </c>
      <c r="B20">
        <f>IFERROR(FORMULATEXT('[FinanceOS_v1.0-QA-RC1.xlsx]Business Engine'!B24),"")</f>
      </c>
      <c r="C20">
        <f>IF(ISNUMBER(SEARCH("MAXIFS",B20)),"YES","NO")</f>
      </c>
      <c r="D20">
        <f>IF(ISNUMBER(SEARCH("AGGREGATE",B20)),"AGGREGATE ","")&amp;IF(ISNUMBER(SEARCH("LOOKUP",B20)),"LOOKUP ","")&amp;IF(ISNUMBER(SEARCH("FILTER",B20)),"FILTER ","")</f>
      </c>
    </row>
    <row r="21" spans="1:4" x14ac:dyDescent="0.25">
      <c r="A21" t="s">
        <v>219</v>
      </c>
      <c r="B21">
        <f>IFERROR(FORMULATEXT('[FinanceOS_v1.0-QA-RC1.xlsx]Business Engine'!B25),"")</f>
      </c>
      <c r="C21">
        <f>IF(ISNUMBER(SEARCH("MAXIFS",B21)),"YES","NO")</f>
      </c>
      <c r="D21">
        <f>IF(ISNUMBER(SEARCH("AGGREGATE",B21)),"AGGREGATE ","")&amp;IF(ISNUMBER(SEARCH("LOOKUP",B21)),"LOOKUP ","")&amp;IF(ISNUMBER(SEARCH("FILTER",B21)),"FILTER ","")</f>
      </c>
    </row>
    <row r="22" spans="1:4" x14ac:dyDescent="0.25">
      <c r="A22" t="s">
        <v>223</v>
      </c>
      <c r="B22">
        <f>IFERROR(FORMULATEXT('[FinanceOS_v1.0-QA-RC1.xlsx]Business Engine'!B28),"")</f>
      </c>
      <c r="C22">
        <f>IF(ISNUMBER(SEARCH("MAXIFS",B22)),"YES","NO")</f>
      </c>
      <c r="D22">
        <f>IF(ISNUMBER(SEARCH("AGGREGATE",B22)),"AGGREGATE ","")&amp;IF(ISNUMBER(SEARCH("LOOKUP",B22)),"LOOKUP ","")&amp;IF(ISNUMBER(SEARCH("FILTER",B22)),"FILTER ","")</f>
      </c>
    </row>
    <row r="23" spans="1:4" x14ac:dyDescent="0.25">
      <c r="A23" t="s">
        <v>226</v>
      </c>
      <c r="B23">
        <f>IFERROR(FORMULATEXT('[FinanceOS_v1.0-QA-RC1.xlsx]Business Engine'!B29),"")</f>
      </c>
      <c r="C23">
        <f>IF(ISNUMBER(SEARCH("MAXIFS",B23)),"YES","NO")</f>
      </c>
      <c r="D23">
        <f>IF(ISNUMBER(SEARCH("AGGREGATE",B23)),"AGGREGATE ","")&amp;IF(ISNUMBER(SEARCH("LOOKUP",B23)),"LOOKUP ","")&amp;IF(ISNUMBER(SEARCH("FILTER",B23)),"FILTER ","")</f>
      </c>
    </row>
    <row r="24" spans="1:4" x14ac:dyDescent="0.25">
      <c r="A24" t="s">
        <v>229</v>
      </c>
      <c r="B24">
        <f>IFERROR(FORMULATEXT('[FinanceOS_v1.0-QA-RC1.xlsx]Business Engine'!B30),"")</f>
      </c>
      <c r="C24">
        <f>IF(ISNUMBER(SEARCH("MAXIFS",B24)),"YES","NO")</f>
      </c>
      <c r="D24">
        <f>IF(ISNUMBER(SEARCH("AGGREGATE",B24)),"AGGREGATE ","")&amp;IF(ISNUMBER(SEARCH("LOOKUP",B24)),"LOOKUP ","")&amp;IF(ISNUMBER(SEARCH("FILTER",B24)),"FILTER ","")</f>
      </c>
    </row>
    <row r="25" spans="1:4" x14ac:dyDescent="0.25">
      <c r="A25" t="s">
        <v>232</v>
      </c>
      <c r="B25">
        <f>IFERROR(FORMULATEXT('[FinanceOS_v1.0-QA-RC1.xlsx]Business Engine'!B31),"")</f>
      </c>
      <c r="C25">
        <f>IF(ISNUMBER(SEARCH("MAXIFS",B25)),"YES","NO")</f>
      </c>
      <c r="D25">
        <f>IF(ISNUMBER(SEARCH("AGGREGATE",B25)),"AGGREGATE ","")&amp;IF(ISNUMBER(SEARCH("LOOKUP",B25)),"LOOKUP ","")&amp;IF(ISNUMBER(SEARCH("FILTER",B25)),"FILTER ","")</f>
      </c>
    </row>
    <row r="26" spans="1:4" x14ac:dyDescent="0.25">
      <c r="A26" t="s">
        <v>236</v>
      </c>
      <c r="B26">
        <f>IFERROR(FORMULATEXT('[FinanceOS_v1.0-QA-RC1.xlsx]Business Engine'!B34),"")</f>
      </c>
      <c r="C26">
        <f>IF(ISNUMBER(SEARCH("MAXIFS",B26)),"YES","NO")</f>
      </c>
      <c r="D26">
        <f>IF(ISNUMBER(SEARCH("AGGREGATE",B26)),"AGGREGATE ","")&amp;IF(ISNUMBER(SEARCH("LOOKUP",B26)),"LOOKUP ","")&amp;IF(ISNUMBER(SEARCH("FILTER",B26)),"FILTER ","")</f>
      </c>
    </row>
    <row r="27" spans="1:4" x14ac:dyDescent="0.25">
      <c r="A27" t="s">
        <v>239</v>
      </c>
      <c r="B27">
        <f>IFERROR(FORMULATEXT('[FinanceOS_v1.0-QA-RC1.xlsx]Business Engine'!B35),"")</f>
      </c>
      <c r="C27">
        <f>IF(ISNUMBER(SEARCH("MAXIFS",B27)),"YES","NO")</f>
      </c>
      <c r="D27">
        <f>IF(ISNUMBER(SEARCH("AGGREGATE",B27)),"AGGREGATE ","")&amp;IF(ISNUMBER(SEARCH("LOOKUP",B27)),"LOOKUP ","")&amp;IF(ISNUMBER(SEARCH("FILTER",B27)),"FILTER ","")</f>
      </c>
    </row>
    <row r="28" spans="1:4" x14ac:dyDescent="0.25">
      <c r="A28" t="s">
        <v>242</v>
      </c>
      <c r="B28">
        <f>IFERROR(FORMULATEXT('[FinanceOS_v1.0-QA-RC1.xlsx]Business Engine'!B36),"")</f>
      </c>
      <c r="C28">
        <f>IF(ISNUMBER(SEARCH("MAXIFS",B28)),"YES","NO")</f>
      </c>
      <c r="D28">
        <f>IF(ISNUMBER(SEARCH("AGGREGATE",B28)),"AGGREGATE ","")&amp;IF(ISNUMBER(SEARCH("LOOKUP",B28)),"LOOKUP ","")&amp;IF(ISNUMBER(SEARCH("FILTER",B28)),"FILTER ","")</f>
      </c>
    </row>
    <row r="29" spans="1:4" x14ac:dyDescent="0.25">
      <c r="A29" t="s">
        <v>245</v>
      </c>
      <c r="B29">
        <f>IFERROR(FORMULATEXT('[FinanceOS_v1.0-QA-RC1.xlsx]Business Engine'!B37),"")</f>
      </c>
      <c r="C29">
        <f>IF(ISNUMBER(SEARCH("MAXIFS",B29)),"YES","NO")</f>
      </c>
      <c r="D29">
        <f>IF(ISNUMBER(SEARCH("AGGREGATE",B29)),"AGGREGATE ","")&amp;IF(ISNUMBER(SEARCH("LOOKUP",B29)),"LOOKUP ","")&amp;IF(ISNUMBER(SEARCH("FILTER",B29)),"FILTER ","")</f>
      </c>
    </row>
    <row r="30" spans="1:4" x14ac:dyDescent="0.25">
      <c r="A30" t="s">
        <v>248</v>
      </c>
      <c r="B30">
        <f>IFERROR(FORMULATEXT('[FinanceOS_v1.0-QA-RC1.xlsx]Business Engine'!B38),"")</f>
      </c>
      <c r="C30">
        <f>IF(ISNUMBER(SEARCH("MAXIFS",B30)),"YES","NO")</f>
      </c>
      <c r="D30">
        <f>IF(ISNUMBER(SEARCH("AGGREGATE",B30)),"AGGREGATE ","")&amp;IF(ISNUMBER(SEARCH("LOOKUP",B30)),"LOOKUP ","")&amp;IF(ISNUMBER(SEARCH("FILTER",B30)),"FILTER ","")</f>
      </c>
    </row>
    <row r="31" spans="1:4" x14ac:dyDescent="0.25">
      <c r="A31" t="s">
        <v>252</v>
      </c>
      <c r="B31">
        <f>IFERROR(FORMULATEXT('[FinanceOS_v1.0-QA-RC1.xlsx]Business Engine'!B41),"")</f>
      </c>
      <c r="C31">
        <f>IF(ISNUMBER(SEARCH("MAXIFS",B31)),"YES","NO")</f>
      </c>
      <c r="D31">
        <f>IF(ISNUMBER(SEARCH("AGGREGATE",B31)),"AGGREGATE ","")&amp;IF(ISNUMBER(SEARCH("LOOKUP",B31)),"LOOKUP ","")&amp;IF(ISNUMBER(SEARCH("FILTER",B31)),"FILTER ","")</f>
      </c>
    </row>
    <row r="32" spans="1:4" x14ac:dyDescent="0.25">
      <c r="A32" t="s">
        <v>255</v>
      </c>
      <c r="B32">
        <f>IFERROR(FORMULATEXT('[FinanceOS_v1.0-QA-RC1.xlsx]Business Engine'!B42),"")</f>
      </c>
      <c r="C32">
        <f>IF(ISNUMBER(SEARCH("MAXIFS",B32)),"YES","NO")</f>
      </c>
      <c r="D32">
        <f>IF(ISNUMBER(SEARCH("AGGREGATE",B32)),"AGGREGATE ","")&amp;IF(ISNUMBER(SEARCH("LOOKUP",B32)),"LOOKUP ","")&amp;IF(ISNUMBER(SEARCH("FILTER",B32)),"FILTER ","")</f>
      </c>
    </row>
    <row r="33" spans="1:4" x14ac:dyDescent="0.25">
      <c r="A33" t="s">
        <v>258</v>
      </c>
      <c r="B33">
        <f>IFERROR(FORMULATEXT('[FinanceOS_v1.0-QA-RC1.xlsx]Business Engine'!B43),"")</f>
      </c>
      <c r="C33">
        <f>IF(ISNUMBER(SEARCH("MAXIFS",B33)),"YES","NO")</f>
      </c>
      <c r="D33">
        <f>IF(ISNUMBER(SEARCH("AGGREGATE",B33)),"AGGREGATE ","")&amp;IF(ISNUMBER(SEARCH("LOOKUP",B33)),"LOOKUP ","")&amp;IF(ISNUMBER(SEARCH("FILTER",B33)),"FILTER ","")</f>
      </c>
    </row>
    <row r="34" spans="1:4" x14ac:dyDescent="0.25">
      <c r="A34" t="s">
        <v>261</v>
      </c>
      <c r="B34">
        <f>IFERROR(FORMULATEXT('[FinanceOS_v1.0-QA-RC1.xlsx]Business Engine'!B44),"")</f>
      </c>
      <c r="C34">
        <f>IF(ISNUMBER(SEARCH("MAXIFS",B34)),"YES","NO")</f>
      </c>
      <c r="D34">
        <f>IF(ISNUMBER(SEARCH("AGGREGATE",B34)),"AGGREGATE ","")&amp;IF(ISNUMBER(SEARCH("LOOKUP",B34)),"LOOKUP ","")&amp;IF(ISNUMBER(SEARCH("FILTER",B34)),"FILTER ","")</f>
      </c>
    </row>
    <row r="35" spans="1:4" x14ac:dyDescent="0.25">
      <c r="A35" t="s">
        <v>264</v>
      </c>
      <c r="B35">
        <f>IFERROR(FORMULATEXT('[FinanceOS_v1.0-QA-RC1.xlsx]Business Engine'!B45),"")</f>
      </c>
      <c r="C35">
        <f>IF(ISNUMBER(SEARCH("MAXIFS",B35)),"YES","NO")</f>
      </c>
      <c r="D35">
        <f>IF(ISNUMBER(SEARCH("AGGREGATE",B35)),"AGGREGATE ","")&amp;IF(ISNUMBER(SEARCH("LOOKUP",B35)),"LOOKUP ","")&amp;IF(ISNUMBER(SEARCH("FILTER",B35)),"FILTER ","")</f>
      </c>
    </row>
    <row r="36" spans="1:4" x14ac:dyDescent="0.25">
      <c r="A36" t="s">
        <v>267</v>
      </c>
      <c r="B36">
        <f>IFERROR(FORMULATEXT('[FinanceOS_v1.0-QA-RC1.xlsx]Business Engine'!B48),"")</f>
      </c>
      <c r="C36">
        <f>IF(ISNUMBER(SEARCH("MAXIFS",B36)),"YES","NO")</f>
      </c>
      <c r="D36">
        <f>IF(ISNUMBER(SEARCH("AGGREGATE",B36)),"AGGREGATE ","")&amp;IF(ISNUMBER(SEARCH("LOOKUP",B36)),"LOOKUP ","")&amp;IF(ISNUMBER(SEARCH("FILTER",B36)),"FILTER ","")</f>
      </c>
    </row>
    <row r="37" spans="1:4" x14ac:dyDescent="0.25">
      <c r="A37" t="s">
        <v>270</v>
      </c>
      <c r="B37">
        <f>IFERROR(FORMULATEXT('[FinanceOS_v1.0-QA-RC1.xlsx]Business Engine'!B49),"")</f>
      </c>
      <c r="C37">
        <f>IF(ISNUMBER(SEARCH("MAXIFS",B37)),"YES","NO")</f>
      </c>
      <c r="D37">
        <f>IF(ISNUMBER(SEARCH("AGGREGATE",B37)),"AGGREGATE ","")&amp;IF(ISNUMBER(SEARCH("LOOKUP",B37)),"LOOKUP ","")&amp;IF(ISNUMBER(SEARCH("FILTER",B37)),"FILTER ","")</f>
      </c>
    </row>
    <row r="38" spans="1:4" x14ac:dyDescent="0.25">
      <c r="A38" t="s">
        <v>273</v>
      </c>
      <c r="B38">
        <f>IFERROR(FORMULATEXT('[FinanceOS_v1.0-QA-RC1.xlsx]Business Engine'!B50),"")</f>
      </c>
      <c r="C38">
        <f>IF(ISNUMBER(SEARCH("MAXIFS",B38)),"YES","NO")</f>
      </c>
      <c r="D38">
        <f>IF(ISNUMBER(SEARCH("AGGREGATE",B38)),"AGGREGATE ","")&amp;IF(ISNUMBER(SEARCH("LOOKUP",B38)),"LOOKUP ","")&amp;IF(ISNUMBER(SEARCH("FILTER",B38)),"FILTER ","")</f>
      </c>
    </row>
    <row r="39" spans="1:4" x14ac:dyDescent="0.25">
      <c r="A39" t="s">
        <v>277</v>
      </c>
      <c r="B39">
        <f>IFERROR(FORMULATEXT('[FinanceOS_v1.0-QA-RC1.xlsx]Business Engine'!B53),"")</f>
      </c>
      <c r="C39">
        <f>IF(ISNUMBER(SEARCH("MAXIFS",B39)),"YES","NO")</f>
      </c>
      <c r="D39">
        <f>IF(ISNUMBER(SEARCH("AGGREGATE",B39)),"AGGREGATE ","")&amp;IF(ISNUMBER(SEARCH("LOOKUP",B39)),"LOOKUP ","")&amp;IF(ISNUMBER(SEARCH("FILTER",B39)),"FILTER ","")</f>
      </c>
    </row>
    <row r="40" spans="1:4" x14ac:dyDescent="0.25">
      <c r="A40" t="s">
        <v>280</v>
      </c>
      <c r="B40">
        <f>IFERROR(FORMULATEXT('[FinanceOS_v1.0-QA-RC1.xlsx]Business Engine'!B54),"")</f>
      </c>
      <c r="C40">
        <f>IF(ISNUMBER(SEARCH("MAXIFS",B40)),"YES","NO")</f>
      </c>
      <c r="D40">
        <f>IF(ISNUMBER(SEARCH("AGGREGATE",B40)),"AGGREGATE ","")&amp;IF(ISNUMBER(SEARCH("LOOKUP",B40)),"LOOKUP ","")&amp;IF(ISNUMBER(SEARCH("FILTER",B40)),"FILTER ","")</f>
      </c>
    </row>
    <row r="41" spans="1:4" x14ac:dyDescent="0.25">
      <c r="A41" t="s">
        <v>283</v>
      </c>
      <c r="B41">
        <f>IFERROR(FORMULATEXT('[FinanceOS_v1.0-QA-RC1.xlsx]Business Engine'!B55),"")</f>
      </c>
      <c r="C41">
        <f>IF(ISNUMBER(SEARCH("MAXIFS",B41)),"YES","NO")</f>
      </c>
      <c r="D41">
        <f>IF(ISNUMBER(SEARCH("AGGREGATE",B41)),"AGGREGATE ","")&amp;IF(ISNUMBER(SEARCH("LOOKUP",B41)),"LOOKUP ","")&amp;IF(ISNUMBER(SEARCH("FILTER",B41)),"FILTER ","")</f>
      </c>
    </row>
    <row r="42" spans="1:4" x14ac:dyDescent="0.25">
      <c r="A42" t="s">
        <v>286</v>
      </c>
      <c r="B42">
        <f>IFERROR(FORMULATEXT('[FinanceOS_v1.0-QA-RC1.xlsx]Business Engine'!B56),"")</f>
      </c>
      <c r="C42">
        <f>IF(ISNUMBER(SEARCH("MAXIFS",B42)),"YES","NO")</f>
      </c>
      <c r="D42">
        <f>IF(ISNUMBER(SEARCH("AGGREGATE",B42)),"AGGREGATE ","")&amp;IF(ISNUMBER(SEARCH("LOOKUP",B42)),"LOOKUP ","")&amp;IF(ISNUMBER(SEARCH("FILTER",B42)),"FILTER ","")</f>
      </c>
    </row>
    <row r="43" spans="1:4" x14ac:dyDescent="0.25">
      <c r="A43" t="s">
        <v>289</v>
      </c>
      <c r="B43">
        <f>IFERROR(FORMULATEXT('[FinanceOS_v1.0-QA-RC1.xlsx]Business Engine'!B57),"")</f>
      </c>
      <c r="C43">
        <f>IF(ISNUMBER(SEARCH("MAXIFS",B43)),"YES","NO")</f>
      </c>
      <c r="D43">
        <f>IF(ISNUMBER(SEARCH("AGGREGATE",B43)),"AGGREGATE ","")&amp;IF(ISNUMBER(SEARCH("LOOKUP",B43)),"LOOKUP ","")&amp;IF(ISNUMBER(SEARCH("FILTER",B43)),"FILTER ","")</f>
      </c>
    </row>
    <row r="44" spans="1:4" x14ac:dyDescent="0.25">
      <c r="A44" t="s">
        <v>292</v>
      </c>
      <c r="B44">
        <f>IFERROR(FORMULATEXT('[FinanceOS_v1.0-QA-RC1.xlsx]Business Engine'!B58),"")</f>
      </c>
      <c r="C44">
        <f>IF(ISNUMBER(SEARCH("MAXIFS",B44)),"YES","NO")</f>
      </c>
      <c r="D44">
        <f>IF(ISNUMBER(SEARCH("AGGREGATE",B44)),"AGGREGATE ","")&amp;IF(ISNUMBER(SEARCH("LOOKUP",B44)),"LOOKUP ","")&amp;IF(ISNUMBER(SEARCH("FILTER",B44)),"FILTER ","")</f>
      </c>
    </row>
    <row r="45" spans="1:4" x14ac:dyDescent="0.25">
      <c r="A45" t="s">
        <v>295</v>
      </c>
      <c r="B45">
        <f>IFERROR(FORMULATEXT('[FinanceOS_v1.0-QA-RC1.xlsx]Business Engine'!B61),"")</f>
      </c>
      <c r="C45">
        <f>IF(ISNUMBER(SEARCH("MAXIFS",B45)),"YES","NO")</f>
      </c>
      <c r="D45">
        <f>IF(ISNUMBER(SEARCH("AGGREGATE",B45)),"AGGREGATE ","")&amp;IF(ISNUMBER(SEARCH("LOOKUP",B45)),"LOOKUP ","")&amp;IF(ISNUMBER(SEARCH("FILTER",B45)),"FILTER ","")</f>
      </c>
    </row>
    <row r="46" spans="1:4" x14ac:dyDescent="0.25">
      <c r="A46" t="s">
        <v>298</v>
      </c>
      <c r="B46">
        <f>IFERROR(FORMULATEXT('[FinanceOS_v1.0-QA-RC1.xlsx]Business Engine'!B62),"")</f>
      </c>
      <c r="C46">
        <f>IF(ISNUMBER(SEARCH("MAXIFS",B46)),"YES","NO")</f>
      </c>
      <c r="D46">
        <f>IF(ISNUMBER(SEARCH("AGGREGATE",B46)),"AGGREGATE ","")&amp;IF(ISNUMBER(SEARCH("LOOKUP",B46)),"LOOKUP ","")&amp;IF(ISNUMBER(SEARCH("FILTER",B46)),"FILTER ","")</f>
      </c>
    </row>
    <row r="47" spans="1:4" x14ac:dyDescent="0.25">
      <c r="A47" t="s">
        <v>301</v>
      </c>
      <c r="B47">
        <f>IFERROR(FORMULATEXT('[FinanceOS_v1.0-QA-RC1.xlsx]Business Engine'!B63),"")</f>
      </c>
      <c r="C47">
        <f>IF(ISNUMBER(SEARCH("MAXIFS",B47)),"YES","NO")</f>
      </c>
      <c r="D47">
        <f>IF(ISNUMBER(SEARCH("AGGREGATE",B47)),"AGGREGATE ","")&amp;IF(ISNUMBER(SEARCH("LOOKUP",B47)),"LOOKUP ","")&amp;IF(ISNUMBER(SEARCH("FILTER",B47)),"FILTER ","")</f>
      </c>
    </row>
    <row r="48" spans="1:4" x14ac:dyDescent="0.25">
      <c r="A48" t="s">
        <v>304</v>
      </c>
      <c r="B48">
        <f>IFERROR(FORMULATEXT('[FinanceOS_v1.0-QA-RC1.xlsx]Business Engine'!B64),"")</f>
      </c>
      <c r="C48">
        <f>IF(ISNUMBER(SEARCH("MAXIFS",B48)),"YES","NO")</f>
      </c>
      <c r="D48">
        <f>IF(ISNUMBER(SEARCH("AGGREGATE",B48)),"AGGREGATE ","")&amp;IF(ISNUMBER(SEARCH("LOOKUP",B48)),"LOOKUP ","")&amp;IF(ISNUMBER(SEARCH("FILTER",B48)),"FILTER ","")</f>
      </c>
    </row>
    <row r="49" spans="1:4" x14ac:dyDescent="0.25">
      <c r="A49" t="s">
        <v>306</v>
      </c>
      <c r="B49">
        <f>IFERROR(FORMULATEXT('[FinanceOS_v1.0-QA-RC1.xlsx]Business Engine'!B65),"")</f>
      </c>
      <c r="C49">
        <f>IF(ISNUMBER(SEARCH("MAXIFS",B49)),"YES","NO")</f>
      </c>
      <c r="D49">
        <f>IF(ISNUMBER(SEARCH("AGGREGATE",B49)),"AGGREGATE ","")&amp;IF(ISNUMBER(SEARCH("LOOKUP",B49)),"LOOKUP ","")&amp;IF(ISNUMBER(SEARCH("FILTER",B49)),"FILTER ","")</f>
      </c>
    </row>
    <row r="50" spans="1:4" x14ac:dyDescent="0.25">
      <c r="A50" t="s">
        <v>309</v>
      </c>
      <c r="B50">
        <f>IFERROR(FORMULATEXT('[FinanceOS_v1.0-QA-RC1.xlsx]Business Engine'!B66),"")</f>
      </c>
      <c r="C50">
        <f>IF(ISNUMBER(SEARCH("MAXIFS",B50)),"YES","NO")</f>
      </c>
      <c r="D50">
        <f>IF(ISNUMBER(SEARCH("AGGREGATE",B50)),"AGGREGATE ","")&amp;IF(ISNUMBER(SEARCH("LOOKUP",B50)),"LOOKUP ","")&amp;IF(ISNUMBER(SEARCH("FILTER",B50)),"FILTER ","")</f>
      </c>
    </row>
    <row r="51" spans="1:4" x14ac:dyDescent="0.25">
      <c r="A51" t="s">
        <v>312</v>
      </c>
      <c r="B51">
        <f>IFERROR(FORMULATEXT('[FinanceOS_v1.0-QA-RC1.xlsx]Business Engine'!B67),"")</f>
      </c>
      <c r="C51">
        <f>IF(ISNUMBER(SEARCH("MAXIFS",B51)),"YES","NO")</f>
      </c>
      <c r="D51">
        <f>IF(ISNUMBER(SEARCH("AGGREGATE",B51)),"AGGREGATE ","")&amp;IF(ISNUMBER(SEARCH("LOOKUP",B51)),"LOOKUP ","")&amp;IF(ISNUMBER(SEARCH("FILTER",B51)),"FILTER ","")</f>
      </c>
    </row>
    <row r="52" spans="1:4" x14ac:dyDescent="0.25">
      <c r="A52" t="s">
        <v>315</v>
      </c>
      <c r="B52">
        <f>IFERROR(FORMULATEXT('[FinanceOS_v1.0-QA-RC1.xlsx]Business Engine'!B68),"")</f>
      </c>
      <c r="C52">
        <f>IF(ISNUMBER(SEARCH("MAXIFS",B52)),"YES","NO")</f>
      </c>
      <c r="D52">
        <f>IF(ISNUMBER(SEARCH("AGGREGATE",B52)),"AGGREGATE ","")&amp;IF(ISNUMBER(SEARCH("LOOKUP",B52)),"LOOKUP ","")&amp;IF(ISNUMBER(SEARCH("FILTER",B52)),"FILTER ","")</f>
      </c>
    </row>
    <row r="53" spans="1:4" x14ac:dyDescent="0.25">
      <c r="A53" t="s">
        <v>318</v>
      </c>
      <c r="B53">
        <f>IFERROR(FORMULATEXT('[FinanceOS_v1.0-QA-RC1.xlsx]Business Engine'!B1),"")</f>
      </c>
      <c r="C53">
        <f>IF(ISNUMBER(SEARCH("MAXIFS",B53)),"YES","NO")</f>
      </c>
      <c r="D53">
        <f>IF(ISNUMBER(SEARCH("AGGREGATE",B53)),"AGGREGATE ","")&amp;IF(ISNUMBER(SEARCH("LOOKUP",B53)),"LOOKUP ","")&amp;IF(ISNUMBER(SEARCH("FILTER",B53)),"FILTER ","")</f>
      </c>
    </row>
  </sheetData>
  <mergeCells count="1">
    <mergeCell ref="A1:D1"/>
  </mergeCells>
  <conditionalFormatting sqref="G16">
    <cfRule type="containsText" dxfId="33" priority="1">
      <formula>NOT(ISERROR(SEARCH("PASS",G16)))</formula>
    </cfRule>
    <cfRule type="containsText" dxfId="34" priority="2">
      <formula>NOT(ISERROR(SEARCH("FAIL",G16)))</formula>
    </cfRule>
    <cfRule type="containsText" dxfId="35" priority="3">
      <formula>NOT(ISERROR(SEARCH("WAIT",G16)))</formula>
    </cfRule>
    <cfRule type="containsText" dxfId="36" priority="4">
      <formula>NOT(ISERROR(SEARCH("DO NOT PROMOTE",G16)))</formula>
    </cfRule>
    <cfRule type="containsText" dxfId="37" priority="5">
      <formula>NOT(ISERROR(SEARCH("READY FOR PROMOTION",G16)))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36" customWidth="1"/>
    <col min="3" max="3" width="10" customWidth="1"/>
    <col min="4" max="4" width="14" customWidth="1"/>
    <col min="5" max="5" width="18" customWidth="1"/>
    <col min="6" max="7" width="14" customWidth="1"/>
    <col min="8" max="8" width="12" customWidth="1"/>
  </cols>
  <sheetData>
    <row r="1" spans="1:8" x14ac:dyDescent="0.25">
      <c r="A1" s="8" t="s">
        <v>152</v>
      </c>
      <c r="B1" s="8" t="s">
        <v>158</v>
      </c>
      <c r="C1" s="8" t="s">
        <v>160</v>
      </c>
      <c r="D1" s="8" t="s">
        <v>153</v>
      </c>
      <c r="E1" s="8" t="s">
        <v>156</v>
      </c>
      <c r="F1" s="8" t="s">
        <v>490</v>
      </c>
      <c r="G1" s="8" t="s">
        <v>491</v>
      </c>
      <c r="H1" s="8" t="s">
        <v>157</v>
      </c>
    </row>
    <row r="2" spans="1:8" x14ac:dyDescent="0.25">
      <c r="A2">
        <f>'Difference Engine'!A2</f>
      </c>
      <c r="B2">
        <f>'Difference Engine'!G2</f>
      </c>
      <c r="C2">
        <f>'Difference Engine'!I2</f>
      </c>
      <c r="D2">
        <f>'Difference Engine'!B2</f>
      </c>
      <c r="E2">
        <f>'Difference Engine'!E2</f>
      </c>
      <c r="F2">
        <f>IF(AND(ISNUMBER(D2),ISNUMBER(E2)),D2+E2,D2)</f>
      </c>
      <c r="G2">
        <f>'Difference Engine'!C2</f>
      </c>
      <c r="H2">
        <f>'Difference Engine'!F2</f>
      </c>
    </row>
    <row r="3" spans="1:8" x14ac:dyDescent="0.25">
      <c r="A3">
        <f>'Difference Engine'!A3</f>
      </c>
      <c r="B3">
        <f>'Difference Engine'!G3</f>
      </c>
      <c r="C3">
        <f>'Difference Engine'!I3</f>
      </c>
      <c r="D3">
        <f>'Difference Engine'!B3</f>
      </c>
      <c r="E3">
        <f>'Difference Engine'!E3</f>
      </c>
      <c r="F3">
        <f>IF(AND(ISNUMBER(D3),ISNUMBER(E3)),D3+E3,D3)</f>
      </c>
      <c r="G3">
        <f>'Difference Engine'!C3</f>
      </c>
      <c r="H3">
        <f>'Difference Engine'!F3</f>
      </c>
    </row>
    <row r="4" spans="1:8" x14ac:dyDescent="0.25">
      <c r="A4">
        <f>'Difference Engine'!A4</f>
      </c>
      <c r="B4">
        <f>'Difference Engine'!G4</f>
      </c>
      <c r="C4">
        <f>'Difference Engine'!I4</f>
      </c>
      <c r="D4">
        <f>'Difference Engine'!B4</f>
      </c>
      <c r="E4">
        <f>'Difference Engine'!E4</f>
      </c>
      <c r="F4">
        <f>IF(AND(ISNUMBER(D4),ISNUMBER(E4)),D4+E4,D4)</f>
      </c>
      <c r="G4">
        <f>'Difference Engine'!C4</f>
      </c>
      <c r="H4">
        <f>'Difference Engine'!F4</f>
      </c>
    </row>
    <row r="5" spans="1:8" x14ac:dyDescent="0.25">
      <c r="A5">
        <f>'Difference Engine'!A5</f>
      </c>
      <c r="B5">
        <f>'Difference Engine'!G5</f>
      </c>
      <c r="C5">
        <f>'Difference Engine'!I5</f>
      </c>
      <c r="D5">
        <f>'Difference Engine'!B5</f>
      </c>
      <c r="E5">
        <f>'Difference Engine'!E5</f>
      </c>
      <c r="F5">
        <f>IF(AND(ISNUMBER(D5),ISNUMBER(E5)),D5+E5,D5)</f>
      </c>
      <c r="G5">
        <f>'Difference Engine'!C5</f>
      </c>
      <c r="H5">
        <f>'Difference Engine'!F5</f>
      </c>
    </row>
    <row r="6" spans="1:8" x14ac:dyDescent="0.25">
      <c r="A6">
        <f>'Difference Engine'!A6</f>
      </c>
      <c r="B6">
        <f>'Difference Engine'!G6</f>
      </c>
      <c r="C6">
        <f>'Difference Engine'!I6</f>
      </c>
      <c r="D6">
        <f>'Difference Engine'!B6</f>
      </c>
      <c r="E6">
        <f>'Difference Engine'!E6</f>
      </c>
      <c r="F6">
        <f>IF(AND(ISNUMBER(D6),ISNUMBER(E6)),D6+E6,D6)</f>
      </c>
      <c r="G6">
        <f>'Difference Engine'!C6</f>
      </c>
      <c r="H6">
        <f>'Difference Engine'!F6</f>
      </c>
    </row>
    <row r="7" spans="1:8" x14ac:dyDescent="0.25">
      <c r="A7">
        <f>'Difference Engine'!A7</f>
      </c>
      <c r="B7">
        <f>'Difference Engine'!G7</f>
      </c>
      <c r="C7">
        <f>'Difference Engine'!I7</f>
      </c>
      <c r="D7">
        <f>'Difference Engine'!B7</f>
      </c>
      <c r="E7">
        <f>'Difference Engine'!E7</f>
      </c>
      <c r="F7">
        <f>IF(AND(ISNUMBER(D7),ISNUMBER(E7)),D7+E7,D7)</f>
      </c>
      <c r="G7">
        <f>'Difference Engine'!C7</f>
      </c>
      <c r="H7">
        <f>'Difference Engine'!F7</f>
      </c>
    </row>
    <row r="8" spans="1:8" x14ac:dyDescent="0.25">
      <c r="A8">
        <f>'Difference Engine'!A8</f>
      </c>
      <c r="B8">
        <f>'Difference Engine'!G8</f>
      </c>
      <c r="C8">
        <f>'Difference Engine'!I8</f>
      </c>
      <c r="D8">
        <f>'Difference Engine'!B8</f>
      </c>
      <c r="E8">
        <f>'Difference Engine'!E8</f>
      </c>
      <c r="F8">
        <f>IF(AND(ISNUMBER(D8),ISNUMBER(E8)),D8+E8,D8)</f>
      </c>
      <c r="G8">
        <f>'Difference Engine'!C8</f>
      </c>
      <c r="H8">
        <f>'Difference Engine'!F8</f>
      </c>
    </row>
    <row r="9" spans="1:8" x14ac:dyDescent="0.25">
      <c r="A9">
        <f>'Difference Engine'!A9</f>
      </c>
      <c r="B9">
        <f>'Difference Engine'!G9</f>
      </c>
      <c r="C9">
        <f>'Difference Engine'!I9</f>
      </c>
      <c r="D9">
        <f>'Difference Engine'!B9</f>
      </c>
      <c r="E9">
        <f>'Difference Engine'!E9</f>
      </c>
      <c r="F9">
        <f>IF(AND(ISNUMBER(D9),ISNUMBER(E9)),D9+E9,D9)</f>
      </c>
      <c r="G9">
        <f>'Difference Engine'!C9</f>
      </c>
      <c r="H9">
        <f>'Difference Engine'!F9</f>
      </c>
    </row>
    <row r="10" spans="1:8" x14ac:dyDescent="0.25">
      <c r="A10">
        <f>'Difference Engine'!A10</f>
      </c>
      <c r="B10">
        <f>'Difference Engine'!G10</f>
      </c>
      <c r="C10">
        <f>'Difference Engine'!I10</f>
      </c>
      <c r="D10">
        <f>'Difference Engine'!B10</f>
      </c>
      <c r="E10">
        <f>'Difference Engine'!E10</f>
      </c>
      <c r="F10">
        <f>IF(AND(ISNUMBER(D10),ISNUMBER(E10)),D10+E10,D10)</f>
      </c>
      <c r="G10">
        <f>'Difference Engine'!C10</f>
      </c>
      <c r="H10">
        <f>'Difference Engine'!F10</f>
      </c>
    </row>
    <row r="11" spans="1:8" x14ac:dyDescent="0.25">
      <c r="A11">
        <f>'Difference Engine'!A11</f>
      </c>
      <c r="B11">
        <f>'Difference Engine'!G11</f>
      </c>
      <c r="C11">
        <f>'Difference Engine'!I11</f>
      </c>
      <c r="D11">
        <f>'Difference Engine'!B11</f>
      </c>
      <c r="E11">
        <f>'Difference Engine'!E11</f>
      </c>
      <c r="F11">
        <f>IF(AND(ISNUMBER(D11),ISNUMBER(E11)),D11+E11,D11)</f>
      </c>
      <c r="G11">
        <f>'Difference Engine'!C11</f>
      </c>
      <c r="H11">
        <f>'Difference Engine'!F11</f>
      </c>
    </row>
    <row r="12" spans="1:8" x14ac:dyDescent="0.25">
      <c r="A12">
        <f>'Difference Engine'!A12</f>
      </c>
      <c r="B12">
        <f>'Difference Engine'!G12</f>
      </c>
      <c r="C12">
        <f>'Difference Engine'!I12</f>
      </c>
      <c r="D12">
        <f>'Difference Engine'!B12</f>
      </c>
      <c r="E12">
        <f>'Difference Engine'!E12</f>
      </c>
      <c r="F12">
        <f>IF(AND(ISNUMBER(D12),ISNUMBER(E12)),D12+E12,D12)</f>
      </c>
      <c r="G12">
        <f>'Difference Engine'!C12</f>
      </c>
      <c r="H12">
        <f>'Difference Engine'!F12</f>
      </c>
    </row>
    <row r="13" spans="1:8" x14ac:dyDescent="0.25">
      <c r="A13">
        <f>'Difference Engine'!A13</f>
      </c>
      <c r="B13">
        <f>'Difference Engine'!G13</f>
      </c>
      <c r="C13">
        <f>'Difference Engine'!I13</f>
      </c>
      <c r="D13">
        <f>'Difference Engine'!B13</f>
      </c>
      <c r="E13">
        <f>'Difference Engine'!E13</f>
      </c>
      <c r="F13">
        <f>IF(AND(ISNUMBER(D13),ISNUMBER(E13)),D13+E13,D13)</f>
      </c>
      <c r="G13">
        <f>'Difference Engine'!C13</f>
      </c>
      <c r="H13">
        <f>'Difference Engine'!F13</f>
      </c>
    </row>
    <row r="14" spans="1:8" x14ac:dyDescent="0.25">
      <c r="A14">
        <f>'Difference Engine'!A14</f>
      </c>
      <c r="B14">
        <f>'Difference Engine'!G14</f>
      </c>
      <c r="C14">
        <f>'Difference Engine'!I14</f>
      </c>
      <c r="D14">
        <f>'Difference Engine'!B14</f>
      </c>
      <c r="E14">
        <f>'Difference Engine'!E14</f>
      </c>
      <c r="F14">
        <f>IF(AND(ISNUMBER(D14),ISNUMBER(E14)),D14+E14,D14)</f>
      </c>
      <c r="G14">
        <f>'Difference Engine'!C14</f>
      </c>
      <c r="H14">
        <f>'Difference Engine'!F14</f>
      </c>
    </row>
    <row r="15" spans="1:8" x14ac:dyDescent="0.25">
      <c r="A15">
        <f>'Difference Engine'!A15</f>
      </c>
      <c r="B15">
        <f>'Difference Engine'!G15</f>
      </c>
      <c r="C15">
        <f>'Difference Engine'!I15</f>
      </c>
      <c r="D15">
        <f>'Difference Engine'!B15</f>
      </c>
      <c r="E15">
        <f>'Difference Engine'!E15</f>
      </c>
      <c r="F15">
        <f>IF(AND(ISNUMBER(D15),ISNUMBER(E15)),D15+E15,D15)</f>
      </c>
      <c r="G15">
        <f>'Difference Engine'!C15</f>
      </c>
      <c r="H15">
        <f>'Difference Engine'!F15</f>
      </c>
    </row>
    <row r="16" spans="1:8" x14ac:dyDescent="0.25">
      <c r="A16">
        <f>'Difference Engine'!A16</f>
      </c>
      <c r="B16">
        <f>'Difference Engine'!G16</f>
      </c>
      <c r="C16">
        <f>'Difference Engine'!I16</f>
      </c>
      <c r="D16">
        <f>'Difference Engine'!B16</f>
      </c>
      <c r="E16">
        <f>'Difference Engine'!E16</f>
      </c>
      <c r="F16">
        <f>IF(AND(ISNUMBER(D16),ISNUMBER(E16)),D16+E16,D16)</f>
      </c>
      <c r="G16">
        <f>'Difference Engine'!C16</f>
      </c>
      <c r="H16">
        <f>'Difference Engine'!F16</f>
      </c>
    </row>
    <row r="17" spans="1:8" x14ac:dyDescent="0.25">
      <c r="A17">
        <f>'Difference Engine'!A17</f>
      </c>
      <c r="B17">
        <f>'Difference Engine'!G17</f>
      </c>
      <c r="C17">
        <f>'Difference Engine'!I17</f>
      </c>
      <c r="D17">
        <f>'Difference Engine'!B17</f>
      </c>
      <c r="E17">
        <f>'Difference Engine'!E17</f>
      </c>
      <c r="F17">
        <f>IF(AND(ISNUMBER(D17),ISNUMBER(E17)),D17+E17,D17)</f>
      </c>
      <c r="G17">
        <f>'Difference Engine'!C17</f>
      </c>
      <c r="H17">
        <f>'Difference Engine'!F17</f>
      </c>
    </row>
    <row r="18" spans="1:8" x14ac:dyDescent="0.25">
      <c r="A18">
        <f>'Difference Engine'!A18</f>
      </c>
      <c r="B18">
        <f>'Difference Engine'!G18</f>
      </c>
      <c r="C18">
        <f>'Difference Engine'!I18</f>
      </c>
      <c r="D18">
        <f>'Difference Engine'!B18</f>
      </c>
      <c r="E18">
        <f>'Difference Engine'!E18</f>
      </c>
      <c r="F18">
        <f>IF(AND(ISNUMBER(D18),ISNUMBER(E18)),D18+E18,D18)</f>
      </c>
      <c r="G18">
        <f>'Difference Engine'!C18</f>
      </c>
      <c r="H18">
        <f>'Difference Engine'!F18</f>
      </c>
    </row>
    <row r="19" spans="1:8" x14ac:dyDescent="0.25">
      <c r="A19">
        <f>'Difference Engine'!A19</f>
      </c>
      <c r="B19">
        <f>'Difference Engine'!G19</f>
      </c>
      <c r="C19">
        <f>'Difference Engine'!I19</f>
      </c>
      <c r="D19">
        <f>'Difference Engine'!B19</f>
      </c>
      <c r="E19">
        <f>'Difference Engine'!E19</f>
      </c>
      <c r="F19">
        <f>IF(AND(ISNUMBER(D19),ISNUMBER(E19)),D19+E19,D19)</f>
      </c>
      <c r="G19">
        <f>'Difference Engine'!C19</f>
      </c>
      <c r="H19">
        <f>'Difference Engine'!F19</f>
      </c>
    </row>
    <row r="20" spans="1:8" x14ac:dyDescent="0.25">
      <c r="A20">
        <f>'Difference Engine'!A20</f>
      </c>
      <c r="B20">
        <f>'Difference Engine'!G20</f>
      </c>
      <c r="C20">
        <f>'Difference Engine'!I20</f>
      </c>
      <c r="D20">
        <f>'Difference Engine'!B20</f>
      </c>
      <c r="E20">
        <f>'Difference Engine'!E20</f>
      </c>
      <c r="F20">
        <f>IF(AND(ISNUMBER(D20),ISNUMBER(E20)),D20+E20,D20)</f>
      </c>
      <c r="G20">
        <f>'Difference Engine'!C20</f>
      </c>
      <c r="H20">
        <f>'Difference Engine'!F20</f>
      </c>
    </row>
    <row r="21" spans="1:8" x14ac:dyDescent="0.25">
      <c r="A21">
        <f>'Difference Engine'!A21</f>
      </c>
      <c r="B21">
        <f>'Difference Engine'!G21</f>
      </c>
      <c r="C21">
        <f>'Difference Engine'!I21</f>
      </c>
      <c r="D21">
        <f>'Difference Engine'!B21</f>
      </c>
      <c r="E21">
        <f>'Difference Engine'!E21</f>
      </c>
      <c r="F21">
        <f>IF(AND(ISNUMBER(D21),ISNUMBER(E21)),D21+E21,D21)</f>
      </c>
      <c r="G21">
        <f>'Difference Engine'!C21</f>
      </c>
      <c r="H21">
        <f>'Difference Engine'!F21</f>
      </c>
    </row>
    <row r="22" spans="1:8" x14ac:dyDescent="0.25">
      <c r="A22">
        <f>'Difference Engine'!A22</f>
      </c>
      <c r="B22">
        <f>'Difference Engine'!G22</f>
      </c>
      <c r="C22">
        <f>'Difference Engine'!I22</f>
      </c>
      <c r="D22">
        <f>'Difference Engine'!B22</f>
      </c>
      <c r="E22">
        <f>'Difference Engine'!E22</f>
      </c>
      <c r="F22">
        <f>IF(AND(ISNUMBER(D22),ISNUMBER(E22)),D22+E22,D22)</f>
      </c>
      <c r="G22">
        <f>'Difference Engine'!C22</f>
      </c>
      <c r="H22">
        <f>'Difference Engine'!F22</f>
      </c>
    </row>
    <row r="23" spans="1:8" x14ac:dyDescent="0.25">
      <c r="A23">
        <f>'Difference Engine'!A23</f>
      </c>
      <c r="B23">
        <f>'Difference Engine'!G23</f>
      </c>
      <c r="C23">
        <f>'Difference Engine'!I23</f>
      </c>
      <c r="D23">
        <f>'Difference Engine'!B23</f>
      </c>
      <c r="E23">
        <f>'Difference Engine'!E23</f>
      </c>
      <c r="F23">
        <f>IF(AND(ISNUMBER(D23),ISNUMBER(E23)),D23+E23,D23)</f>
      </c>
      <c r="G23">
        <f>'Difference Engine'!C23</f>
      </c>
      <c r="H23">
        <f>'Difference Engine'!F23</f>
      </c>
    </row>
    <row r="24" spans="1:8" x14ac:dyDescent="0.25">
      <c r="A24">
        <f>'Difference Engine'!A24</f>
      </c>
      <c r="B24">
        <f>'Difference Engine'!G24</f>
      </c>
      <c r="C24">
        <f>'Difference Engine'!I24</f>
      </c>
      <c r="D24">
        <f>'Difference Engine'!B24</f>
      </c>
      <c r="E24">
        <f>'Difference Engine'!E24</f>
      </c>
      <c r="F24">
        <f>IF(AND(ISNUMBER(D24),ISNUMBER(E24)),D24+E24,D24)</f>
      </c>
      <c r="G24">
        <f>'Difference Engine'!C24</f>
      </c>
      <c r="H24">
        <f>'Difference Engine'!F24</f>
      </c>
    </row>
    <row r="25" spans="1:8" x14ac:dyDescent="0.25">
      <c r="A25">
        <f>'Difference Engine'!A25</f>
      </c>
      <c r="B25">
        <f>'Difference Engine'!G25</f>
      </c>
      <c r="C25">
        <f>'Difference Engine'!I25</f>
      </c>
      <c r="D25">
        <f>'Difference Engine'!B25</f>
      </c>
      <c r="E25">
        <f>'Difference Engine'!E25</f>
      </c>
      <c r="F25">
        <f>IF(AND(ISNUMBER(D25),ISNUMBER(E25)),D25+E25,D25)</f>
      </c>
      <c r="G25">
        <f>'Difference Engine'!C25</f>
      </c>
      <c r="H25">
        <f>'Difference Engine'!F25</f>
      </c>
    </row>
    <row r="26" spans="1:8" x14ac:dyDescent="0.25">
      <c r="A26">
        <f>'Difference Engine'!A26</f>
      </c>
      <c r="B26">
        <f>'Difference Engine'!G26</f>
      </c>
      <c r="C26">
        <f>'Difference Engine'!I26</f>
      </c>
      <c r="D26">
        <f>'Difference Engine'!B26</f>
      </c>
      <c r="E26">
        <f>'Difference Engine'!E26</f>
      </c>
      <c r="F26">
        <f>IF(AND(ISNUMBER(D26),ISNUMBER(E26)),D26+E26,D26)</f>
      </c>
      <c r="G26">
        <f>'Difference Engine'!C26</f>
      </c>
      <c r="H26">
        <f>'Difference Engine'!F26</f>
      </c>
    </row>
    <row r="27" spans="1:8" x14ac:dyDescent="0.25">
      <c r="A27">
        <f>'Difference Engine'!A27</f>
      </c>
      <c r="B27">
        <f>'Difference Engine'!G27</f>
      </c>
      <c r="C27">
        <f>'Difference Engine'!I27</f>
      </c>
      <c r="D27">
        <f>'Difference Engine'!B27</f>
      </c>
      <c r="E27">
        <f>'Difference Engine'!E27</f>
      </c>
      <c r="F27">
        <f>IF(AND(ISNUMBER(D27),ISNUMBER(E27)),D27+E27,D27)</f>
      </c>
      <c r="G27">
        <f>'Difference Engine'!C27</f>
      </c>
      <c r="H27">
        <f>'Difference Engine'!F27</f>
      </c>
    </row>
    <row r="28" spans="1:8" x14ac:dyDescent="0.25">
      <c r="A28">
        <f>'Difference Engine'!A28</f>
      </c>
      <c r="B28">
        <f>'Difference Engine'!G28</f>
      </c>
      <c r="C28">
        <f>'Difference Engine'!I28</f>
      </c>
      <c r="D28">
        <f>'Difference Engine'!B28</f>
      </c>
      <c r="E28">
        <f>'Difference Engine'!E28</f>
      </c>
      <c r="F28">
        <f>IF(AND(ISNUMBER(D28),ISNUMBER(E28)),D28+E28,D28)</f>
      </c>
      <c r="G28">
        <f>'Difference Engine'!C28</f>
      </c>
      <c r="H28">
        <f>'Difference Engine'!F28</f>
      </c>
    </row>
    <row r="29" spans="1:8" x14ac:dyDescent="0.25">
      <c r="A29">
        <f>'Difference Engine'!A29</f>
      </c>
      <c r="B29">
        <f>'Difference Engine'!G29</f>
      </c>
      <c r="C29">
        <f>'Difference Engine'!I29</f>
      </c>
      <c r="D29">
        <f>'Difference Engine'!B29</f>
      </c>
      <c r="E29">
        <f>'Difference Engine'!E29</f>
      </c>
      <c r="F29">
        <f>IF(AND(ISNUMBER(D29),ISNUMBER(E29)),D29+E29,D29)</f>
      </c>
      <c r="G29">
        <f>'Difference Engine'!C29</f>
      </c>
      <c r="H29">
        <f>'Difference Engine'!F29</f>
      </c>
    </row>
    <row r="30" spans="1:8" x14ac:dyDescent="0.25">
      <c r="A30">
        <f>'Difference Engine'!A30</f>
      </c>
      <c r="B30">
        <f>'Difference Engine'!G30</f>
      </c>
      <c r="C30">
        <f>'Difference Engine'!I30</f>
      </c>
      <c r="D30">
        <f>'Difference Engine'!B30</f>
      </c>
      <c r="E30">
        <f>'Difference Engine'!E30</f>
      </c>
      <c r="F30">
        <f>IF(AND(ISNUMBER(D30),ISNUMBER(E30)),D30+E30,D30)</f>
      </c>
      <c r="G30">
        <f>'Difference Engine'!C30</f>
      </c>
      <c r="H30">
        <f>'Difference Engine'!F30</f>
      </c>
    </row>
    <row r="31" spans="1:8" x14ac:dyDescent="0.25">
      <c r="A31">
        <f>'Difference Engine'!A31</f>
      </c>
      <c r="B31">
        <f>'Difference Engine'!G31</f>
      </c>
      <c r="C31">
        <f>'Difference Engine'!I31</f>
      </c>
      <c r="D31">
        <f>'Difference Engine'!B31</f>
      </c>
      <c r="E31">
        <f>'Difference Engine'!E31</f>
      </c>
      <c r="F31">
        <f>IF(AND(ISNUMBER(D31),ISNUMBER(E31)),D31+E31,D31)</f>
      </c>
      <c r="G31">
        <f>'Difference Engine'!C31</f>
      </c>
      <c r="H31">
        <f>'Difference Engine'!F31</f>
      </c>
    </row>
    <row r="32" spans="1:8" x14ac:dyDescent="0.25">
      <c r="A32">
        <f>'Difference Engine'!A32</f>
      </c>
      <c r="B32">
        <f>'Difference Engine'!G32</f>
      </c>
      <c r="C32">
        <f>'Difference Engine'!I32</f>
      </c>
      <c r="D32">
        <f>'Difference Engine'!B32</f>
      </c>
      <c r="E32">
        <f>'Difference Engine'!E32</f>
      </c>
      <c r="F32">
        <f>IF(AND(ISNUMBER(D32),ISNUMBER(E32)),D32+E32,D32)</f>
      </c>
      <c r="G32">
        <f>'Difference Engine'!C32</f>
      </c>
      <c r="H32">
        <f>'Difference Engine'!F32</f>
      </c>
    </row>
    <row r="33" spans="1:8" x14ac:dyDescent="0.25">
      <c r="A33">
        <f>'Difference Engine'!A33</f>
      </c>
      <c r="B33">
        <f>'Difference Engine'!G33</f>
      </c>
      <c r="C33">
        <f>'Difference Engine'!I33</f>
      </c>
      <c r="D33">
        <f>'Difference Engine'!B33</f>
      </c>
      <c r="E33">
        <f>'Difference Engine'!E33</f>
      </c>
      <c r="F33">
        <f>IF(AND(ISNUMBER(D33),ISNUMBER(E33)),D33+E33,D33)</f>
      </c>
      <c r="G33">
        <f>'Difference Engine'!C33</f>
      </c>
      <c r="H33">
        <f>'Difference Engine'!F33</f>
      </c>
    </row>
    <row r="34" spans="1:8" x14ac:dyDescent="0.25">
      <c r="A34">
        <f>'Difference Engine'!A34</f>
      </c>
      <c r="B34">
        <f>'Difference Engine'!G34</f>
      </c>
      <c r="C34">
        <f>'Difference Engine'!I34</f>
      </c>
      <c r="D34">
        <f>'Difference Engine'!B34</f>
      </c>
      <c r="E34">
        <f>'Difference Engine'!E34</f>
      </c>
      <c r="F34">
        <f>IF(AND(ISNUMBER(D34),ISNUMBER(E34)),D34+E34,D34)</f>
      </c>
      <c r="G34">
        <f>'Difference Engine'!C34</f>
      </c>
      <c r="H34">
        <f>'Difference Engine'!F34</f>
      </c>
    </row>
    <row r="35" spans="1:8" x14ac:dyDescent="0.25">
      <c r="A35">
        <f>'Difference Engine'!A35</f>
      </c>
      <c r="B35">
        <f>'Difference Engine'!G35</f>
      </c>
      <c r="C35">
        <f>'Difference Engine'!I35</f>
      </c>
      <c r="D35">
        <f>'Difference Engine'!B35</f>
      </c>
      <c r="E35">
        <f>'Difference Engine'!E35</f>
      </c>
      <c r="F35">
        <f>IF(AND(ISNUMBER(D35),ISNUMBER(E35)),D35+E35,D35)</f>
      </c>
      <c r="G35">
        <f>'Difference Engine'!C35</f>
      </c>
      <c r="H35">
        <f>'Difference Engine'!F35</f>
      </c>
    </row>
    <row r="36" spans="1:8" x14ac:dyDescent="0.25">
      <c r="A36">
        <f>'Difference Engine'!A36</f>
      </c>
      <c r="B36">
        <f>'Difference Engine'!G36</f>
      </c>
      <c r="C36">
        <f>'Difference Engine'!I36</f>
      </c>
      <c r="D36">
        <f>'Difference Engine'!B36</f>
      </c>
      <c r="E36">
        <f>'Difference Engine'!E36</f>
      </c>
      <c r="F36">
        <f>IF(AND(ISNUMBER(D36),ISNUMBER(E36)),D36+E36,D36)</f>
      </c>
      <c r="G36">
        <f>'Difference Engine'!C36</f>
      </c>
      <c r="H36">
        <f>'Difference Engine'!F36</f>
      </c>
    </row>
    <row r="37" spans="1:8" x14ac:dyDescent="0.25">
      <c r="A37">
        <f>'Difference Engine'!A37</f>
      </c>
      <c r="B37">
        <f>'Difference Engine'!G37</f>
      </c>
      <c r="C37">
        <f>'Difference Engine'!I37</f>
      </c>
      <c r="D37">
        <f>'Difference Engine'!B37</f>
      </c>
      <c r="E37">
        <f>'Difference Engine'!E37</f>
      </c>
      <c r="F37">
        <f>IF(AND(ISNUMBER(D37),ISNUMBER(E37)),D37+E37,D37)</f>
      </c>
      <c r="G37">
        <f>'Difference Engine'!C37</f>
      </c>
      <c r="H37">
        <f>'Difference Engine'!F37</f>
      </c>
    </row>
    <row r="38" spans="1:8" x14ac:dyDescent="0.25">
      <c r="A38">
        <f>'Difference Engine'!A38</f>
      </c>
      <c r="B38">
        <f>'Difference Engine'!G38</f>
      </c>
      <c r="C38">
        <f>'Difference Engine'!I38</f>
      </c>
      <c r="D38">
        <f>'Difference Engine'!B38</f>
      </c>
      <c r="E38">
        <f>'Difference Engine'!E38</f>
      </c>
      <c r="F38">
        <f>IF(AND(ISNUMBER(D38),ISNUMBER(E38)),D38+E38,D38)</f>
      </c>
      <c r="G38">
        <f>'Difference Engine'!C38</f>
      </c>
      <c r="H38">
        <f>'Difference Engine'!F38</f>
      </c>
    </row>
    <row r="39" spans="1:8" x14ac:dyDescent="0.25">
      <c r="A39">
        <f>'Difference Engine'!A39</f>
      </c>
      <c r="B39">
        <f>'Difference Engine'!G39</f>
      </c>
      <c r="C39">
        <f>'Difference Engine'!I39</f>
      </c>
      <c r="D39">
        <f>'Difference Engine'!B39</f>
      </c>
      <c r="E39">
        <f>'Difference Engine'!E39</f>
      </c>
      <c r="F39">
        <f>IF(AND(ISNUMBER(D39),ISNUMBER(E39)),D39+E39,D39)</f>
      </c>
      <c r="G39">
        <f>'Difference Engine'!C39</f>
      </c>
      <c r="H39">
        <f>'Difference Engine'!F39</f>
      </c>
    </row>
    <row r="40" spans="1:8" x14ac:dyDescent="0.25">
      <c r="A40">
        <f>'Difference Engine'!A40</f>
      </c>
      <c r="B40">
        <f>'Difference Engine'!G40</f>
      </c>
      <c r="C40">
        <f>'Difference Engine'!I40</f>
      </c>
      <c r="D40">
        <f>'Difference Engine'!B40</f>
      </c>
      <c r="E40">
        <f>'Difference Engine'!E40</f>
      </c>
      <c r="F40">
        <f>IF(AND(ISNUMBER(D40),ISNUMBER(E40)),D40+E40,D40)</f>
      </c>
      <c r="G40">
        <f>'Difference Engine'!C40</f>
      </c>
      <c r="H40">
        <f>'Difference Engine'!F40</f>
      </c>
    </row>
    <row r="41" spans="1:8" x14ac:dyDescent="0.25">
      <c r="A41">
        <f>'Difference Engine'!A41</f>
      </c>
      <c r="B41">
        <f>'Difference Engine'!G41</f>
      </c>
      <c r="C41">
        <f>'Difference Engine'!I41</f>
      </c>
      <c r="D41">
        <f>'Difference Engine'!B41</f>
      </c>
      <c r="E41">
        <f>'Difference Engine'!E41</f>
      </c>
      <c r="F41">
        <f>IF(AND(ISNUMBER(D41),ISNUMBER(E41)),D41+E41,D41)</f>
      </c>
      <c r="G41">
        <f>'Difference Engine'!C41</f>
      </c>
      <c r="H41">
        <f>'Difference Engine'!F41</f>
      </c>
    </row>
    <row r="42" spans="1:8" x14ac:dyDescent="0.25">
      <c r="A42">
        <f>'Difference Engine'!A42</f>
      </c>
      <c r="B42">
        <f>'Difference Engine'!G42</f>
      </c>
      <c r="C42">
        <f>'Difference Engine'!I42</f>
      </c>
      <c r="D42">
        <f>'Difference Engine'!B42</f>
      </c>
      <c r="E42">
        <f>'Difference Engine'!E42</f>
      </c>
      <c r="F42">
        <f>IF(AND(ISNUMBER(D42),ISNUMBER(E42)),D42+E42,D42)</f>
      </c>
      <c r="G42">
        <f>'Difference Engine'!C42</f>
      </c>
      <c r="H42">
        <f>'Difference Engine'!F42</f>
      </c>
    </row>
    <row r="43" spans="1:8" x14ac:dyDescent="0.25">
      <c r="A43">
        <f>'Difference Engine'!A43</f>
      </c>
      <c r="B43">
        <f>'Difference Engine'!G43</f>
      </c>
      <c r="C43">
        <f>'Difference Engine'!I43</f>
      </c>
      <c r="D43">
        <f>'Difference Engine'!B43</f>
      </c>
      <c r="E43">
        <f>'Difference Engine'!E43</f>
      </c>
      <c r="F43">
        <f>IF(AND(ISNUMBER(D43),ISNUMBER(E43)),D43+E43,D43)</f>
      </c>
      <c r="G43">
        <f>'Difference Engine'!C43</f>
      </c>
      <c r="H43">
        <f>'Difference Engine'!F43</f>
      </c>
    </row>
    <row r="44" spans="1:8" x14ac:dyDescent="0.25">
      <c r="A44">
        <f>'Difference Engine'!A44</f>
      </c>
      <c r="B44">
        <f>'Difference Engine'!G44</f>
      </c>
      <c r="C44">
        <f>'Difference Engine'!I44</f>
      </c>
      <c r="D44">
        <f>'Difference Engine'!B44</f>
      </c>
      <c r="E44">
        <f>'Difference Engine'!E44</f>
      </c>
      <c r="F44">
        <f>IF(AND(ISNUMBER(D44),ISNUMBER(E44)),D44+E44,D44)</f>
      </c>
      <c r="G44">
        <f>'Difference Engine'!C44</f>
      </c>
      <c r="H44">
        <f>'Difference Engine'!F44</f>
      </c>
    </row>
    <row r="45" spans="1:8" x14ac:dyDescent="0.25">
      <c r="A45">
        <f>'Difference Engine'!A45</f>
      </c>
      <c r="B45">
        <f>'Difference Engine'!G45</f>
      </c>
      <c r="C45">
        <f>'Difference Engine'!I45</f>
      </c>
      <c r="D45">
        <f>'Difference Engine'!B45</f>
      </c>
      <c r="E45">
        <f>'Difference Engine'!E45</f>
      </c>
      <c r="F45">
        <f>IF(AND(ISNUMBER(D45),ISNUMBER(E45)),D45+E45,D45)</f>
      </c>
      <c r="G45">
        <f>'Difference Engine'!C45</f>
      </c>
      <c r="H45">
        <f>'Difference Engine'!F45</f>
      </c>
    </row>
    <row r="46" spans="1:8" x14ac:dyDescent="0.25">
      <c r="A46">
        <f>'Difference Engine'!A46</f>
      </c>
      <c r="B46">
        <f>'Difference Engine'!G46</f>
      </c>
      <c r="C46">
        <f>'Difference Engine'!I46</f>
      </c>
      <c r="D46">
        <f>'Difference Engine'!B46</f>
      </c>
      <c r="E46">
        <f>'Difference Engine'!E46</f>
      </c>
      <c r="F46">
        <f>IF(AND(ISNUMBER(D46),ISNUMBER(E46)),D46+E46,D46)</f>
      </c>
      <c r="G46">
        <f>'Difference Engine'!C46</f>
      </c>
      <c r="H46">
        <f>'Difference Engine'!F46</f>
      </c>
    </row>
    <row r="47" spans="1:8" x14ac:dyDescent="0.25">
      <c r="A47">
        <f>'Difference Engine'!A47</f>
      </c>
      <c r="B47">
        <f>'Difference Engine'!G47</f>
      </c>
      <c r="C47">
        <f>'Difference Engine'!I47</f>
      </c>
      <c r="D47">
        <f>'Difference Engine'!B47</f>
      </c>
      <c r="E47">
        <f>'Difference Engine'!E47</f>
      </c>
      <c r="F47">
        <f>IF(AND(ISNUMBER(D47),ISNUMBER(E47)),D47+E47,D47)</f>
      </c>
      <c r="G47">
        <f>'Difference Engine'!C47</f>
      </c>
      <c r="H47">
        <f>'Difference Engine'!F47</f>
      </c>
    </row>
    <row r="48" spans="1:8" x14ac:dyDescent="0.25">
      <c r="A48">
        <f>'Difference Engine'!A48</f>
      </c>
      <c r="B48">
        <f>'Difference Engine'!G48</f>
      </c>
      <c r="C48">
        <f>'Difference Engine'!I48</f>
      </c>
      <c r="D48">
        <f>'Difference Engine'!B48</f>
      </c>
      <c r="E48">
        <f>'Difference Engine'!E48</f>
      </c>
      <c r="F48">
        <f>IF(AND(ISNUMBER(D48),ISNUMBER(E48)),D48+E48,D48)</f>
      </c>
      <c r="G48">
        <f>'Difference Engine'!C48</f>
      </c>
      <c r="H48">
        <f>'Difference Engine'!F48</f>
      </c>
    </row>
    <row r="49" spans="1:8" x14ac:dyDescent="0.25">
      <c r="A49">
        <f>'Difference Engine'!A49</f>
      </c>
      <c r="B49">
        <f>'Difference Engine'!G49</f>
      </c>
      <c r="C49">
        <f>'Difference Engine'!I49</f>
      </c>
      <c r="D49">
        <f>'Difference Engine'!B49</f>
      </c>
      <c r="E49">
        <f>'Difference Engine'!E49</f>
      </c>
      <c r="F49">
        <f>IF(AND(ISNUMBER(D49),ISNUMBER(E49)),D49+E49,D49)</f>
      </c>
      <c r="G49">
        <f>'Difference Engine'!C49</f>
      </c>
      <c r="H49">
        <f>'Difference Engine'!F49</f>
      </c>
    </row>
    <row r="50" spans="1:8" x14ac:dyDescent="0.25">
      <c r="A50">
        <f>'Difference Engine'!A50</f>
      </c>
      <c r="B50">
        <f>'Difference Engine'!G50</f>
      </c>
      <c r="C50">
        <f>'Difference Engine'!I50</f>
      </c>
      <c r="D50">
        <f>'Difference Engine'!B50</f>
      </c>
      <c r="E50">
        <f>'Difference Engine'!E50</f>
      </c>
      <c r="F50">
        <f>IF(AND(ISNUMBER(D50),ISNUMBER(E50)),D50+E50,D50)</f>
      </c>
      <c r="G50">
        <f>'Difference Engine'!C50</f>
      </c>
      <c r="H50">
        <f>'Difference Engine'!F50</f>
      </c>
    </row>
    <row r="51" spans="1:8" x14ac:dyDescent="0.25">
      <c r="A51">
        <f>'Difference Engine'!A51</f>
      </c>
      <c r="B51">
        <f>'Difference Engine'!G51</f>
      </c>
      <c r="C51">
        <f>'Difference Engine'!I51</f>
      </c>
      <c r="D51">
        <f>'Difference Engine'!B51</f>
      </c>
      <c r="E51">
        <f>'Difference Engine'!E51</f>
      </c>
      <c r="F51">
        <f>IF(AND(ISNUMBER(D51),ISNUMBER(E51)),D51+E51,D51)</f>
      </c>
      <c r="G51">
        <f>'Difference Engine'!C51</f>
      </c>
      <c r="H51">
        <f>'Difference Engine'!F51</f>
      </c>
    </row>
    <row r="52" spans="1:8" x14ac:dyDescent="0.25">
      <c r="A52">
        <f>'Difference Engine'!A52</f>
      </c>
      <c r="B52">
        <f>'Difference Engine'!G52</f>
      </c>
      <c r="C52">
        <f>'Difference Engine'!I52</f>
      </c>
      <c r="D52">
        <f>'Difference Engine'!B52</f>
      </c>
      <c r="E52">
        <f>'Difference Engine'!E52</f>
      </c>
      <c r="F52">
        <f>IF(AND(ISNUMBER(D52),ISNUMBER(E52)),D52+E52,D52)</f>
      </c>
      <c r="G52">
        <f>'Difference Engine'!C52</f>
      </c>
      <c r="H52">
        <f>'Difference Engine'!F52</f>
      </c>
    </row>
    <row r="53" spans="1:8" x14ac:dyDescent="0.25">
      <c r="A53">
        <f>'Difference Engine'!A53</f>
      </c>
      <c r="B53">
        <f>'Difference Engine'!G53</f>
      </c>
      <c r="C53">
        <f>'Difference Engine'!I53</f>
      </c>
      <c r="D53">
        <f>'Difference Engine'!B53</f>
      </c>
      <c r="E53">
        <f>'Difference Engine'!E53</f>
      </c>
      <c r="F53">
        <f>IF(AND(ISNUMBER(D53),ISNUMBER(E53)),D53+E53,D53)</f>
      </c>
      <c r="G53">
        <f>'Difference Engine'!C53</f>
      </c>
      <c r="H53">
        <f>'Difference Engine'!F53</f>
      </c>
    </row>
    <row r="54" spans="1:8" x14ac:dyDescent="0.25">
      <c r="A54">
        <f>'Difference Engine'!A54</f>
      </c>
      <c r="B54">
        <f>'Difference Engine'!G54</f>
      </c>
      <c r="C54">
        <f>'Difference Engine'!I54</f>
      </c>
      <c r="D54">
        <f>'Difference Engine'!B54</f>
      </c>
      <c r="E54">
        <f>'Difference Engine'!E54</f>
      </c>
      <c r="F54">
        <f>IF(AND(ISNUMBER(D54),ISNUMBER(E54)),D54+E54,D54)</f>
      </c>
      <c r="G54">
        <f>'Difference Engine'!C54</f>
      </c>
      <c r="H54">
        <f>'Difference Engine'!F54</f>
      </c>
    </row>
    <row r="55" spans="1:8" x14ac:dyDescent="0.25">
      <c r="A55">
        <f>'Difference Engine'!A55</f>
      </c>
      <c r="B55">
        <f>'Difference Engine'!G55</f>
      </c>
      <c r="C55">
        <f>'Difference Engine'!I55</f>
      </c>
      <c r="D55">
        <f>'Difference Engine'!B55</f>
      </c>
      <c r="E55">
        <f>'Difference Engine'!E55</f>
      </c>
      <c r="F55">
        <f>IF(AND(ISNUMBER(D55),ISNUMBER(E55)),D55+E55,D55)</f>
      </c>
      <c r="G55">
        <f>'Difference Engine'!C55</f>
      </c>
      <c r="H55">
        <f>'Difference Engine'!F55</f>
      </c>
    </row>
    <row r="56" spans="1:8" x14ac:dyDescent="0.25">
      <c r="A56">
        <f>'Difference Engine'!A56</f>
      </c>
      <c r="B56">
        <f>'Difference Engine'!G56</f>
      </c>
      <c r="C56">
        <f>'Difference Engine'!I56</f>
      </c>
      <c r="D56">
        <f>'Difference Engine'!B56</f>
      </c>
      <c r="E56">
        <f>'Difference Engine'!E56</f>
      </c>
      <c r="F56">
        <f>IF(AND(ISNUMBER(D56),ISNUMBER(E56)),D56+E56,D56)</f>
      </c>
      <c r="G56">
        <f>'Difference Engine'!C56</f>
      </c>
      <c r="H56">
        <f>'Difference Engine'!F56</f>
      </c>
    </row>
    <row r="57" spans="1:8" x14ac:dyDescent="0.25">
      <c r="A57">
        <f>'Difference Engine'!A57</f>
      </c>
      <c r="B57">
        <f>'Difference Engine'!G57</f>
      </c>
      <c r="C57">
        <f>'Difference Engine'!I57</f>
      </c>
      <c r="D57">
        <f>'Difference Engine'!B57</f>
      </c>
      <c r="E57">
        <f>'Difference Engine'!E57</f>
      </c>
      <c r="F57">
        <f>IF(AND(ISNUMBER(D57),ISNUMBER(E57)),D57+E57,D57)</f>
      </c>
      <c r="G57">
        <f>'Difference Engine'!C57</f>
      </c>
      <c r="H57">
        <f>'Difference Engine'!F57</f>
      </c>
    </row>
    <row r="58" spans="1:8" x14ac:dyDescent="0.25">
      <c r="A58">
        <f>'Difference Engine'!A58</f>
      </c>
      <c r="B58">
        <f>'Difference Engine'!G58</f>
      </c>
      <c r="C58">
        <f>'Difference Engine'!I58</f>
      </c>
      <c r="D58">
        <f>'Difference Engine'!B58</f>
      </c>
      <c r="E58">
        <f>'Difference Engine'!E58</f>
      </c>
      <c r="F58">
        <f>IF(AND(ISNUMBER(D58),ISNUMBER(E58)),D58+E58,D58)</f>
      </c>
      <c r="G58">
        <f>'Difference Engine'!C58</f>
      </c>
      <c r="H58">
        <f>'Difference Engine'!F58</f>
      </c>
    </row>
    <row r="59" spans="1:8" x14ac:dyDescent="0.25">
      <c r="A59">
        <f>'Difference Engine'!A59</f>
      </c>
      <c r="B59">
        <f>'Difference Engine'!G59</f>
      </c>
      <c r="C59">
        <f>'Difference Engine'!I59</f>
      </c>
      <c r="D59">
        <f>'Difference Engine'!B59</f>
      </c>
      <c r="E59">
        <f>'Difference Engine'!E59</f>
      </c>
      <c r="F59">
        <f>IF(AND(ISNUMBER(D59),ISNUMBER(E59)),D59+E59,D59)</f>
      </c>
      <c r="G59">
        <f>'Difference Engine'!C59</f>
      </c>
      <c r="H59">
        <f>'Difference Engine'!F59</f>
      </c>
    </row>
    <row r="60" spans="1:8" x14ac:dyDescent="0.25">
      <c r="A60">
        <f>'Difference Engine'!A60</f>
      </c>
      <c r="B60">
        <f>'Difference Engine'!G60</f>
      </c>
      <c r="C60">
        <f>'Difference Engine'!I60</f>
      </c>
      <c r="D60">
        <f>'Difference Engine'!B60</f>
      </c>
      <c r="E60">
        <f>'Difference Engine'!E60</f>
      </c>
      <c r="F60">
        <f>IF(AND(ISNUMBER(D60),ISNUMBER(E60)),D60+E60,D60)</f>
      </c>
      <c r="G60">
        <f>'Difference Engine'!C60</f>
      </c>
      <c r="H60">
        <f>'Difference Engine'!F60</f>
      </c>
    </row>
    <row r="61" spans="1:8" x14ac:dyDescent="0.25">
      <c r="A61">
        <f>'Difference Engine'!A61</f>
      </c>
      <c r="B61">
        <f>'Difference Engine'!G61</f>
      </c>
      <c r="C61">
        <f>'Difference Engine'!I61</f>
      </c>
      <c r="D61">
        <f>'Difference Engine'!B61</f>
      </c>
      <c r="E61">
        <f>'Difference Engine'!E61</f>
      </c>
      <c r="F61">
        <f>IF(AND(ISNUMBER(D61),ISNUMBER(E61)),D61+E61,D61)</f>
      </c>
      <c r="G61">
        <f>'Difference Engine'!C61</f>
      </c>
      <c r="H61">
        <f>'Difference Engine'!F61</f>
      </c>
    </row>
    <row r="62" spans="1:8" x14ac:dyDescent="0.25">
      <c r="A62">
        <f>'Difference Engine'!A62</f>
      </c>
      <c r="B62">
        <f>'Difference Engine'!G62</f>
      </c>
      <c r="C62">
        <f>'Difference Engine'!I62</f>
      </c>
      <c r="D62">
        <f>'Difference Engine'!B62</f>
      </c>
      <c r="E62">
        <f>'Difference Engine'!E62</f>
      </c>
      <c r="F62">
        <f>IF(AND(ISNUMBER(D62),ISNUMBER(E62)),D62+E62,D62)</f>
      </c>
      <c r="G62">
        <f>'Difference Engine'!C62</f>
      </c>
      <c r="H62">
        <f>'Difference Engine'!F62</f>
      </c>
    </row>
    <row r="63" spans="1:8" x14ac:dyDescent="0.25">
      <c r="A63">
        <f>'Difference Engine'!A63</f>
      </c>
      <c r="B63">
        <f>'Difference Engine'!G63</f>
      </c>
      <c r="C63">
        <f>'Difference Engine'!I63</f>
      </c>
      <c r="D63">
        <f>'Difference Engine'!B63</f>
      </c>
      <c r="E63">
        <f>'Difference Engine'!E63</f>
      </c>
      <c r="F63">
        <f>IF(AND(ISNUMBER(D63),ISNUMBER(E63)),D63+E63,D63)</f>
      </c>
      <c r="G63">
        <f>'Difference Engine'!C63</f>
      </c>
      <c r="H63">
        <f>'Difference Engine'!F63</f>
      </c>
    </row>
    <row r="64" spans="1:8" x14ac:dyDescent="0.25">
      <c r="A64">
        <f>'Difference Engine'!A64</f>
      </c>
      <c r="B64">
        <f>'Difference Engine'!G64</f>
      </c>
      <c r="C64">
        <f>'Difference Engine'!I64</f>
      </c>
      <c r="D64">
        <f>'Difference Engine'!B64</f>
      </c>
      <c r="E64">
        <f>'Difference Engine'!E64</f>
      </c>
      <c r="F64">
        <f>IF(AND(ISNUMBER(D64),ISNUMBER(E64)),D64+E64,D64)</f>
      </c>
      <c r="G64">
        <f>'Difference Engine'!C64</f>
      </c>
      <c r="H64">
        <f>'Difference Engine'!F64</f>
      </c>
    </row>
    <row r="65" spans="1:8" x14ac:dyDescent="0.25">
      <c r="A65">
        <f>'Difference Engine'!A65</f>
      </c>
      <c r="B65">
        <f>'Difference Engine'!G65</f>
      </c>
      <c r="C65">
        <f>'Difference Engine'!I65</f>
      </c>
      <c r="D65">
        <f>'Difference Engine'!B65</f>
      </c>
      <c r="E65">
        <f>'Difference Engine'!E65</f>
      </c>
      <c r="F65">
        <f>IF(AND(ISNUMBER(D65),ISNUMBER(E65)),D65+E65,D65)</f>
      </c>
      <c r="G65">
        <f>'Difference Engine'!C65</f>
      </c>
      <c r="H65">
        <f>'Difference Engine'!F65</f>
      </c>
    </row>
    <row r="66" spans="1:8" x14ac:dyDescent="0.25">
      <c r="A66">
        <f>'Difference Engine'!A66</f>
      </c>
      <c r="B66">
        <f>'Difference Engine'!G66</f>
      </c>
      <c r="C66">
        <f>'Difference Engine'!I66</f>
      </c>
      <c r="D66">
        <f>'Difference Engine'!B66</f>
      </c>
      <c r="E66">
        <f>'Difference Engine'!E66</f>
      </c>
      <c r="F66">
        <f>IF(AND(ISNUMBER(D66),ISNUMBER(E66)),D66+E66,D66)</f>
      </c>
      <c r="G66">
        <f>'Difference Engine'!C66</f>
      </c>
      <c r="H66">
        <f>'Difference Engine'!F66</f>
      </c>
    </row>
    <row r="67" spans="1:8" x14ac:dyDescent="0.25">
      <c r="A67">
        <f>'Difference Engine'!A67</f>
      </c>
      <c r="B67">
        <f>'Difference Engine'!G67</f>
      </c>
      <c r="C67">
        <f>'Difference Engine'!I67</f>
      </c>
      <c r="D67">
        <f>'Difference Engine'!B67</f>
      </c>
      <c r="E67">
        <f>'Difference Engine'!E67</f>
      </c>
      <c r="F67">
        <f>IF(AND(ISNUMBER(D67),ISNUMBER(E67)),D67+E67,D67)</f>
      </c>
      <c r="G67">
        <f>'Difference Engine'!C67</f>
      </c>
      <c r="H67">
        <f>'Difference Engine'!F67</f>
      </c>
    </row>
    <row r="68" spans="1:8" x14ac:dyDescent="0.25">
      <c r="A68">
        <f>'Difference Engine'!A68</f>
      </c>
      <c r="B68">
        <f>'Difference Engine'!G68</f>
      </c>
      <c r="C68">
        <f>'Difference Engine'!I68</f>
      </c>
      <c r="D68">
        <f>'Difference Engine'!B68</f>
      </c>
      <c r="E68">
        <f>'Difference Engine'!E68</f>
      </c>
      <c r="F68">
        <f>IF(AND(ISNUMBER(D68),ISNUMBER(E68)),D68+E68,D68)</f>
      </c>
      <c r="G68">
        <f>'Difference Engine'!C68</f>
      </c>
      <c r="H68">
        <f>'Difference Engine'!F68</f>
      </c>
    </row>
    <row r="69" spans="1:8" x14ac:dyDescent="0.25">
      <c r="A69">
        <f>'Difference Engine'!A69</f>
      </c>
      <c r="B69">
        <f>'Difference Engine'!G69</f>
      </c>
      <c r="C69">
        <f>'Difference Engine'!I69</f>
      </c>
      <c r="D69">
        <f>'Difference Engine'!B69</f>
      </c>
      <c r="E69">
        <f>'Difference Engine'!E69</f>
      </c>
      <c r="F69">
        <f>IF(AND(ISNUMBER(D69),ISNUMBER(E69)),D69+E69,D69)</f>
      </c>
      <c r="G69">
        <f>'Difference Engine'!C69</f>
      </c>
      <c r="H69">
        <f>'Difference Engine'!F69</f>
      </c>
    </row>
    <row r="70" spans="1:8" x14ac:dyDescent="0.25">
      <c r="A70">
        <f>'Difference Engine'!A70</f>
      </c>
      <c r="B70">
        <f>'Difference Engine'!G70</f>
      </c>
      <c r="C70">
        <f>'Difference Engine'!I70</f>
      </c>
      <c r="D70">
        <f>'Difference Engine'!B70</f>
      </c>
      <c r="E70">
        <f>'Difference Engine'!E70</f>
      </c>
      <c r="F70">
        <f>IF(AND(ISNUMBER(D70),ISNUMBER(E70)),D70+E70,D70)</f>
      </c>
      <c r="G70">
        <f>'Difference Engine'!C70</f>
      </c>
      <c r="H70">
        <f>'Difference Engine'!F70</f>
      </c>
    </row>
    <row r="71" spans="1:8" x14ac:dyDescent="0.25">
      <c r="A71">
        <f>'Difference Engine'!A71</f>
      </c>
      <c r="B71">
        <f>'Difference Engine'!G71</f>
      </c>
      <c r="C71">
        <f>'Difference Engine'!I71</f>
      </c>
      <c r="D71">
        <f>'Difference Engine'!B71</f>
      </c>
      <c r="E71">
        <f>'Difference Engine'!E71</f>
      </c>
      <c r="F71">
        <f>IF(AND(ISNUMBER(D71),ISNUMBER(E71)),D71+E71,D71)</f>
      </c>
      <c r="G71">
        <f>'Difference Engine'!C71</f>
      </c>
      <c r="H71">
        <f>'Difference Engine'!F71</f>
      </c>
    </row>
    <row r="72" spans="1:8" x14ac:dyDescent="0.25">
      <c r="A72">
        <f>'Difference Engine'!A72</f>
      </c>
      <c r="B72">
        <f>'Difference Engine'!G72</f>
      </c>
      <c r="C72">
        <f>'Difference Engine'!I72</f>
      </c>
      <c r="D72">
        <f>'Difference Engine'!B72</f>
      </c>
      <c r="E72">
        <f>'Difference Engine'!E72</f>
      </c>
      <c r="F72">
        <f>IF(AND(ISNUMBER(D72),ISNUMBER(E72)),D72+E72,D72)</f>
      </c>
      <c r="G72">
        <f>'Difference Engine'!C72</f>
      </c>
      <c r="H72">
        <f>'Difference Engine'!F72</f>
      </c>
    </row>
    <row r="73" spans="1:8" x14ac:dyDescent="0.25">
      <c r="A73">
        <f>'Difference Engine'!A73</f>
      </c>
      <c r="B73">
        <f>'Difference Engine'!G73</f>
      </c>
      <c r="C73">
        <f>'Difference Engine'!I73</f>
      </c>
      <c r="D73">
        <f>'Difference Engine'!B73</f>
      </c>
      <c r="E73">
        <f>'Difference Engine'!E73</f>
      </c>
      <c r="F73">
        <f>IF(AND(ISNUMBER(D73),ISNUMBER(E73)),D73+E73,D73)</f>
      </c>
      <c r="G73">
        <f>'Difference Engine'!C73</f>
      </c>
      <c r="H73">
        <f>'Difference Engine'!F73</f>
      </c>
    </row>
    <row r="74" spans="1:8" x14ac:dyDescent="0.25">
      <c r="A74">
        <f>'Difference Engine'!A74</f>
      </c>
      <c r="B74">
        <f>'Difference Engine'!G74</f>
      </c>
      <c r="C74">
        <f>'Difference Engine'!I74</f>
      </c>
      <c r="D74">
        <f>'Difference Engine'!B74</f>
      </c>
      <c r="E74">
        <f>'Difference Engine'!E74</f>
      </c>
      <c r="F74">
        <f>IF(AND(ISNUMBER(D74),ISNUMBER(E74)),D74+E74,D74)</f>
      </c>
      <c r="G74">
        <f>'Difference Engine'!C74</f>
      </c>
      <c r="H74">
        <f>'Difference Engine'!F74</f>
      </c>
    </row>
    <row r="75" spans="1:8" x14ac:dyDescent="0.25">
      <c r="A75">
        <f>'Difference Engine'!A75</f>
      </c>
      <c r="B75">
        <f>'Difference Engine'!G75</f>
      </c>
      <c r="C75">
        <f>'Difference Engine'!I75</f>
      </c>
      <c r="D75">
        <f>'Difference Engine'!B75</f>
      </c>
      <c r="E75">
        <f>'Difference Engine'!E75</f>
      </c>
      <c r="F75">
        <f>IF(AND(ISNUMBER(D75),ISNUMBER(E75)),D75+E75,D75)</f>
      </c>
      <c r="G75">
        <f>'Difference Engine'!C75</f>
      </c>
      <c r="H75">
        <f>'Difference Engine'!F75</f>
      </c>
    </row>
    <row r="76" spans="1:8" x14ac:dyDescent="0.25">
      <c r="A76">
        <f>'Difference Engine'!A76</f>
      </c>
      <c r="B76">
        <f>'Difference Engine'!G76</f>
      </c>
      <c r="C76">
        <f>'Difference Engine'!I76</f>
      </c>
      <c r="D76">
        <f>'Difference Engine'!B76</f>
      </c>
      <c r="E76">
        <f>'Difference Engine'!E76</f>
      </c>
      <c r="F76">
        <f>IF(AND(ISNUMBER(D76),ISNUMBER(E76)),D76+E76,D76)</f>
      </c>
      <c r="G76">
        <f>'Difference Engine'!C76</f>
      </c>
      <c r="H76">
        <f>'Difference Engine'!F76</f>
      </c>
    </row>
    <row r="77" spans="1:8" x14ac:dyDescent="0.25">
      <c r="A77">
        <f>'Difference Engine'!A77</f>
      </c>
      <c r="B77">
        <f>'Difference Engine'!G77</f>
      </c>
      <c r="C77">
        <f>'Difference Engine'!I77</f>
      </c>
      <c r="D77">
        <f>'Difference Engine'!B77</f>
      </c>
      <c r="E77">
        <f>'Difference Engine'!E77</f>
      </c>
      <c r="F77">
        <f>IF(AND(ISNUMBER(D77),ISNUMBER(E77)),D77+E77,D77)</f>
      </c>
      <c r="G77">
        <f>'Difference Engine'!C77</f>
      </c>
      <c r="H77">
        <f>'Difference Engine'!F77</f>
      </c>
    </row>
    <row r="78" spans="1:8" x14ac:dyDescent="0.25">
      <c r="A78">
        <f>'Difference Engine'!A78</f>
      </c>
      <c r="B78">
        <f>'Difference Engine'!G78</f>
      </c>
      <c r="C78">
        <f>'Difference Engine'!I78</f>
      </c>
      <c r="D78">
        <f>'Difference Engine'!B78</f>
      </c>
      <c r="E78">
        <f>'Difference Engine'!E78</f>
      </c>
      <c r="F78">
        <f>IF(AND(ISNUMBER(D78),ISNUMBER(E78)),D78+E78,D78)</f>
      </c>
      <c r="G78">
        <f>'Difference Engine'!C78</f>
      </c>
      <c r="H78">
        <f>'Difference Engine'!F78</f>
      </c>
    </row>
    <row r="79" spans="1:8" x14ac:dyDescent="0.25">
      <c r="A79">
        <f>'Difference Engine'!A79</f>
      </c>
      <c r="B79">
        <f>'Difference Engine'!G79</f>
      </c>
      <c r="C79">
        <f>'Difference Engine'!I79</f>
      </c>
      <c r="D79">
        <f>'Difference Engine'!B79</f>
      </c>
      <c r="E79">
        <f>'Difference Engine'!E79</f>
      </c>
      <c r="F79">
        <f>IF(AND(ISNUMBER(D79),ISNUMBER(E79)),D79+E79,D79)</f>
      </c>
      <c r="G79">
        <f>'Difference Engine'!C79</f>
      </c>
      <c r="H79">
        <f>'Difference Engine'!F79</f>
      </c>
    </row>
    <row r="80" spans="1:8" x14ac:dyDescent="0.25">
      <c r="A80">
        <f>'Difference Engine'!A80</f>
      </c>
      <c r="B80">
        <f>'Difference Engine'!G80</f>
      </c>
      <c r="C80">
        <f>'Difference Engine'!I80</f>
      </c>
      <c r="D80">
        <f>'Difference Engine'!B80</f>
      </c>
      <c r="E80">
        <f>'Difference Engine'!E80</f>
      </c>
      <c r="F80">
        <f>IF(AND(ISNUMBER(D80),ISNUMBER(E80)),D80+E80,D80)</f>
      </c>
      <c r="G80">
        <f>'Difference Engine'!C80</f>
      </c>
      <c r="H80">
        <f>'Difference Engine'!F80</f>
      </c>
    </row>
    <row r="81" spans="1:8" x14ac:dyDescent="0.25">
      <c r="A81">
        <f>'Difference Engine'!A81</f>
      </c>
      <c r="B81">
        <f>'Difference Engine'!G81</f>
      </c>
      <c r="C81">
        <f>'Difference Engine'!I81</f>
      </c>
      <c r="D81">
        <f>'Difference Engine'!B81</f>
      </c>
      <c r="E81">
        <f>'Difference Engine'!E81</f>
      </c>
      <c r="F81">
        <f>IF(AND(ISNUMBER(D81),ISNUMBER(E81)),D81+E81,D81)</f>
      </c>
      <c r="G81">
        <f>'Difference Engine'!C81</f>
      </c>
      <c r="H81">
        <f>'Difference Engine'!F81</f>
      </c>
    </row>
    <row r="82" spans="1:8" x14ac:dyDescent="0.25">
      <c r="A82">
        <f>'Difference Engine'!A82</f>
      </c>
      <c r="B82">
        <f>'Difference Engine'!G82</f>
      </c>
      <c r="C82">
        <f>'Difference Engine'!I82</f>
      </c>
      <c r="D82">
        <f>'Difference Engine'!B82</f>
      </c>
      <c r="E82">
        <f>'Difference Engine'!E82</f>
      </c>
      <c r="F82">
        <f>IF(AND(ISNUMBER(D82),ISNUMBER(E82)),D82+E82,D82)</f>
      </c>
      <c r="G82">
        <f>'Difference Engine'!C82</f>
      </c>
      <c r="H82">
        <f>'Difference Engine'!F82</f>
      </c>
    </row>
    <row r="83" spans="1:8" x14ac:dyDescent="0.25">
      <c r="A83">
        <f>'Difference Engine'!A83</f>
      </c>
      <c r="B83">
        <f>'Difference Engine'!G83</f>
      </c>
      <c r="C83">
        <f>'Difference Engine'!I83</f>
      </c>
      <c r="D83">
        <f>'Difference Engine'!B83</f>
      </c>
      <c r="E83">
        <f>'Difference Engine'!E83</f>
      </c>
      <c r="F83">
        <f>IF(AND(ISNUMBER(D83),ISNUMBER(E83)),D83+E83,D83)</f>
      </c>
      <c r="G83">
        <f>'Difference Engine'!C83</f>
      </c>
      <c r="H83">
        <f>'Difference Engine'!F83</f>
      </c>
    </row>
    <row r="84" spans="1:8" x14ac:dyDescent="0.25">
      <c r="A84">
        <f>'Difference Engine'!A84</f>
      </c>
      <c r="B84">
        <f>'Difference Engine'!G84</f>
      </c>
      <c r="C84">
        <f>'Difference Engine'!I84</f>
      </c>
      <c r="D84">
        <f>'Difference Engine'!B84</f>
      </c>
      <c r="E84">
        <f>'Difference Engine'!E84</f>
      </c>
      <c r="F84">
        <f>IF(AND(ISNUMBER(D84),ISNUMBER(E84)),D84+E84,D84)</f>
      </c>
      <c r="G84">
        <f>'Difference Engine'!C84</f>
      </c>
      <c r="H84">
        <f>'Difference Engine'!F84</f>
      </c>
    </row>
    <row r="85" spans="1:8" x14ac:dyDescent="0.25">
      <c r="A85">
        <f>'Difference Engine'!A85</f>
      </c>
      <c r="B85">
        <f>'Difference Engine'!G85</f>
      </c>
      <c r="C85">
        <f>'Difference Engine'!I85</f>
      </c>
      <c r="D85">
        <f>'Difference Engine'!B85</f>
      </c>
      <c r="E85">
        <f>'Difference Engine'!E85</f>
      </c>
      <c r="F85">
        <f>IF(AND(ISNUMBER(D85),ISNUMBER(E85)),D85+E85,D85)</f>
      </c>
      <c r="G85">
        <f>'Difference Engine'!C85</f>
      </c>
      <c r="H85">
        <f>'Difference Engine'!F85</f>
      </c>
    </row>
    <row r="86" spans="1:8" x14ac:dyDescent="0.25">
      <c r="A86">
        <f>'Difference Engine'!A86</f>
      </c>
      <c r="B86">
        <f>'Difference Engine'!G86</f>
      </c>
      <c r="C86">
        <f>'Difference Engine'!I86</f>
      </c>
      <c r="D86">
        <f>'Difference Engine'!B86</f>
      </c>
      <c r="E86">
        <f>'Difference Engine'!E86</f>
      </c>
      <c r="F86">
        <f>IF(AND(ISNUMBER(D86),ISNUMBER(E86)),D86+E86,D86)</f>
      </c>
      <c r="G86">
        <f>'Difference Engine'!C86</f>
      </c>
      <c r="H86">
        <f>'Difference Engine'!F86</f>
      </c>
    </row>
    <row r="87" spans="1:8" x14ac:dyDescent="0.25">
      <c r="A87">
        <f>'Difference Engine'!A87</f>
      </c>
      <c r="B87">
        <f>'Difference Engine'!G87</f>
      </c>
      <c r="C87">
        <f>'Difference Engine'!I87</f>
      </c>
      <c r="D87">
        <f>'Difference Engine'!B87</f>
      </c>
      <c r="E87">
        <f>'Difference Engine'!E87</f>
      </c>
      <c r="F87">
        <f>IF(AND(ISNUMBER(D87),ISNUMBER(E87)),D87+E87,D87)</f>
      </c>
      <c r="G87">
        <f>'Difference Engine'!C87</f>
      </c>
      <c r="H87">
        <f>'Difference Engine'!F87</f>
      </c>
    </row>
    <row r="88" spans="1:8" x14ac:dyDescent="0.25">
      <c r="A88">
        <f>'Difference Engine'!A88</f>
      </c>
      <c r="B88">
        <f>'Difference Engine'!G88</f>
      </c>
      <c r="C88">
        <f>'Difference Engine'!I88</f>
      </c>
      <c r="D88">
        <f>'Difference Engine'!B88</f>
      </c>
      <c r="E88">
        <f>'Difference Engine'!E88</f>
      </c>
      <c r="F88">
        <f>IF(AND(ISNUMBER(D88),ISNUMBER(E88)),D88+E88,D88)</f>
      </c>
      <c r="G88">
        <f>'Difference Engine'!C88</f>
      </c>
      <c r="H88">
        <f>'Difference Engine'!F88</f>
      </c>
    </row>
    <row r="89" spans="1:8" x14ac:dyDescent="0.25">
      <c r="A89">
        <f>'Difference Engine'!A89</f>
      </c>
      <c r="B89">
        <f>'Difference Engine'!G89</f>
      </c>
      <c r="C89">
        <f>'Difference Engine'!I89</f>
      </c>
      <c r="D89">
        <f>'Difference Engine'!B89</f>
      </c>
      <c r="E89">
        <f>'Difference Engine'!E89</f>
      </c>
      <c r="F89">
        <f>IF(AND(ISNUMBER(D89),ISNUMBER(E89)),D89+E89,D89)</f>
      </c>
      <c r="G89">
        <f>'Difference Engine'!C89</f>
      </c>
      <c r="H89">
        <f>'Difference Engine'!F89</f>
      </c>
    </row>
    <row r="90" spans="1:8" x14ac:dyDescent="0.25">
      <c r="A90">
        <f>'Difference Engine'!A90</f>
      </c>
      <c r="B90">
        <f>'Difference Engine'!G90</f>
      </c>
      <c r="C90">
        <f>'Difference Engine'!I90</f>
      </c>
      <c r="D90">
        <f>'Difference Engine'!B90</f>
      </c>
      <c r="E90">
        <f>'Difference Engine'!E90</f>
      </c>
      <c r="F90">
        <f>IF(AND(ISNUMBER(D90),ISNUMBER(E90)),D90+E90,D90)</f>
      </c>
      <c r="G90">
        <f>'Difference Engine'!C90</f>
      </c>
      <c r="H90">
        <f>'Difference Engine'!F90</f>
      </c>
    </row>
    <row r="91" spans="1:8" x14ac:dyDescent="0.25">
      <c r="A91">
        <f>'Difference Engine'!A91</f>
      </c>
      <c r="B91">
        <f>'Difference Engine'!G91</f>
      </c>
      <c r="C91">
        <f>'Difference Engine'!I91</f>
      </c>
      <c r="D91">
        <f>'Difference Engine'!B91</f>
      </c>
      <c r="E91">
        <f>'Difference Engine'!E91</f>
      </c>
      <c r="F91">
        <f>IF(AND(ISNUMBER(D91),ISNUMBER(E91)),D91+E91,D91)</f>
      </c>
      <c r="G91">
        <f>'Difference Engine'!C91</f>
      </c>
      <c r="H91">
        <f>'Difference Engine'!F91</f>
      </c>
    </row>
    <row r="92" spans="1:8" x14ac:dyDescent="0.25">
      <c r="A92">
        <f>'Difference Engine'!A92</f>
      </c>
      <c r="B92">
        <f>'Difference Engine'!G92</f>
      </c>
      <c r="C92">
        <f>'Difference Engine'!I92</f>
      </c>
      <c r="D92">
        <f>'Difference Engine'!B92</f>
      </c>
      <c r="E92">
        <f>'Difference Engine'!E92</f>
      </c>
      <c r="F92">
        <f>IF(AND(ISNUMBER(D92),ISNUMBER(E92)),D92+E92,D92)</f>
      </c>
      <c r="G92">
        <f>'Difference Engine'!C92</f>
      </c>
      <c r="H92">
        <f>'Difference Engine'!F92</f>
      </c>
    </row>
    <row r="93" spans="1:8" x14ac:dyDescent="0.25">
      <c r="A93">
        <f>'Difference Engine'!A93</f>
      </c>
      <c r="B93">
        <f>'Difference Engine'!G93</f>
      </c>
      <c r="C93">
        <f>'Difference Engine'!I93</f>
      </c>
      <c r="D93">
        <f>'Difference Engine'!B93</f>
      </c>
      <c r="E93">
        <f>'Difference Engine'!E93</f>
      </c>
      <c r="F93">
        <f>IF(AND(ISNUMBER(D93),ISNUMBER(E93)),D93+E93,D93)</f>
      </c>
      <c r="G93">
        <f>'Difference Engine'!C93</f>
      </c>
      <c r="H93">
        <f>'Difference Engine'!F93</f>
      </c>
    </row>
    <row r="94" spans="1:8" x14ac:dyDescent="0.25">
      <c r="A94">
        <f>'Difference Engine'!A94</f>
      </c>
      <c r="B94">
        <f>'Difference Engine'!G94</f>
      </c>
      <c r="C94">
        <f>'Difference Engine'!I94</f>
      </c>
      <c r="D94">
        <f>'Difference Engine'!B94</f>
      </c>
      <c r="E94">
        <f>'Difference Engine'!E94</f>
      </c>
      <c r="F94">
        <f>IF(AND(ISNUMBER(D94),ISNUMBER(E94)),D94+E94,D94)</f>
      </c>
      <c r="G94">
        <f>'Difference Engine'!C94</f>
      </c>
      <c r="H94">
        <f>'Difference Engine'!F94</f>
      </c>
    </row>
    <row r="95" spans="1:8" x14ac:dyDescent="0.25">
      <c r="A95">
        <f>'Difference Engine'!A95</f>
      </c>
      <c r="B95">
        <f>'Difference Engine'!G95</f>
      </c>
      <c r="C95">
        <f>'Difference Engine'!I95</f>
      </c>
      <c r="D95">
        <f>'Difference Engine'!B95</f>
      </c>
      <c r="E95">
        <f>'Difference Engine'!E95</f>
      </c>
      <c r="F95">
        <f>IF(AND(ISNUMBER(D95),ISNUMBER(E95)),D95+E95,D95)</f>
      </c>
      <c r="G95">
        <f>'Difference Engine'!C95</f>
      </c>
      <c r="H95">
        <f>'Difference Engine'!F95</f>
      </c>
    </row>
    <row r="96" spans="1:8" x14ac:dyDescent="0.25">
      <c r="A96">
        <f>'Difference Engine'!A96</f>
      </c>
      <c r="B96">
        <f>'Difference Engine'!G96</f>
      </c>
      <c r="C96">
        <f>'Difference Engine'!I96</f>
      </c>
      <c r="D96">
        <f>'Difference Engine'!B96</f>
      </c>
      <c r="E96">
        <f>'Difference Engine'!E96</f>
      </c>
      <c r="F96">
        <f>IF(AND(ISNUMBER(D96),ISNUMBER(E96)),D96+E96,D96)</f>
      </c>
      <c r="G96">
        <f>'Difference Engine'!C96</f>
      </c>
      <c r="H96">
        <f>'Difference Engine'!F96</f>
      </c>
    </row>
  </sheetData>
  <conditionalFormatting sqref="H2:H96">
    <cfRule type="containsText" dxfId="38" priority="1">
      <formula>NOT(ISERROR(SEARCH("PASS",H2)))</formula>
    </cfRule>
    <cfRule type="containsText" dxfId="39" priority="2">
      <formula>NOT(ISERROR(SEARCH("FAIL",H2)))</formula>
    </cfRule>
    <cfRule type="containsText" dxfId="40" priority="3">
      <formula>NOT(ISERROR(SEARCH("WAIT",H2)))</formula>
    </cfRule>
    <cfRule type="containsText" dxfId="41" priority="4">
      <formula>NOT(ISERROR(SEARCH("DO NOT PROMOTE",H2)))</formula>
    </cfRule>
    <cfRule type="containsText" dxfId="42" priority="5">
      <formula>NOT(ISERROR(SEARCH("READY FOR PROMOTION",H2)))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0" customWidth="1"/>
    <col min="3" max="3" width="36" customWidth="1"/>
    <col min="4" max="4" width="10" customWidth="1"/>
    <col min="5" max="5" width="18" customWidth="1"/>
  </cols>
  <sheetData>
    <row r="1" spans="1:5" x14ac:dyDescent="0.25">
      <c r="A1" s="8" t="s">
        <v>152</v>
      </c>
      <c r="B1" s="8" t="s">
        <v>159</v>
      </c>
      <c r="C1" s="8" t="s">
        <v>158</v>
      </c>
      <c r="D1" s="8" t="s">
        <v>160</v>
      </c>
      <c r="E1" s="8" t="s">
        <v>492</v>
      </c>
    </row>
    <row r="2" spans="1:5" x14ac:dyDescent="0.25">
      <c r="A2" t="s">
        <v>162</v>
      </c>
      <c r="B2" t="s">
        <v>164</v>
      </c>
      <c r="C2" t="s">
        <v>163</v>
      </c>
      <c r="D2" t="s">
        <v>165</v>
      </c>
      <c r="E2">
        <f>'[FinanceOS_v1.0-QA-RC1.xlsx]Business Engine'!B4</f>
      </c>
    </row>
    <row r="3" spans="1:5" x14ac:dyDescent="0.25">
      <c r="A3" t="s">
        <v>167</v>
      </c>
      <c r="B3" t="s">
        <v>164</v>
      </c>
      <c r="C3" t="s">
        <v>168</v>
      </c>
      <c r="D3" t="s">
        <v>169</v>
      </c>
      <c r="E3">
        <f>'[FinanceOS_v1.0-QA-RC1.xlsx]Business Engine'!B5</f>
      </c>
    </row>
    <row r="4" spans="1:5" x14ac:dyDescent="0.25">
      <c r="A4" t="s">
        <v>170</v>
      </c>
      <c r="B4" t="s">
        <v>164</v>
      </c>
      <c r="C4" t="s">
        <v>171</v>
      </c>
      <c r="D4" t="s">
        <v>172</v>
      </c>
      <c r="E4">
        <f>'[FinanceOS_v1.0-QA-RC1.xlsx]Business Engine'!B6</f>
      </c>
    </row>
    <row r="5" spans="1:5" x14ac:dyDescent="0.25">
      <c r="A5" t="s">
        <v>173</v>
      </c>
      <c r="B5" t="s">
        <v>164</v>
      </c>
      <c r="C5" t="s">
        <v>174</v>
      </c>
      <c r="D5" t="s">
        <v>175</v>
      </c>
      <c r="E5">
        <f>'[FinanceOS_v1.0-QA-RC1.xlsx]Business Engine'!B7</f>
      </c>
    </row>
    <row r="6" spans="1:5" x14ac:dyDescent="0.25">
      <c r="A6" t="s">
        <v>176</v>
      </c>
      <c r="B6" t="s">
        <v>164</v>
      </c>
      <c r="C6" t="s">
        <v>177</v>
      </c>
      <c r="D6" t="s">
        <v>178</v>
      </c>
      <c r="E6">
        <f>'[FinanceOS_v1.0-QA-RC1.xlsx]Business Engine'!B8</f>
      </c>
    </row>
    <row r="7" spans="1:5" x14ac:dyDescent="0.25">
      <c r="A7" t="s">
        <v>179</v>
      </c>
      <c r="B7" t="s">
        <v>164</v>
      </c>
      <c r="C7" t="s">
        <v>180</v>
      </c>
      <c r="D7" t="s">
        <v>181</v>
      </c>
      <c r="E7">
        <f>'[FinanceOS_v1.0-QA-RC1.xlsx]Business Engine'!B9</f>
      </c>
    </row>
    <row r="8" spans="1:5" x14ac:dyDescent="0.25">
      <c r="A8" t="s">
        <v>182</v>
      </c>
      <c r="B8" t="s">
        <v>184</v>
      </c>
      <c r="C8" t="s">
        <v>183</v>
      </c>
      <c r="D8" t="s">
        <v>185</v>
      </c>
      <c r="E8">
        <f>'[FinanceOS_v1.0-QA-RC1.xlsx]Business Engine'!B12</f>
      </c>
    </row>
    <row r="9" spans="1:5" x14ac:dyDescent="0.25">
      <c r="A9" t="s">
        <v>186</v>
      </c>
      <c r="B9" t="s">
        <v>184</v>
      </c>
      <c r="C9" t="s">
        <v>187</v>
      </c>
      <c r="D9" t="s">
        <v>188</v>
      </c>
      <c r="E9">
        <f>'[FinanceOS_v1.0-QA-RC1.xlsx]Business Engine'!B13</f>
      </c>
    </row>
    <row r="10" spans="1:5" x14ac:dyDescent="0.25">
      <c r="A10" t="s">
        <v>189</v>
      </c>
      <c r="B10" t="s">
        <v>184</v>
      </c>
      <c r="C10" t="s">
        <v>190</v>
      </c>
      <c r="D10" t="s">
        <v>191</v>
      </c>
      <c r="E10">
        <f>'[FinanceOS_v1.0-QA-RC1.xlsx]Business Engine'!B14</f>
      </c>
    </row>
    <row r="11" spans="1:5" x14ac:dyDescent="0.25">
      <c r="A11" t="s">
        <v>192</v>
      </c>
      <c r="B11" t="s">
        <v>184</v>
      </c>
      <c r="C11" t="s">
        <v>193</v>
      </c>
      <c r="D11" t="s">
        <v>194</v>
      </c>
      <c r="E11">
        <f>'[FinanceOS_v1.0-QA-RC1.xlsx]Business Engine'!B15</f>
      </c>
    </row>
    <row r="12" spans="1:5" x14ac:dyDescent="0.25">
      <c r="A12" t="s">
        <v>195</v>
      </c>
      <c r="B12" t="s">
        <v>184</v>
      </c>
      <c r="C12" t="s">
        <v>196</v>
      </c>
      <c r="D12" t="s">
        <v>197</v>
      </c>
      <c r="E12">
        <f>'[FinanceOS_v1.0-QA-RC1.xlsx]Business Engine'!B16</f>
      </c>
    </row>
    <row r="13" spans="1:5" x14ac:dyDescent="0.25">
      <c r="A13" t="s">
        <v>198</v>
      </c>
      <c r="B13" t="s">
        <v>184</v>
      </c>
      <c r="C13" t="s">
        <v>199</v>
      </c>
      <c r="D13" t="s">
        <v>200</v>
      </c>
      <c r="E13">
        <f>'[FinanceOS_v1.0-QA-RC1.xlsx]Business Engine'!B17</f>
      </c>
    </row>
    <row r="14" spans="1:5" x14ac:dyDescent="0.25">
      <c r="A14" t="s">
        <v>201</v>
      </c>
      <c r="B14" t="s">
        <v>184</v>
      </c>
      <c r="C14" t="s">
        <v>202</v>
      </c>
      <c r="D14" t="s">
        <v>203</v>
      </c>
      <c r="E14">
        <f>'[FinanceOS_v1.0-QA-RC1.xlsx]Business Engine'!B18</f>
      </c>
    </row>
    <row r="15" spans="1:5" x14ac:dyDescent="0.25">
      <c r="A15" t="s">
        <v>204</v>
      </c>
      <c r="B15" t="s">
        <v>184</v>
      </c>
      <c r="C15" t="s">
        <v>205</v>
      </c>
      <c r="D15" t="s">
        <v>206</v>
      </c>
      <c r="E15">
        <f>'[FinanceOS_v1.0-QA-RC1.xlsx]Business Engine'!B19</f>
      </c>
    </row>
    <row r="16" spans="1:5" x14ac:dyDescent="0.25">
      <c r="A16" t="s">
        <v>207</v>
      </c>
      <c r="B16" t="s">
        <v>209</v>
      </c>
      <c r="C16" t="s">
        <v>208</v>
      </c>
      <c r="D16" t="s">
        <v>210</v>
      </c>
      <c r="E16">
        <f>'[FinanceOS_v1.0-QA-RC1.xlsx]Business Engine'!B22</f>
      </c>
    </row>
    <row r="17" spans="1:5" x14ac:dyDescent="0.25">
      <c r="A17" t="s">
        <v>211</v>
      </c>
      <c r="B17" t="s">
        <v>209</v>
      </c>
      <c r="C17" t="s">
        <v>212</v>
      </c>
      <c r="D17" t="s">
        <v>213</v>
      </c>
      <c r="E17">
        <f>'[FinanceOS_v1.0-QA-RC1.xlsx]Business Engine'!B23</f>
      </c>
    </row>
    <row r="18" spans="1:5" x14ac:dyDescent="0.25">
      <c r="A18" t="s">
        <v>214</v>
      </c>
      <c r="B18" t="s">
        <v>209</v>
      </c>
      <c r="C18" t="s">
        <v>215</v>
      </c>
      <c r="D18" t="s">
        <v>216</v>
      </c>
      <c r="E18">
        <f>'[FinanceOS_v1.0-QA-RC1.xlsx]Business Engine'!B24</f>
      </c>
    </row>
    <row r="19" spans="1:5" x14ac:dyDescent="0.25">
      <c r="A19" t="s">
        <v>217</v>
      </c>
      <c r="B19" t="s">
        <v>209</v>
      </c>
      <c r="C19" t="s">
        <v>218</v>
      </c>
      <c r="D19" t="s">
        <v>219</v>
      </c>
      <c r="E19">
        <f>'[FinanceOS_v1.0-QA-RC1.xlsx]Business Engine'!B25</f>
      </c>
    </row>
    <row r="20" spans="1:5" x14ac:dyDescent="0.25">
      <c r="A20" t="s">
        <v>220</v>
      </c>
      <c r="B20" t="s">
        <v>222</v>
      </c>
      <c r="C20" t="s">
        <v>221</v>
      </c>
      <c r="D20" t="s">
        <v>223</v>
      </c>
      <c r="E20">
        <f>'[FinanceOS_v1.0-QA-RC1.xlsx]Business Engine'!B28</f>
      </c>
    </row>
    <row r="21" spans="1:5" x14ac:dyDescent="0.25">
      <c r="A21" t="s">
        <v>224</v>
      </c>
      <c r="B21" t="s">
        <v>222</v>
      </c>
      <c r="C21" t="s">
        <v>225</v>
      </c>
      <c r="D21" t="s">
        <v>226</v>
      </c>
      <c r="E21">
        <f>'[FinanceOS_v1.0-QA-RC1.xlsx]Business Engine'!B29</f>
      </c>
    </row>
    <row r="22" spans="1:5" x14ac:dyDescent="0.25">
      <c r="A22" t="s">
        <v>227</v>
      </c>
      <c r="B22" t="s">
        <v>222</v>
      </c>
      <c r="C22" t="s">
        <v>228</v>
      </c>
      <c r="D22" t="s">
        <v>229</v>
      </c>
      <c r="E22">
        <f>'[FinanceOS_v1.0-QA-RC1.xlsx]Business Engine'!B30</f>
      </c>
    </row>
    <row r="23" spans="1:5" x14ac:dyDescent="0.25">
      <c r="A23" t="s">
        <v>230</v>
      </c>
      <c r="B23" t="s">
        <v>222</v>
      </c>
      <c r="C23" t="s">
        <v>231</v>
      </c>
      <c r="D23" t="s">
        <v>232</v>
      </c>
      <c r="E23">
        <f>'[FinanceOS_v1.0-QA-RC1.xlsx]Business Engine'!B31</f>
      </c>
    </row>
    <row r="24" spans="1:5" x14ac:dyDescent="0.25">
      <c r="A24" t="s">
        <v>233</v>
      </c>
      <c r="B24" t="s">
        <v>235</v>
      </c>
      <c r="C24" t="s">
        <v>234</v>
      </c>
      <c r="D24" t="s">
        <v>236</v>
      </c>
      <c r="E24">
        <f>'[FinanceOS_v1.0-QA-RC1.xlsx]Business Engine'!B34</f>
      </c>
    </row>
    <row r="25" spans="1:5" x14ac:dyDescent="0.25">
      <c r="A25" t="s">
        <v>237</v>
      </c>
      <c r="B25" t="s">
        <v>235</v>
      </c>
      <c r="C25" t="s">
        <v>238</v>
      </c>
      <c r="D25" t="s">
        <v>239</v>
      </c>
      <c r="E25">
        <f>'[FinanceOS_v1.0-QA-RC1.xlsx]Business Engine'!B35</f>
      </c>
    </row>
    <row r="26" spans="1:5" x14ac:dyDescent="0.25">
      <c r="A26" t="s">
        <v>240</v>
      </c>
      <c r="B26" t="s">
        <v>235</v>
      </c>
      <c r="C26" t="s">
        <v>241</v>
      </c>
      <c r="D26" t="s">
        <v>242</v>
      </c>
      <c r="E26">
        <f>'[FinanceOS_v1.0-QA-RC1.xlsx]Business Engine'!B36</f>
      </c>
    </row>
    <row r="27" spans="1:5" x14ac:dyDescent="0.25">
      <c r="A27" t="s">
        <v>243</v>
      </c>
      <c r="B27" t="s">
        <v>235</v>
      </c>
      <c r="C27" t="s">
        <v>244</v>
      </c>
      <c r="D27" t="s">
        <v>245</v>
      </c>
      <c r="E27">
        <f>'[FinanceOS_v1.0-QA-RC1.xlsx]Business Engine'!B37</f>
      </c>
    </row>
    <row r="28" spans="1:5" x14ac:dyDescent="0.25">
      <c r="A28" t="s">
        <v>246</v>
      </c>
      <c r="B28" t="s">
        <v>235</v>
      </c>
      <c r="C28" t="s">
        <v>247</v>
      </c>
      <c r="D28" t="s">
        <v>248</v>
      </c>
      <c r="E28">
        <f>'[FinanceOS_v1.0-QA-RC1.xlsx]Business Engine'!B38</f>
      </c>
    </row>
    <row r="29" spans="1:5" x14ac:dyDescent="0.25">
      <c r="A29" t="s">
        <v>249</v>
      </c>
      <c r="B29" t="s">
        <v>251</v>
      </c>
      <c r="C29" t="s">
        <v>250</v>
      </c>
      <c r="D29" t="s">
        <v>252</v>
      </c>
      <c r="E29">
        <f>'[FinanceOS_v1.0-QA-RC1.xlsx]Business Engine'!B41</f>
      </c>
    </row>
    <row r="30" spans="1:5" x14ac:dyDescent="0.25">
      <c r="A30" t="s">
        <v>253</v>
      </c>
      <c r="B30" t="s">
        <v>251</v>
      </c>
      <c r="C30" t="s">
        <v>254</v>
      </c>
      <c r="D30" t="s">
        <v>255</v>
      </c>
      <c r="E30">
        <f>'[FinanceOS_v1.0-QA-RC1.xlsx]Business Engine'!B42</f>
      </c>
    </row>
    <row r="31" spans="1:5" x14ac:dyDescent="0.25">
      <c r="A31" t="s">
        <v>256</v>
      </c>
      <c r="B31" t="s">
        <v>251</v>
      </c>
      <c r="C31" t="s">
        <v>257</v>
      </c>
      <c r="D31" t="s">
        <v>258</v>
      </c>
      <c r="E31">
        <f>'[FinanceOS_v1.0-QA-RC1.xlsx]Business Engine'!B43</f>
      </c>
    </row>
    <row r="32" spans="1:5" x14ac:dyDescent="0.25">
      <c r="A32" t="s">
        <v>259</v>
      </c>
      <c r="B32" t="s">
        <v>251</v>
      </c>
      <c r="C32" t="s">
        <v>260</v>
      </c>
      <c r="D32" t="s">
        <v>261</v>
      </c>
      <c r="E32">
        <f>'[FinanceOS_v1.0-QA-RC1.xlsx]Business Engine'!B44</f>
      </c>
    </row>
    <row r="33" spans="1:5" x14ac:dyDescent="0.25">
      <c r="A33" t="s">
        <v>262</v>
      </c>
      <c r="B33" t="s">
        <v>251</v>
      </c>
      <c r="C33" t="s">
        <v>263</v>
      </c>
      <c r="D33" t="s">
        <v>264</v>
      </c>
      <c r="E33">
        <f>'[FinanceOS_v1.0-QA-RC1.xlsx]Business Engine'!B45</f>
      </c>
    </row>
    <row r="34" spans="1:5" x14ac:dyDescent="0.25">
      <c r="A34" t="s">
        <v>265</v>
      </c>
      <c r="B34" t="s">
        <v>266</v>
      </c>
      <c r="C34" t="s">
        <v>266</v>
      </c>
      <c r="D34" t="s">
        <v>267</v>
      </c>
      <c r="E34">
        <f>'[FinanceOS_v1.0-QA-RC1.xlsx]Business Engine'!B48</f>
      </c>
    </row>
    <row r="35" spans="1:5" x14ac:dyDescent="0.25">
      <c r="A35" t="s">
        <v>268</v>
      </c>
      <c r="B35" t="s">
        <v>266</v>
      </c>
      <c r="C35" t="s">
        <v>269</v>
      </c>
      <c r="D35" t="s">
        <v>270</v>
      </c>
      <c r="E35">
        <f>'[FinanceOS_v1.0-QA-RC1.xlsx]Business Engine'!B49</f>
      </c>
    </row>
    <row r="36" spans="1:5" x14ac:dyDescent="0.25">
      <c r="A36" t="s">
        <v>271</v>
      </c>
      <c r="B36" t="s">
        <v>266</v>
      </c>
      <c r="C36" t="s">
        <v>272</v>
      </c>
      <c r="D36" t="s">
        <v>273</v>
      </c>
      <c r="E36">
        <f>'[FinanceOS_v1.0-QA-RC1.xlsx]Business Engine'!B50</f>
      </c>
    </row>
    <row r="37" spans="1:5" x14ac:dyDescent="0.25">
      <c r="A37" t="s">
        <v>274</v>
      </c>
      <c r="B37" t="s">
        <v>276</v>
      </c>
      <c r="C37" t="s">
        <v>275</v>
      </c>
      <c r="D37" t="s">
        <v>277</v>
      </c>
      <c r="E37">
        <f>'[FinanceOS_v1.0-QA-RC1.xlsx]Business Engine'!B53</f>
      </c>
    </row>
    <row r="38" spans="1:5" x14ac:dyDescent="0.25">
      <c r="A38" t="s">
        <v>278</v>
      </c>
      <c r="B38" t="s">
        <v>276</v>
      </c>
      <c r="C38" t="s">
        <v>279</v>
      </c>
      <c r="D38" t="s">
        <v>280</v>
      </c>
      <c r="E38">
        <f>'[FinanceOS_v1.0-QA-RC1.xlsx]Business Engine'!B54</f>
      </c>
    </row>
    <row r="39" spans="1:5" x14ac:dyDescent="0.25">
      <c r="A39" t="s">
        <v>281</v>
      </c>
      <c r="B39" t="s">
        <v>276</v>
      </c>
      <c r="C39" t="s">
        <v>282</v>
      </c>
      <c r="D39" t="s">
        <v>283</v>
      </c>
      <c r="E39">
        <f>'[FinanceOS_v1.0-QA-RC1.xlsx]Business Engine'!B55</f>
      </c>
    </row>
    <row r="40" spans="1:5" x14ac:dyDescent="0.25">
      <c r="A40" t="s">
        <v>284</v>
      </c>
      <c r="B40" t="s">
        <v>276</v>
      </c>
      <c r="C40" t="s">
        <v>285</v>
      </c>
      <c r="D40" t="s">
        <v>286</v>
      </c>
      <c r="E40">
        <f>'[FinanceOS_v1.0-QA-RC1.xlsx]Business Engine'!B56</f>
      </c>
    </row>
    <row r="41" spans="1:5" x14ac:dyDescent="0.25">
      <c r="A41" t="s">
        <v>287</v>
      </c>
      <c r="B41" t="s">
        <v>276</v>
      </c>
      <c r="C41" t="s">
        <v>288</v>
      </c>
      <c r="D41" t="s">
        <v>289</v>
      </c>
      <c r="E41">
        <f>'[FinanceOS_v1.0-QA-RC1.xlsx]Business Engine'!B57</f>
      </c>
    </row>
    <row r="42" spans="1:5" x14ac:dyDescent="0.25">
      <c r="A42" t="s">
        <v>290</v>
      </c>
      <c r="B42" t="s">
        <v>276</v>
      </c>
      <c r="C42" t="s">
        <v>291</v>
      </c>
      <c r="D42" t="s">
        <v>292</v>
      </c>
      <c r="E42">
        <f>'[FinanceOS_v1.0-QA-RC1.xlsx]Business Engine'!B58</f>
      </c>
    </row>
    <row r="43" spans="1:5" x14ac:dyDescent="0.25">
      <c r="A43" t="s">
        <v>293</v>
      </c>
      <c r="B43" t="s">
        <v>294</v>
      </c>
      <c r="C43" t="s">
        <v>56</v>
      </c>
      <c r="D43" t="s">
        <v>295</v>
      </c>
      <c r="E43">
        <f>'[FinanceOS_v1.0-QA-RC1.xlsx]Business Engine'!B61</f>
      </c>
    </row>
    <row r="44" spans="1:5" x14ac:dyDescent="0.25">
      <c r="A44" t="s">
        <v>296</v>
      </c>
      <c r="B44" t="s">
        <v>294</v>
      </c>
      <c r="C44" t="s">
        <v>297</v>
      </c>
      <c r="D44" t="s">
        <v>298</v>
      </c>
      <c r="E44">
        <f>'[FinanceOS_v1.0-QA-RC1.xlsx]Business Engine'!B62</f>
      </c>
    </row>
    <row r="45" spans="1:5" x14ac:dyDescent="0.25">
      <c r="A45" t="s">
        <v>299</v>
      </c>
      <c r="B45" t="s">
        <v>294</v>
      </c>
      <c r="C45" t="s">
        <v>300</v>
      </c>
      <c r="D45" t="s">
        <v>301</v>
      </c>
      <c r="E45">
        <f>'[FinanceOS_v1.0-QA-RC1.xlsx]Business Engine'!B63</f>
      </c>
    </row>
    <row r="46" spans="1:5" x14ac:dyDescent="0.25">
      <c r="A46" t="s">
        <v>302</v>
      </c>
      <c r="B46" t="s">
        <v>294</v>
      </c>
      <c r="C46" t="s">
        <v>303</v>
      </c>
      <c r="D46" t="s">
        <v>304</v>
      </c>
      <c r="E46">
        <f>'[FinanceOS_v1.0-QA-RC1.xlsx]Business Engine'!B64</f>
      </c>
    </row>
    <row r="47" spans="1:5" x14ac:dyDescent="0.25">
      <c r="A47" t="s">
        <v>305</v>
      </c>
      <c r="B47" t="s">
        <v>294</v>
      </c>
      <c r="C47" t="s">
        <v>266</v>
      </c>
      <c r="D47" t="s">
        <v>306</v>
      </c>
      <c r="E47">
        <f>'[FinanceOS_v1.0-QA-RC1.xlsx]Business Engine'!B65</f>
      </c>
    </row>
    <row r="48" spans="1:5" x14ac:dyDescent="0.25">
      <c r="A48" t="s">
        <v>307</v>
      </c>
      <c r="B48" t="s">
        <v>294</v>
      </c>
      <c r="C48" t="s">
        <v>308</v>
      </c>
      <c r="D48" t="s">
        <v>309</v>
      </c>
      <c r="E48">
        <f>'[FinanceOS_v1.0-QA-RC1.xlsx]Business Engine'!B66</f>
      </c>
    </row>
    <row r="49" spans="1:5" x14ac:dyDescent="0.25">
      <c r="A49" t="s">
        <v>310</v>
      </c>
      <c r="B49" t="s">
        <v>294</v>
      </c>
      <c r="C49" t="s">
        <v>311</v>
      </c>
      <c r="D49" t="s">
        <v>312</v>
      </c>
      <c r="E49">
        <f>'[FinanceOS_v1.0-QA-RC1.xlsx]Business Engine'!B67</f>
      </c>
    </row>
    <row r="50" spans="1:5" x14ac:dyDescent="0.25">
      <c r="A50" t="s">
        <v>313</v>
      </c>
      <c r="B50" t="s">
        <v>294</v>
      </c>
      <c r="C50" t="s">
        <v>314</v>
      </c>
      <c r="D50" t="s">
        <v>315</v>
      </c>
      <c r="E50">
        <f>'[FinanceOS_v1.0-QA-RC1.xlsx]Business Engine'!B68</f>
      </c>
    </row>
    <row r="51" spans="1:5" x14ac:dyDescent="0.25">
      <c r="A51" t="s">
        <v>46</v>
      </c>
      <c r="B51" t="s">
        <v>317</v>
      </c>
      <c r="C51" t="s">
        <v>316</v>
      </c>
      <c r="D51" t="s">
        <v>318</v>
      </c>
      <c r="E51">
        <f>'[FinanceOS_v1.0-QA-RC1.xlsx]Business Engine'!B1</f>
      </c>
    </row>
    <row r="52" spans="1:5" x14ac:dyDescent="0.25">
      <c r="A52" t="s">
        <v>319</v>
      </c>
      <c r="B52" t="s">
        <v>320</v>
      </c>
      <c r="C52" t="s">
        <v>316</v>
      </c>
      <c r="D52" t="s">
        <v>321</v>
      </c>
      <c r="E52">
        <f>'[FinanceOS_v1.0-QA-RC1.xlsx]Analysis Engine'!B2</f>
      </c>
    </row>
    <row r="53" spans="1:5" x14ac:dyDescent="0.25">
      <c r="A53" t="s">
        <v>322</v>
      </c>
      <c r="B53" t="s">
        <v>320</v>
      </c>
      <c r="C53" t="s">
        <v>323</v>
      </c>
      <c r="D53" t="s">
        <v>172</v>
      </c>
      <c r="E53">
        <f>'[FinanceOS_v1.0-QA-RC1.xlsx]Analysis Engine'!B6</f>
      </c>
    </row>
    <row r="54" spans="1:5" x14ac:dyDescent="0.25">
      <c r="A54" t="s">
        <v>324</v>
      </c>
      <c r="B54" t="s">
        <v>320</v>
      </c>
      <c r="C54" t="s">
        <v>325</v>
      </c>
      <c r="D54" t="s">
        <v>175</v>
      </c>
      <c r="E54">
        <f>'[FinanceOS_v1.0-QA-RC1.xlsx]Analysis Engine'!B7</f>
      </c>
    </row>
    <row r="55" spans="1:5" x14ac:dyDescent="0.25">
      <c r="A55" t="s">
        <v>326</v>
      </c>
      <c r="B55" t="s">
        <v>320</v>
      </c>
      <c r="C55" t="s">
        <v>327</v>
      </c>
      <c r="D55" t="s">
        <v>178</v>
      </c>
      <c r="E55">
        <f>'[FinanceOS_v1.0-QA-RC1.xlsx]Analysis Engine'!B8</f>
      </c>
    </row>
    <row r="56" spans="1:5" x14ac:dyDescent="0.25">
      <c r="A56" t="s">
        <v>328</v>
      </c>
      <c r="B56" t="s">
        <v>320</v>
      </c>
      <c r="C56" t="s">
        <v>329</v>
      </c>
      <c r="D56" t="s">
        <v>181</v>
      </c>
      <c r="E56">
        <f>'[FinanceOS_v1.0-QA-RC1.xlsx]Analysis Engine'!B9</f>
      </c>
    </row>
    <row r="57" spans="1:5" x14ac:dyDescent="0.25">
      <c r="A57" t="s">
        <v>330</v>
      </c>
      <c r="B57" t="s">
        <v>320</v>
      </c>
      <c r="C57" t="s">
        <v>331</v>
      </c>
      <c r="D57" t="s">
        <v>332</v>
      </c>
      <c r="E57">
        <f>'[FinanceOS_v1.0-QA-RC1.xlsx]Analysis Engine'!B10</f>
      </c>
    </row>
    <row r="58" spans="1:5" x14ac:dyDescent="0.25">
      <c r="A58" t="s">
        <v>333</v>
      </c>
      <c r="B58" t="s">
        <v>320</v>
      </c>
      <c r="C58" t="s">
        <v>334</v>
      </c>
      <c r="D58" t="s">
        <v>335</v>
      </c>
      <c r="E58">
        <f>'[FinanceOS_v1.0-QA-RC1.xlsx]Analysis Engine'!B11</f>
      </c>
    </row>
    <row r="59" spans="1:5" x14ac:dyDescent="0.25">
      <c r="A59" t="s">
        <v>336</v>
      </c>
      <c r="B59" t="s">
        <v>320</v>
      </c>
      <c r="C59" t="s">
        <v>337</v>
      </c>
      <c r="D59" t="s">
        <v>338</v>
      </c>
      <c r="E59">
        <f>'[FinanceOS_v1.0-QA-RC1.xlsx]Analysis Engine'!C6</f>
      </c>
    </row>
    <row r="60" spans="1:5" x14ac:dyDescent="0.25">
      <c r="A60" t="s">
        <v>339</v>
      </c>
      <c r="B60" t="s">
        <v>320</v>
      </c>
      <c r="C60" t="s">
        <v>340</v>
      </c>
      <c r="D60" t="s">
        <v>341</v>
      </c>
      <c r="E60">
        <f>'[FinanceOS_v1.0-QA-RC1.xlsx]Analysis Engine'!D6</f>
      </c>
    </row>
    <row r="61" spans="1:5" x14ac:dyDescent="0.25">
      <c r="A61" t="s">
        <v>342</v>
      </c>
      <c r="B61" t="s">
        <v>320</v>
      </c>
      <c r="C61" t="s">
        <v>343</v>
      </c>
      <c r="D61" t="s">
        <v>191</v>
      </c>
      <c r="E61">
        <f>'[FinanceOS_v1.0-QA-RC1.xlsx]Analysis Engine'!B14</f>
      </c>
    </row>
    <row r="62" spans="1:5" x14ac:dyDescent="0.25">
      <c r="A62" t="s">
        <v>344</v>
      </c>
      <c r="B62" t="s">
        <v>320</v>
      </c>
      <c r="C62" t="s">
        <v>345</v>
      </c>
      <c r="D62" t="s">
        <v>346</v>
      </c>
      <c r="E62">
        <f>'[FinanceOS_v1.0-QA-RC1.xlsx]Analysis Engine'!C14</f>
      </c>
    </row>
    <row r="63" spans="1:5" x14ac:dyDescent="0.25">
      <c r="A63" t="s">
        <v>347</v>
      </c>
      <c r="B63" t="s">
        <v>320</v>
      </c>
      <c r="C63" t="s">
        <v>348</v>
      </c>
      <c r="D63" t="s">
        <v>349</v>
      </c>
      <c r="E63">
        <f>'[FinanceOS_v1.0-QA-RC1.xlsx]Analysis Engine'!D14</f>
      </c>
    </row>
    <row r="64" spans="1:5" x14ac:dyDescent="0.25">
      <c r="A64" t="s">
        <v>350</v>
      </c>
      <c r="B64" t="s">
        <v>320</v>
      </c>
      <c r="C64" t="s">
        <v>351</v>
      </c>
      <c r="D64" t="s">
        <v>261</v>
      </c>
      <c r="E64">
        <f>'[FinanceOS_v1.0-QA-RC1.xlsx]Analysis Engine'!B44</f>
      </c>
    </row>
    <row r="65" spans="1:5" x14ac:dyDescent="0.25">
      <c r="A65" t="s">
        <v>352</v>
      </c>
      <c r="B65" t="s">
        <v>320</v>
      </c>
      <c r="C65" t="s">
        <v>353</v>
      </c>
      <c r="D65" t="s">
        <v>264</v>
      </c>
      <c r="E65">
        <f>'[FinanceOS_v1.0-QA-RC1.xlsx]Analysis Engine'!B45</f>
      </c>
    </row>
    <row r="66" spans="1:5" x14ac:dyDescent="0.25">
      <c r="A66" t="s">
        <v>354</v>
      </c>
      <c r="B66" t="s">
        <v>320</v>
      </c>
      <c r="C66" t="s">
        <v>355</v>
      </c>
      <c r="D66" t="s">
        <v>356</v>
      </c>
      <c r="E66">
        <f>'[FinanceOS_v1.0-QA-RC1.xlsx]Analysis Engine'!B46</f>
      </c>
    </row>
    <row r="67" spans="1:5" x14ac:dyDescent="0.25">
      <c r="A67" t="s">
        <v>357</v>
      </c>
      <c r="B67" t="s">
        <v>320</v>
      </c>
      <c r="C67" t="s">
        <v>358</v>
      </c>
      <c r="D67" t="s">
        <v>359</v>
      </c>
      <c r="E67">
        <f>'[FinanceOS_v1.0-QA-RC1.xlsx]Analysis Engine'!B47</f>
      </c>
    </row>
    <row r="68" spans="1:5" x14ac:dyDescent="0.25">
      <c r="A68" t="s">
        <v>360</v>
      </c>
      <c r="B68" t="s">
        <v>320</v>
      </c>
      <c r="C68" t="s">
        <v>212</v>
      </c>
      <c r="D68" t="s">
        <v>267</v>
      </c>
      <c r="E68">
        <f>'[FinanceOS_v1.0-QA-RC1.xlsx]Analysis Engine'!B48</f>
      </c>
    </row>
    <row r="69" spans="1:5" x14ac:dyDescent="0.25">
      <c r="A69" t="s">
        <v>361</v>
      </c>
      <c r="B69" t="s">
        <v>320</v>
      </c>
      <c r="C69" t="s">
        <v>362</v>
      </c>
      <c r="D69" t="s">
        <v>270</v>
      </c>
      <c r="E69">
        <f>'[FinanceOS_v1.0-QA-RC1.xlsx]Analysis Engine'!B49</f>
      </c>
    </row>
    <row r="70" spans="1:5" x14ac:dyDescent="0.25">
      <c r="A70" t="s">
        <v>363</v>
      </c>
      <c r="B70" t="s">
        <v>320</v>
      </c>
      <c r="C70" t="s">
        <v>364</v>
      </c>
      <c r="D70" t="s">
        <v>280</v>
      </c>
      <c r="E70">
        <f>'[FinanceOS_v1.0-QA-RC1.xlsx]Analysis Engine'!B54</f>
      </c>
    </row>
    <row r="71" spans="1:5" x14ac:dyDescent="0.25">
      <c r="A71" t="s">
        <v>365</v>
      </c>
      <c r="B71" t="s">
        <v>320</v>
      </c>
      <c r="C71" t="s">
        <v>366</v>
      </c>
      <c r="D71" t="s">
        <v>283</v>
      </c>
      <c r="E71">
        <f>'[FinanceOS_v1.0-QA-RC1.xlsx]Analysis Engine'!B55</f>
      </c>
    </row>
    <row r="72" spans="1:5" x14ac:dyDescent="0.25">
      <c r="A72" t="s">
        <v>367</v>
      </c>
      <c r="B72" t="s">
        <v>320</v>
      </c>
      <c r="C72" t="s">
        <v>368</v>
      </c>
      <c r="D72" t="s">
        <v>286</v>
      </c>
      <c r="E72">
        <f>'[FinanceOS_v1.0-QA-RC1.xlsx]Analysis Engine'!B56</f>
      </c>
    </row>
    <row r="73" spans="1:5" x14ac:dyDescent="0.25">
      <c r="A73" t="s">
        <v>369</v>
      </c>
      <c r="B73" t="s">
        <v>320</v>
      </c>
      <c r="C73" t="s">
        <v>370</v>
      </c>
      <c r="D73" t="s">
        <v>289</v>
      </c>
      <c r="E73">
        <f>'[FinanceOS_v1.0-QA-RC1.xlsx]Analysis Engine'!B57</f>
      </c>
    </row>
    <row r="74" spans="1:5" x14ac:dyDescent="0.25">
      <c r="A74" t="s">
        <v>371</v>
      </c>
      <c r="B74" t="s">
        <v>320</v>
      </c>
      <c r="C74" t="s">
        <v>247</v>
      </c>
      <c r="D74" t="s">
        <v>292</v>
      </c>
      <c r="E74">
        <f>'[FinanceOS_v1.0-QA-RC1.xlsx]Analysis Engine'!B58</f>
      </c>
    </row>
    <row r="75" spans="1:5" x14ac:dyDescent="0.25">
      <c r="A75" t="s">
        <v>372</v>
      </c>
      <c r="B75" t="s">
        <v>320</v>
      </c>
      <c r="C75" t="s">
        <v>250</v>
      </c>
      <c r="D75" t="s">
        <v>373</v>
      </c>
      <c r="E75">
        <f>'[FinanceOS_v1.0-QA-RC1.xlsx]Analysis Engine'!B74</f>
      </c>
    </row>
    <row r="76" spans="1:5" x14ac:dyDescent="0.25">
      <c r="A76" t="s">
        <v>374</v>
      </c>
      <c r="B76" t="s">
        <v>320</v>
      </c>
      <c r="C76" t="s">
        <v>375</v>
      </c>
      <c r="D76" t="s">
        <v>376</v>
      </c>
      <c r="E76">
        <f>'[FinanceOS_v1.0-QA-RC1.xlsx]Analysis Engine'!B75</f>
      </c>
    </row>
    <row r="77" spans="1:5" x14ac:dyDescent="0.25">
      <c r="A77" t="s">
        <v>377</v>
      </c>
      <c r="B77" t="s">
        <v>320</v>
      </c>
      <c r="C77" t="s">
        <v>257</v>
      </c>
      <c r="D77" t="s">
        <v>378</v>
      </c>
      <c r="E77">
        <f>'[FinanceOS_v1.0-QA-RC1.xlsx]Analysis Engine'!B76</f>
      </c>
    </row>
    <row r="78" spans="1:5" x14ac:dyDescent="0.25">
      <c r="A78" t="s">
        <v>379</v>
      </c>
      <c r="B78" t="s">
        <v>320</v>
      </c>
      <c r="C78" t="s">
        <v>260</v>
      </c>
      <c r="D78" t="s">
        <v>380</v>
      </c>
      <c r="E78">
        <f>'[FinanceOS_v1.0-QA-RC1.xlsx]Analysis Engine'!B77</f>
      </c>
    </row>
    <row r="79" spans="1:5" x14ac:dyDescent="0.25">
      <c r="A79" t="s">
        <v>381</v>
      </c>
      <c r="B79" t="s">
        <v>320</v>
      </c>
      <c r="C79" t="s">
        <v>263</v>
      </c>
      <c r="D79" t="s">
        <v>382</v>
      </c>
      <c r="E79">
        <f>'[FinanceOS_v1.0-QA-RC1.xlsx]Analysis Engine'!B79</f>
      </c>
    </row>
    <row r="80" spans="1:5" x14ac:dyDescent="0.25">
      <c r="A80" t="s">
        <v>383</v>
      </c>
      <c r="B80" t="s">
        <v>320</v>
      </c>
      <c r="C80" t="s">
        <v>308</v>
      </c>
      <c r="D80" t="s">
        <v>384</v>
      </c>
      <c r="E80">
        <f>'[FinanceOS_v1.0-QA-RC1.xlsx]Analysis Engine'!B80</f>
      </c>
    </row>
    <row r="81" spans="1:5" x14ac:dyDescent="0.25">
      <c r="A81" t="s">
        <v>385</v>
      </c>
      <c r="B81" t="s">
        <v>320</v>
      </c>
      <c r="C81" t="s">
        <v>314</v>
      </c>
      <c r="D81" t="s">
        <v>386</v>
      </c>
      <c r="E81">
        <f>'[FinanceOS_v1.0-QA-RC1.xlsx]Analysis Engine'!B81</f>
      </c>
    </row>
    <row r="82" spans="1:5" x14ac:dyDescent="0.25">
      <c r="A82" t="s">
        <v>387</v>
      </c>
      <c r="B82" t="s">
        <v>320</v>
      </c>
      <c r="C82" t="s">
        <v>388</v>
      </c>
      <c r="D82" t="s">
        <v>389</v>
      </c>
      <c r="E82">
        <f>'[FinanceOS_v1.0-QA-RC1.xlsx]Analysis Engine'!B107</f>
      </c>
    </row>
    <row r="83" spans="1:5" x14ac:dyDescent="0.25">
      <c r="A83" t="s">
        <v>390</v>
      </c>
      <c r="B83" t="s">
        <v>320</v>
      </c>
      <c r="C83" t="s">
        <v>291</v>
      </c>
      <c r="D83" t="s">
        <v>391</v>
      </c>
      <c r="E83">
        <f>'[FinanceOS_v1.0-QA-RC1.xlsx]Analysis Engine'!B108</f>
      </c>
    </row>
    <row r="84" spans="1:5" x14ac:dyDescent="0.25">
      <c r="A84" t="s">
        <v>392</v>
      </c>
      <c r="B84" t="s">
        <v>320</v>
      </c>
      <c r="C84" t="s">
        <v>285</v>
      </c>
      <c r="D84" t="s">
        <v>393</v>
      </c>
      <c r="E84">
        <f>'[FinanceOS_v1.0-QA-RC1.xlsx]Analysis Engine'!B109</f>
      </c>
    </row>
    <row r="85" spans="1:5" x14ac:dyDescent="0.25">
      <c r="A85" t="s">
        <v>394</v>
      </c>
      <c r="B85" t="s">
        <v>320</v>
      </c>
      <c r="C85" t="s">
        <v>395</v>
      </c>
      <c r="D85" t="s">
        <v>229</v>
      </c>
      <c r="E85">
        <f>'[FinanceOS_v1.0-QA-RC1.xlsx]Analysis Engine'!B30</f>
      </c>
    </row>
    <row r="86" spans="1:5" x14ac:dyDescent="0.25">
      <c r="A86" t="s">
        <v>396</v>
      </c>
      <c r="B86" t="s">
        <v>320</v>
      </c>
      <c r="C86" t="s">
        <v>397</v>
      </c>
      <c r="D86" t="s">
        <v>245</v>
      </c>
      <c r="E86">
        <f>'[FinanceOS_v1.0-QA-RC1.xlsx]Analysis Engine'!B37</f>
      </c>
    </row>
    <row r="87" spans="1:5" x14ac:dyDescent="0.25">
      <c r="A87" t="s">
        <v>398</v>
      </c>
      <c r="B87" t="s">
        <v>320</v>
      </c>
      <c r="C87" t="s">
        <v>399</v>
      </c>
      <c r="D87" t="s">
        <v>248</v>
      </c>
      <c r="E87">
        <f>'[FinanceOS_v1.0-QA-RC1.xlsx]Analysis Engine'!B38</f>
      </c>
    </row>
    <row r="88" spans="1:5" x14ac:dyDescent="0.25">
      <c r="A88" t="s">
        <v>400</v>
      </c>
      <c r="B88" t="s">
        <v>320</v>
      </c>
      <c r="C88" t="s">
        <v>401</v>
      </c>
      <c r="D88" t="s">
        <v>402</v>
      </c>
      <c r="E88">
        <f>'[FinanceOS_v1.0-QA-RC1.xlsx]Analysis Engine'!C37</f>
      </c>
    </row>
    <row r="89" spans="1:5" x14ac:dyDescent="0.25">
      <c r="A89" t="s">
        <v>403</v>
      </c>
      <c r="B89" t="s">
        <v>320</v>
      </c>
      <c r="C89" t="s">
        <v>404</v>
      </c>
      <c r="D89" t="s">
        <v>405</v>
      </c>
      <c r="E89">
        <f>'[FinanceOS_v1.0-QA-RC1.xlsx]Analysis Engine'!C38</f>
      </c>
    </row>
    <row r="90" spans="1:5" x14ac:dyDescent="0.25">
      <c r="A90" t="s">
        <v>406</v>
      </c>
      <c r="B90" t="s">
        <v>320</v>
      </c>
      <c r="C90" t="s">
        <v>407</v>
      </c>
      <c r="D90" t="s">
        <v>408</v>
      </c>
      <c r="E90">
        <f>'[FinanceOS_v1.0-QA-RC1.xlsx]Analysis Engine'!D38</f>
      </c>
    </row>
    <row r="91" spans="1:5" x14ac:dyDescent="0.25">
      <c r="A91" t="s">
        <v>409</v>
      </c>
      <c r="B91" t="s">
        <v>320</v>
      </c>
      <c r="C91" t="s">
        <v>410</v>
      </c>
      <c r="D91" t="s">
        <v>200</v>
      </c>
      <c r="E91">
        <f>'[FinanceOS_v1.0-QA-RC1.xlsx]Analysis Engine'!B17</f>
      </c>
    </row>
    <row r="92" spans="1:5" x14ac:dyDescent="0.25">
      <c r="A92" t="s">
        <v>411</v>
      </c>
      <c r="B92" t="s">
        <v>320</v>
      </c>
      <c r="C92" t="s">
        <v>412</v>
      </c>
      <c r="D92" t="s">
        <v>203</v>
      </c>
      <c r="E92">
        <f>'[FinanceOS_v1.0-QA-RC1.xlsx]Analysis Engine'!B18</f>
      </c>
    </row>
    <row r="93" spans="1:5" x14ac:dyDescent="0.25">
      <c r="A93" t="s">
        <v>413</v>
      </c>
      <c r="B93" t="s">
        <v>320</v>
      </c>
      <c r="C93" t="s">
        <v>414</v>
      </c>
      <c r="D93" t="s">
        <v>206</v>
      </c>
      <c r="E93">
        <f>'[FinanceOS_v1.0-QA-RC1.xlsx]Analysis Engine'!B19</f>
      </c>
    </row>
    <row r="94" spans="1:5" x14ac:dyDescent="0.25">
      <c r="A94" t="s">
        <v>415</v>
      </c>
      <c r="B94" t="s">
        <v>320</v>
      </c>
      <c r="C94" t="s">
        <v>416</v>
      </c>
      <c r="D94" t="s">
        <v>417</v>
      </c>
      <c r="E94">
        <f>'[FinanceOS_v1.0-QA-RC1.xlsx]Analysis Engine'!D7</f>
      </c>
    </row>
    <row r="95" spans="1:5" x14ac:dyDescent="0.25">
      <c r="A95" t="s">
        <v>418</v>
      </c>
      <c r="B95" t="s">
        <v>320</v>
      </c>
      <c r="C95" t="s">
        <v>419</v>
      </c>
      <c r="D95" t="s">
        <v>420</v>
      </c>
      <c r="E95">
        <f>'[FinanceOS_v1.0-QA-RC1.xlsx]Analysis Engine'!D9</f>
      </c>
    </row>
    <row r="96" spans="1:5" x14ac:dyDescent="0.25">
      <c r="A96" t="s">
        <v>421</v>
      </c>
      <c r="B96" t="s">
        <v>320</v>
      </c>
      <c r="C96" t="s">
        <v>422</v>
      </c>
      <c r="D96" t="s">
        <v>273</v>
      </c>
      <c r="E96">
        <f>'[FinanceOS_v1.0-QA-RC1.xlsx]Analysis Engine'!B50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QA Dashboard</vt:lpstr>
      <vt:lpstr>Test Scenarios</vt:lpstr>
      <vt:lpstr>Difference Engine</vt:lpstr>
      <vt:lpstr>Cell Regression</vt:lpstr>
      <vt:lpstr>Coverage Matrix</vt:lpstr>
      <vt:lpstr>Compatibility Gate</vt:lpstr>
      <vt:lpstr>Formula Inventory</vt:lpstr>
      <vt:lpstr>Expected Results</vt:lpstr>
      <vt:lpstr>Actual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FinanceOS QA RC1</dc:creator>
  <dc:title/>
  <dc:subject/>
  <dc:description/>
  <cp:keywords/>
  <cp:category/>
  <cp:lastModifiedBy>Unknown</cp:lastModifiedBy>
  <dcterms:created xsi:type="dcterms:W3CDTF">2026-09-19T00:00:00Z</dcterms:created>
  <dcterms:modified xsi:type="dcterms:W3CDTF">2026-09-19T12:41:40Z</dcterms:modified>
</cp:coreProperties>
</file>