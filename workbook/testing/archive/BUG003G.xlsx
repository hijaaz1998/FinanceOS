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<sst xmlns="http://schemas.openxmlformats.org/spreadsheetml/2006/main" count="664" uniqueCount="417">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</sst>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>IFERROR(IF(INDEX(tblAccounts[Account Name],ROW()-1)="","",INDEX(tblAccounts[Account Name],ROW()-1)),"")</f>
      </c>
      <c r="E2" s="1">
        <f>IF($D2="","",IFERROR(INDEX(tblAccounts[Opening Balance],ROW()-1),0))</f>
      </c>
      <c r="F2" s="1">
        <f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>IF($D2="","",$E2+$F2-$G2)</f>
      </c>
      <c r="I2" s="4">
        <f>IF($D2="","",IFERROR(1/(1/AGGREGATE(14,6,tblTransactions[Transaction Date]/(((tblTransactions[Source Account]=$D2)+((tblTransactions[Transaction Type]="Transfer")*(tblTransactions[Destination Type]="Account")*(tblTransactions[Destination Name]=$D2)))*((tblTransactions[Transaction Status]="Completed")+(tblTransactions[Transaction Status]="Reconciled"))),1)),""))</f>
      </c>
      <c r="J2" s="1">
        <f>IF($D2="","",IFERROR(INDEX(tblAccounts[Account Type],ROW()-1),""))</f>
      </c>
      <c r="K2" s="1">
        <f>IF($D2="","",IFERROR(INDEX(tblAccounts[Include in Dashboard],ROW()-1),""))</f>
      </c>
      <c r="L2" s="1">
        <f>IF($D2="","",IFERROR(INDEX(tblAccounts[Status],ROW()-1),""))</f>
      </c>
    </row>
    <row r="3">
      <c r="A3" s="1" t="s">
        <v>224</v>
      </c>
      <c r="D3" s="1">
        <f>IFERROR(IF(INDEX(tblAccounts[Account Name],ROW()-1)="","",INDEX(tblAccounts[Account Name],ROW()-1)),"")</f>
      </c>
      <c r="E3" s="1">
        <f>IF($D3="","",IFERROR(INDEX(tblAccounts[Opening Balance],ROW()-1),0))</f>
      </c>
      <c r="F3" s="1">
        <f>IF($D3="","",IFERROR(SUMIFS(tblTransactions[Amount],tblTransactions[Transaction Type],"Income",tblTransactions[Source Account],$D3,tblTransactions[Transaction Status],"Completed")+SUMIFS(tblTransactions[Amount],tblTransactions[Transaction Type],"Income",tblTransactions[Source Account],$D3,tblTransactions[Transaction Status],"Reconciled")+SUMIFS(tblTransactions[Amount],tblTransactions[Transaction Type],"Transfer",tblTransactions[Destination Type],"Account",tblTransactions[Destination Name],$D3,tblTransactions[Transaction Status],"Completed")+SUMIFS(tblTransactions[Amount],tblTransactions[Transaction Type],"Transfer",tblTransactions[Destination Type],"Account",tblTransactions[Destination Name],$D3,tblTransactions[Transaction Status],"Reconciled")+SUMIFS(tblTransactions[Amount],tblTransactions[Transaction Type],"Adjustment",tblTransactions[Source Account],$D3,tblTransactions[Transaction Status],"Completed",tblTransactions[Amount],"&gt;0")+SUMIFS(tblTransactions[Amount],tblTransactions[Transaction Type],"Adjustment",tblTransactions[Source Account],$D3,tblTransactions[Transaction Status],"Reconciled",tblTransactions[Amount],"&gt;0"),0))</f>
      </c>
      <c r="G3" s="1">
        <f>IF($D3="","",IFERROR(SUMIFS(tblTransactions[Amount],tblTransactions[Transaction Type],"Expense",tblTransactions[Source Account],$D3,tblTransactions[Transaction Status],"Completed")+SUMIFS(tblTransactions[Amount],tblTransactions[Transaction Type],"Expense",tblTransactions[Source Account],$D3,tblTransactions[Transaction Status],"Reconciled")+SUMIFS(tblTransactions[Amount],tblTransactions[Transaction Type],"Transfer",tblTransactions[Source Account],$D3,tblTransactions[Transaction Status],"Completed")+SUMIFS(tblTransactions[Amount],tblTransactions[Transaction Type],"Transfer",tblTransactions[Source Account],$D3,tblTransactions[Transaction Status],"Reconciled")-SUMIFS(tblTransactions[Amount],tblTransactions[Transaction Type],"Adjustment",tblTransactions[Source Account],$D3,tblTransactions[Transaction Status],"Completed",tblTransactions[Amount],"&lt;0")-SUMIFS(tblTransactions[Amount],tblTransactions[Transaction Type],"Adjustment",tblTransactions[Source Account],$D3,tblTransactions[Transaction Status],"Reconciled",tblTransactions[Amount],"&lt;0"),0))</f>
      </c>
      <c r="H3" s="1">
        <f>IF($D3="","",$E3+$F3-$G3)</f>
      </c>
      <c r="I3" s="4">
        <f>IF($D3="","",IFERROR(1/(1/AGGREGATE(14,6,tblTransactions[Transaction Date]/(((tblTransactions[Source Account]=$D3)+((tblTransactions[Transaction Type]="Transfer")*(tblTransactions[Destination Type]="Account")*(tblTransactions[Destination Name]=$D3)))*((tblTransactions[Transaction Status]="Completed")+(tblTransactions[Transaction Status]="Reconciled"))),1)),""))</f>
      </c>
      <c r="J3" s="1">
        <f>IF($D3="","",IFERROR(INDEX(tblAccounts[Account Type],ROW()-1),""))</f>
      </c>
      <c r="K3" s="1">
        <f>IF($D3="","",IFERROR(INDEX(tblAccounts[Include in Dashboard],ROW()-1),""))</f>
      </c>
      <c r="L3" s="1">
        <f>IF($D3="","",IFERROR(INDEX(tblAccounts[Status],ROW()-1),""))</f>
      </c>
    </row>
    <row r="4">
      <c r="A4" s="1" t="s">
        <v>225</v>
      </c>
      <c r="B4" s="1">
        <f>IFERROR(SUMIFS($H$2:$H$200,$L$2:$L$200,"Active",$K$2:$K$200,"Yes"),0)</f>
      </c>
      <c r="D4" s="1">
        <f>IFERROR(IF(INDEX(tblAccounts[Account Name],ROW()-1)="","",INDEX(tblAccounts[Account Name],ROW()-1)),"")</f>
      </c>
      <c r="E4" s="1">
        <f>IF($D4="","",IFERROR(INDEX(tblAccounts[Opening Balance],ROW()-1),0))</f>
      </c>
      <c r="F4" s="1">
        <f>IF($D4="","",IFERROR(SUMIFS(tblTransactions[Amount],tblTransactions[Transaction Type],"Income",tblTransactions[Source Account],$D4,tblTransactions[Transaction Status],"Completed")+SUMIFS(tblTransactions[Amount],tblTransactions[Transaction Type],"Income",tblTransactions[Source Account],$D4,tblTransactions[Transaction Status],"Reconciled")+SUMIFS(tblTransactions[Amount],tblTransactions[Transaction Type],"Transfer",tblTransactions[Destination Type],"Account",tblTransactions[Destination Name],$D4,tblTransactions[Transaction Status],"Completed")+SUMIFS(tblTransactions[Amount],tblTransactions[Transaction Type],"Transfer",tblTransactions[Destination Type],"Account",tblTransactions[Destination Name],$D4,tblTransactions[Transaction Status],"Reconciled")+SUMIFS(tblTransactions[Amount],tblTransactions[Transaction Type],"Adjustment",tblTransactions[Source Account],$D4,tblTransactions[Transaction Status],"Completed",tblTransactions[Amount],"&gt;0")+SUMIFS(tblTransactions[Amount],tblTransactions[Transaction Type],"Adjustment",tblTransactions[Source Account],$D4,tblTransactions[Transaction Status],"Reconciled",tblTransactions[Amount],"&gt;0"),0))</f>
      </c>
      <c r="G4" s="1">
        <f>IF($D4="","",IFERROR(SUMIFS(tblTransactions[Amount],tblTransactions[Transaction Type],"Expense",tblTransactions[Source Account],$D4,tblTransactions[Transaction Status],"Completed")+SUMIFS(tblTransactions[Amount],tblTransactions[Transaction Type],"Expense",tblTransactions[Source Account],$D4,tblTransactions[Transaction Status],"Reconciled")+SUMIFS(tblTransactions[Amount],tblTransactions[Transaction Type],"Transfer",tblTransactions[Source Account],$D4,tblTransactions[Transaction Status],"Completed")+SUMIFS(tblTransactions[Amount],tblTransactions[Transaction Type],"Transfer",tblTransactions[Source Account],$D4,tblTransactions[Transaction Status],"Reconciled")-SUMIFS(tblTransactions[Amount],tblTransactions[Transaction Type],"Adjustment",tblTransactions[Source Account],$D4,tblTransactions[Transaction Status],"Completed",tblTransactions[Amount],"&lt;0")-SUMIFS(tblTransactions[Amount],tblTransactions[Transaction Type],"Adjustment",tblTransactions[Source Account],$D4,tblTransactions[Transaction Status],"Reconciled",tblTransactions[Amount],"&lt;0"),0))</f>
      </c>
      <c r="H4" s="1">
        <f>IF($D4="","",$E4+$F4-$G4)</f>
      </c>
      <c r="I4" s="4">
        <f>IF($D4="","",IFERROR(1/(1/AGGREGATE(14,6,tblTransactions[Transaction Date]/(((tblTransactions[Source Account]=$D4)+((tblTransactions[Transaction Type]="Transfer")*(tblTransactions[Destination Type]="Account")*(tblTransactions[Destination Name]=$D4)))*((tblTransactions[Transaction Status]="Completed")+(tblTransactions[Transaction Status]="Reconciled"))),1)),""))</f>
      </c>
      <c r="J4" s="1">
        <f>IF($D4="","",IFERROR(INDEX(tblAccounts[Account Type],ROW()-1),""))</f>
      </c>
      <c r="K4" s="1">
        <f>IF($D4="","",IFERROR(INDEX(tblAccounts[Include in Dashboard],ROW()-1),""))</f>
      </c>
      <c r="L4" s="1">
        <f>IF($D4="","",IFERROR(INDEX(tblAccounts[Status],ROW()-1),""))</f>
      </c>
    </row>
    <row r="5">
      <c r="A5" s="1" t="s">
        <v>226</v>
      </c>
      <c r="B5" s="1">
        <f>COUNTIFS($D$2:$D$200,"&lt;&gt;",$L$2:$L$200,"Active",$K$2:$K$200,"Yes")</f>
      </c>
      <c r="D5" s="1">
        <f>IFERROR(IF(INDEX(tblAccounts[Account Name],ROW()-1)="","",INDEX(tblAccounts[Account Name],ROW()-1)),"")</f>
      </c>
      <c r="E5" s="1">
        <f>IF($D5="","",IFERROR(INDEX(tblAccounts[Opening Balance],ROW()-1),0))</f>
      </c>
      <c r="F5" s="1">
        <f>IF($D5="","",IFERROR(SUMIFS(tblTransactions[Amount],tblTransactions[Transaction Type],"Income",tblTransactions[Source Account],$D5,tblTransactions[Transaction Status],"Completed")+SUMIFS(tblTransactions[Amount],tblTransactions[Transaction Type],"Income",tblTransactions[Source Account],$D5,tblTransactions[Transaction Status],"Reconciled")+SUMIFS(tblTransactions[Amount],tblTransactions[Transaction Type],"Transfer",tblTransactions[Destination Type],"Account",tblTransactions[Destination Name],$D5,tblTransactions[Transaction Status],"Completed")+SUMIFS(tblTransactions[Amount],tblTransactions[Transaction Type],"Transfer",tblTransactions[Destination Type],"Account",tblTransactions[Destination Name],$D5,tblTransactions[Transaction Status],"Reconciled")+SUMIFS(tblTransactions[Amount],tblTransactions[Transaction Type],"Adjustment",tblTransactions[Source Account],$D5,tblTransactions[Transaction Status],"Completed",tblTransactions[Amount],"&gt;0")+SUMIFS(tblTransactions[Amount],tblTransactions[Transaction Type],"Adjustment",tblTransactions[Source Account],$D5,tblTransactions[Transaction Status],"Reconciled",tblTransactions[Amount],"&gt;0"),0))</f>
      </c>
      <c r="G5" s="1">
        <f>IF($D5="","",IFERROR(SUMIFS(tblTransactions[Amount],tblTransactions[Transaction Type],"Expense",tblTransactions[Source Account],$D5,tblTransactions[Transaction Status],"Completed")+SUMIFS(tblTransactions[Amount],tblTransactions[Transaction Type],"Expense",tblTransactions[Source Account],$D5,tblTransactions[Transaction Status],"Reconciled")+SUMIFS(tblTransactions[Amount],tblTransactions[Transaction Type],"Transfer",tblTransactions[Source Account],$D5,tblTransactions[Transaction Status],"Completed")+SUMIFS(tblTransactions[Amount],tblTransactions[Transaction Type],"Transfer",tblTransactions[Source Account],$D5,tblTransactions[Transaction Status],"Reconciled")-SUMIFS(tblTransactions[Amount],tblTransactions[Transaction Type],"Adjustment",tblTransactions[Source Account],$D5,tblTransactions[Transaction Status],"Completed",tblTransactions[Amount],"&lt;0")-SUMIFS(tblTransactions[Amount],tblTransactions[Transaction Type],"Adjustment",tblTransactions[Source Account],$D5,tblTransactions[Transaction Status],"Reconciled",tblTransactions[Amount],"&lt;0"),0))</f>
      </c>
      <c r="H5" s="1">
        <f>IF($D5="","",$E5+$F5-$G5)</f>
      </c>
      <c r="I5" s="4">
        <f>IF($D5="","",IFERROR(1/(1/AGGREGATE(14,6,tblTransactions[Transaction Date]/(((tblTransactions[Source Account]=$D5)+((tblTransactions[Transaction Type]="Transfer")*(tblTransactions[Destination Type]="Account")*(tblTransactions[Destination Name]=$D5)))*((tblTransactions[Transaction Status]="Completed")+(tblTransactions[Transaction Status]="Reconciled"))),1)),""))</f>
      </c>
      <c r="J5" s="1">
        <f>IF($D5="","",IFERROR(INDEX(tblAccounts[Account Type],ROW()-1),""))</f>
      </c>
      <c r="K5" s="1">
        <f>IF($D5="","",IFERROR(INDEX(tblAccounts[Include in Dashboard],ROW()-1),""))</f>
      </c>
      <c r="L5" s="1">
        <f>IF($D5="","",IFERROR(INDEX(tblAccounts[Status],ROW()-1),""))</f>
      </c>
    </row>
    <row r="6">
      <c r="A6" s="1" t="s">
        <v>227</v>
      </c>
      <c r="B6" s="1">
        <f>IFERROR(SUMIFS($H$2:$H$200,$J$2:$J$200,"Cash",$L$2:$L$200,"Active",$K$2:$K$200,"Yes"),0)</f>
      </c>
      <c r="D6" s="1">
        <f>IFERROR(IF(INDEX(tblAccounts[Account Name],ROW()-1)="","",INDEX(tblAccounts[Account Name],ROW()-1)),"")</f>
      </c>
      <c r="E6" s="1">
        <f>IF($D6="","",IFERROR(INDEX(tblAccounts[Opening Balance],ROW()-1),0))</f>
      </c>
      <c r="F6" s="1">
        <f>IF($D6="","",IFERROR(SUMIFS(tblTransactions[Amount],tblTransactions[Transaction Type],"Income",tblTransactions[Source Account],$D6,tblTransactions[Transaction Status],"Completed")+SUMIFS(tblTransactions[Amount],tblTransactions[Transaction Type],"Income",tblTransactions[Source Account],$D6,tblTransactions[Transaction Status],"Reconciled")+SUMIFS(tblTransactions[Amount],tblTransactions[Transaction Type],"Transfer",tblTransactions[Destination Type],"Account",tblTransactions[Destination Name],$D6,tblTransactions[Transaction Status],"Completed")+SUMIFS(tblTransactions[Amount],tblTransactions[Transaction Type],"Transfer",tblTransactions[Destination Type],"Account",tblTransactions[Destination Name],$D6,tblTransactions[Transaction Status],"Reconciled")+SUMIFS(tblTransactions[Amount],tblTransactions[Transaction Type],"Adjustment",tblTransactions[Source Account],$D6,tblTransactions[Transaction Status],"Completed",tblTransactions[Amount],"&gt;0")+SUMIFS(tblTransactions[Amount],tblTransactions[Transaction Type],"Adjustment",tblTransactions[Source Account],$D6,tblTransactions[Transaction Status],"Reconciled",tblTransactions[Amount],"&gt;0"),0))</f>
      </c>
      <c r="G6" s="1">
        <f>IF($D6="","",IFERROR(SUMIFS(tblTransactions[Amount],tblTransactions[Transaction Type],"Expense",tblTransactions[Source Account],$D6,tblTransactions[Transaction Status],"Completed")+SUMIFS(tblTransactions[Amount],tblTransactions[Transaction Type],"Expense",tblTransactions[Source Account],$D6,tblTransactions[Transaction Status],"Reconciled")+SUMIFS(tblTransactions[Amount],tblTransactions[Transaction Type],"Transfer",tblTransactions[Source Account],$D6,tblTransactions[Transaction Status],"Completed")+SUMIFS(tblTransactions[Amount],tblTransactions[Transaction Type],"Transfer",tblTransactions[Source Account],$D6,tblTransactions[Transaction Status],"Reconciled")-SUMIFS(tblTransactions[Amount],tblTransactions[Transaction Type],"Adjustment",tblTransactions[Source Account],$D6,tblTransactions[Transaction Status],"Completed",tblTransactions[Amount],"&lt;0")-SUMIFS(tblTransactions[Amount],tblTransactions[Transaction Type],"Adjustment",tblTransactions[Source Account],$D6,tblTransactions[Transaction Status],"Reconciled",tblTransactions[Amount],"&lt;0"),0))</f>
      </c>
      <c r="H6" s="1">
        <f>IF($D6="","",$E6+$F6-$G6)</f>
      </c>
      <c r="I6" s="4">
        <f>IF($D6="","",IFERROR(1/(1/AGGREGATE(14,6,tblTransactions[Transaction Date]/(((tblTransactions[Source Account]=$D6)+((tblTransactions[Transaction Type]="Transfer")*(tblTransactions[Destination Type]="Account")*(tblTransactions[Destination Name]=$D6)))*((tblTransactions[Transaction Status]="Completed")+(tblTransactions[Transaction Status]="Reconciled"))),1)),""))</f>
      </c>
      <c r="J6" s="1">
        <f>IF($D6="","",IFERROR(INDEX(tblAccounts[Account Type],ROW()-1),""))</f>
      </c>
      <c r="K6" s="1">
        <f>IF($D6="","",IFERROR(INDEX(tblAccounts[Include in Dashboard],ROW()-1),""))</f>
      </c>
      <c r="L6" s="1">
        <f>IF($D6="","",IFERROR(INDEX(tblAccounts[Status],ROW()-1),""))</f>
      </c>
    </row>
    <row r="7">
      <c r="A7" s="1" t="s">
        <v>228</v>
      </c>
      <c r="B7" s="1">
        <f>IFERROR(SUMIFS($H$2:$H$200,$J$2:$J$200,"Savings Bank",$L$2:$L$200,"Active",$K$2:$K$200,"Yes"),0)</f>
      </c>
      <c r="D7" s="1">
        <f>IFERROR(IF(INDEX(tblAccounts[Account Name],ROW()-1)="","",INDEX(tblAccounts[Account Name],ROW()-1)),"")</f>
      </c>
      <c r="E7" s="1">
        <f>IF($D7="","",IFERROR(INDEX(tblAccounts[Opening Balance],ROW()-1),0))</f>
      </c>
      <c r="F7" s="1">
        <f>IF($D7="","",IFERROR(SUMIFS(tblTransactions[Amount],tblTransactions[Transaction Type],"Income",tblTransactions[Source Account],$D7,tblTransactions[Transaction Status],"Completed")+SUMIFS(tblTransactions[Amount],tblTransactions[Transaction Type],"Income",tblTransactions[Source Account],$D7,tblTransactions[Transaction Status],"Reconciled")+SUMIFS(tblTransactions[Amount],tblTransactions[Transaction Type],"Transfer",tblTransactions[Destination Type],"Account",tblTransactions[Destination Name],$D7,tblTransactions[Transaction Status],"Completed")+SUMIFS(tblTransactions[Amount],tblTransactions[Transaction Type],"Transfer",tblTransactions[Destination Type],"Account",tblTransactions[Destination Name],$D7,tblTransactions[Transaction Status],"Reconciled")+SUMIFS(tblTransactions[Amount],tblTransactions[Transaction Type],"Adjustment",tblTransactions[Source Account],$D7,tblTransactions[Transaction Status],"Completed",tblTransactions[Amount],"&gt;0")+SUMIFS(tblTransactions[Amount],tblTransactions[Transaction Type],"Adjustment",tblTransactions[Source Account],$D7,tblTransactions[Transaction Status],"Reconciled",tblTransactions[Amount],"&gt;0"),0))</f>
      </c>
      <c r="G7" s="1">
        <f>IF($D7="","",IFERROR(SUMIFS(tblTransactions[Amount],tblTransactions[Transaction Type],"Expense",tblTransactions[Source Account],$D7,tblTransactions[Transaction Status],"Completed")+SUMIFS(tblTransactions[Amount],tblTransactions[Transaction Type],"Expense",tblTransactions[Source Account],$D7,tblTransactions[Transaction Status],"Reconciled")+SUMIFS(tblTransactions[Amount],tblTransactions[Transaction Type],"Transfer",tblTransactions[Source Account],$D7,tblTransactions[Transaction Status],"Completed")+SUMIFS(tblTransactions[Amount],tblTransactions[Transaction Type],"Transfer",tblTransactions[Source Account],$D7,tblTransactions[Transaction Status],"Reconciled")-SUMIFS(tblTransactions[Amount],tblTransactions[Transaction Type],"Adjustment",tblTransactions[Source Account],$D7,tblTransactions[Transaction Status],"Completed",tblTransactions[Amount],"&lt;0")-SUMIFS(tblTransactions[Amount],tblTransactions[Transaction Type],"Adjustment",tblTransactions[Source Account],$D7,tblTransactions[Transaction Status],"Reconciled",tblTransactions[Amount],"&lt;0"),0))</f>
      </c>
      <c r="H7" s="1">
        <f>IF($D7="","",$E7+$F7-$G7)</f>
      </c>
      <c r="I7" s="4">
        <f>IF($D7="","",IFERROR(1/(1/AGGREGATE(14,6,tblTransactions[Transaction Date]/(((tblTransactions[Source Account]=$D7)+((tblTransactions[Transaction Type]="Transfer")*(tblTransactions[Destination Type]="Account")*(tblTransactions[Destination Name]=$D7)))*((tblTransactions[Transaction Status]="Completed")+(tblTransactions[Transaction Status]="Reconciled"))),1)),""))</f>
      </c>
      <c r="J7" s="1">
        <f>IF($D7="","",IFERROR(INDEX(tblAccounts[Account Type],ROW()-1),""))</f>
      </c>
      <c r="K7" s="1">
        <f>IF($D7="","",IFERROR(INDEX(tblAccounts[Include in Dashboard],ROW()-1),""))</f>
      </c>
      <c r="L7" s="1">
        <f>IF($D7="","",IFERROR(INDEX(tblAccounts[Status],ROW()-1),""))</f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>IFERROR(IF(INDEX(tblAccounts[Account Name],ROW()-1)="","",INDEX(tblAccounts[Account Name],ROW()-1)),"")</f>
      </c>
      <c r="E8" s="1">
        <f>IF($D8="","",IFERROR(INDEX(tblAccounts[Opening Balance],ROW()-1),0))</f>
      </c>
      <c r="F8" s="1">
        <f>IF($D8="","",IFERROR(SUMIFS(tblTransactions[Amount],tblTransactions[Transaction Type],"Income",tblTransactions[Source Account],$D8,tblTransactions[Transaction Status],"Completed")+SUMIFS(tblTransactions[Amount],tblTransactions[Transaction Type],"Income",tblTransactions[Source Account],$D8,tblTransactions[Transaction Status],"Reconciled")+SUMIFS(tblTransactions[Amount],tblTransactions[Transaction Type],"Transfer",tblTransactions[Destination Type],"Account",tblTransactions[Destination Name],$D8,tblTransactions[Transaction Status],"Completed")+SUMIFS(tblTransactions[Amount],tblTransactions[Transaction Type],"Transfer",tblTransactions[Destination Type],"Account",tblTransactions[Destination Name],$D8,tblTransactions[Transaction Status],"Reconciled")+SUMIFS(tblTransactions[Amount],tblTransactions[Transaction Type],"Adjustment",tblTransactions[Source Account],$D8,tblTransactions[Transaction Status],"Completed",tblTransactions[Amount],"&gt;0")+SUMIFS(tblTransactions[Amount],tblTransactions[Transaction Type],"Adjustment",tblTransactions[Source Account],$D8,tblTransactions[Transaction Status],"Reconciled",tblTransactions[Amount],"&gt;0"),0))</f>
      </c>
      <c r="G8" s="1">
        <f>IF($D8="","",IFERROR(SUMIFS(tblTransactions[Amount],tblTransactions[Transaction Type],"Expense",tblTransactions[Source Account],$D8,tblTransactions[Transaction Status],"Completed")+SUMIFS(tblTransactions[Amount],tblTransactions[Transaction Type],"Expense",tblTransactions[Source Account],$D8,tblTransactions[Transaction Status],"Reconciled")+SUMIFS(tblTransactions[Amount],tblTransactions[Transaction Type],"Transfer",tblTransactions[Source Account],$D8,tblTransactions[Transaction Status],"Completed")+SUMIFS(tblTransactions[Amount],tblTransactions[Transaction Type],"Transfer",tblTransactions[Source Account],$D8,tblTransactions[Transaction Status],"Reconciled")-SUMIFS(tblTransactions[Amount],tblTransactions[Transaction Type],"Adjustment",tblTransactions[Source Account],$D8,tblTransactions[Transaction Status],"Completed",tblTransactions[Amount],"&lt;0")-SUMIFS(tblTransactions[Amount],tblTransactions[Transaction Type],"Adjustment",tblTransactions[Source Account],$D8,tblTransactions[Transaction Status],"Reconciled",tblTransactions[Amount],"&lt;0"),0))</f>
      </c>
      <c r="H8" s="1">
        <f>IF($D8="","",$E8+$F8-$G8)</f>
      </c>
      <c r="I8" s="4">
        <f>IF($D8="","",IFERROR(1/(1/AGGREGATE(14,6,tblTransactions[Transaction Date]/(((tblTransactions[Source Account]=$D8)+((tblTransactions[Transaction Type]="Transfer")*(tblTransactions[Destination Type]="Account")*(tblTransactions[Destination Name]=$D8)))*((tblTransactions[Transaction Status]="Completed")+(tblTransactions[Transaction Status]="Reconciled"))),1)),""))</f>
      </c>
      <c r="J8" s="1">
        <f>IF($D8="","",IFERROR(INDEX(tblAccounts[Account Type],ROW()-1),""))</f>
      </c>
      <c r="K8" s="1">
        <f>IF($D8="","",IFERROR(INDEX(tblAccounts[Include in Dashboard],ROW()-1),""))</f>
      </c>
      <c r="L8" s="1">
        <f>IF($D8="","",IFERROR(INDEX(tblAccounts[Status],ROW()-1),""))</f>
      </c>
    </row>
    <row r="9">
      <c r="A9" s="1" t="s">
        <v>230</v>
      </c>
      <c r="B9" s="1">
        <f>IFERROR(SUMIFS($H$2:$H$200,$J$2:$J$200,"Credit Card",$L$2:$L$200,"Active",$K$2:$K$200,"Yes"),0)</f>
      </c>
      <c r="D9" s="1">
        <f>IFERROR(IF(INDEX(tblAccounts[Account Name],ROW()-1)="","",INDEX(tblAccounts[Account Name],ROW()-1)),"")</f>
      </c>
      <c r="E9" s="1">
        <f>IF($D9="","",IFERROR(INDEX(tblAccounts[Opening Balance],ROW()-1),0))</f>
      </c>
      <c r="F9" s="1">
        <f>IF($D9="","",IFERROR(SUMIFS(tblTransactions[Amount],tblTransactions[Transaction Type],"Income",tblTransactions[Source Account],$D9,tblTransactions[Transaction Status],"Completed")+SUMIFS(tblTransactions[Amount],tblTransactions[Transaction Type],"Income",tblTransactions[Source Account],$D9,tblTransactions[Transaction Status],"Reconciled")+SUMIFS(tblTransactions[Amount],tblTransactions[Transaction Type],"Transfer",tblTransactions[Destination Type],"Account",tblTransactions[Destination Name],$D9,tblTransactions[Transaction Status],"Completed")+SUMIFS(tblTransactions[Amount],tblTransactions[Transaction Type],"Transfer",tblTransactions[Destination Type],"Account",tblTransactions[Destination Name],$D9,tblTransactions[Transaction Status],"Reconciled")+SUMIFS(tblTransactions[Amount],tblTransactions[Transaction Type],"Adjustment",tblTransactions[Source Account],$D9,tblTransactions[Transaction Status],"Completed",tblTransactions[Amount],"&gt;0")+SUMIFS(tblTransactions[Amount],tblTransactions[Transaction Type],"Adjustment",tblTransactions[Source Account],$D9,tblTransactions[Transaction Status],"Reconciled",tblTransactions[Amount],"&gt;0"),0))</f>
      </c>
      <c r="G9" s="1">
        <f>IF($D9="","",IFERROR(SUMIFS(tblTransactions[Amount],tblTransactions[Transaction Type],"Expense",tblTransactions[Source Account],$D9,tblTransactions[Transaction Status],"Completed")+SUMIFS(tblTransactions[Amount],tblTransactions[Transaction Type],"Expense",tblTransactions[Source Account],$D9,tblTransactions[Transaction Status],"Reconciled")+SUMIFS(tblTransactions[Amount],tblTransactions[Transaction Type],"Transfer",tblTransactions[Source Account],$D9,tblTransactions[Transaction Status],"Completed")+SUMIFS(tblTransactions[Amount],tblTransactions[Transaction Type],"Transfer",tblTransactions[Source Account],$D9,tblTransactions[Transaction Status],"Reconciled")-SUMIFS(tblTransactions[Amount],tblTransactions[Transaction Type],"Adjustment",tblTransactions[Source Account],$D9,tblTransactions[Transaction Status],"Completed",tblTransactions[Amount],"&lt;0")-SUMIFS(tblTransactions[Amount],tblTransactions[Transaction Type],"Adjustment",tblTransactions[Source Account],$D9,tblTransactions[Transaction Status],"Reconciled",tblTransactions[Amount],"&lt;0"),0))</f>
      </c>
      <c r="H9" s="1">
        <f>IF($D9="","",$E9+$F9-$G9)</f>
      </c>
      <c r="I9" s="4">
        <f>IF($D9="","",IFERROR(1/(1/AGGREGATE(14,6,tblTransactions[Transaction Date]/(((tblTransactions[Source Account]=$D9)+((tblTransactions[Transaction Type]="Transfer")*(tblTransactions[Destination Type]="Account")*(tblTransactions[Destination Name]=$D9)))*((tblTransactions[Transaction Status]="Completed")+(tblTransactions[Transaction Status]="Reconciled"))),1)),""))</f>
      </c>
      <c r="J9" s="1">
        <f>IF($D9="","",IFERROR(INDEX(tblAccounts[Account Type],ROW()-1),""))</f>
      </c>
      <c r="K9" s="1">
        <f>IF($D9="","",IFERROR(INDEX(tblAccounts[Include in Dashboard],ROW()-1),""))</f>
      </c>
      <c r="L9" s="1">
        <f>IF($D9="","",IFERROR(INDEX(tblAccounts[Status],ROW()-1),""))</f>
      </c>
    </row>
    <row r="10">
      <c r="D10" s="1">
        <f>IFERROR(IF(INDEX(tblAccounts[Account Name],ROW()-1)="","",INDEX(tblAccounts[Account Name],ROW()-1)),"")</f>
      </c>
      <c r="E10" s="1">
        <f>IF($D10="","",IFERROR(INDEX(tblAccounts[Opening Balance],ROW()-1),0))</f>
      </c>
      <c r="F10" s="1">
        <f>IF($D10="","",IFERROR(SUMIFS(tblTransactions[Amount],tblTransactions[Transaction Type],"Income",tblTransactions[Source Account],$D10,tblTransactions[Transaction Status],"Completed")+SUMIFS(tblTransactions[Amount],tblTransactions[Transaction Type],"Income",tblTransactions[Source Account],$D10,tblTransactions[Transaction Status],"Reconciled")+SUMIFS(tblTransactions[Amount],tblTransactions[Transaction Type],"Transfer",tblTransactions[Destination Type],"Account",tblTransactions[Destination Name],$D10,tblTransactions[Transaction Status],"Completed")+SUMIFS(tblTransactions[Amount],tblTransactions[Transaction Type],"Transfer",tblTransactions[Destination Type],"Account",tblTransactions[Destination Name],$D10,tblTransactions[Transaction Status],"Reconciled")+SUMIFS(tblTransactions[Amount],tblTransactions[Transaction Type],"Adjustment",tblTransactions[Source Account],$D10,tblTransactions[Transaction Status],"Completed",tblTransactions[Amount],"&gt;0")+SUMIFS(tblTransactions[Amount],tblTransactions[Transaction Type],"Adjustment",tblTransactions[Source Account],$D10,tblTransactions[Transaction Status],"Reconciled",tblTransactions[Amount],"&gt;0"),0))</f>
      </c>
      <c r="G10" s="1">
        <f>IF($D10="","",IFERROR(SUMIFS(tblTransactions[Amount],tblTransactions[Transaction Type],"Expense",tblTransactions[Source Account],$D10,tblTransactions[Transaction Status],"Completed")+SUMIFS(tblTransactions[Amount],tblTransactions[Transaction Type],"Expense",tblTransactions[Source Account],$D10,tblTransactions[Transaction Status],"Reconciled")+SUMIFS(tblTransactions[Amount],tblTransactions[Transaction Type],"Transfer",tblTransactions[Source Account],$D10,tblTransactions[Transaction Status],"Completed")+SUMIFS(tblTransactions[Amount],tblTransactions[Transaction Type],"Transfer",tblTransactions[Source Account],$D10,tblTransactions[Transaction Status],"Reconciled")-SUMIFS(tblTransactions[Amount],tblTransactions[Transaction Type],"Adjustment",tblTransactions[Source Account],$D10,tblTransactions[Transaction Status],"Completed",tblTransactions[Amount],"&lt;0")-SUMIFS(tblTransactions[Amount],tblTransactions[Transaction Type],"Adjustment",tblTransactions[Source Account],$D10,tblTransactions[Transaction Status],"Reconciled",tblTransactions[Amount],"&lt;0"),0))</f>
      </c>
      <c r="H10" s="1">
        <f>IF($D10="","",$E10+$F10-$G10)</f>
      </c>
      <c r="I10" s="4">
        <f>IF($D10="","",IFERROR(1/(1/AGGREGATE(14,6,tblTransactions[Transaction Date]/(((tblTransactions[Source Account]=$D10)+((tblTransactions[Transaction Type]="Transfer")*(tblTransactions[Destination Type]="Account")*(tblTransactions[Destination Name]=$D10)))*((tblTransactions[Transaction Status]="Completed")+(tblTransactions[Transaction Status]="Reconciled"))),1)),""))</f>
      </c>
      <c r="J10" s="1">
        <f>IF($D10="","",IFERROR(INDEX(tblAccounts[Account Type],ROW()-1),""))</f>
      </c>
      <c r="K10" s="1">
        <f>IF($D10="","",IFERROR(INDEX(tblAccounts[Include in Dashboard],ROW()-1),""))</f>
      </c>
      <c r="L10" s="1">
        <f>IF($D10="","",IFERROR(INDEX(tblAccounts[Status],ROW()-1),""))</f>
      </c>
    </row>
    <row r="11">
      <c r="A11" s="1" t="s">
        <v>231</v>
      </c>
      <c r="D11" s="1">
        <f>IFERROR(IF(INDEX(tblAccounts[Account Name],ROW()-1)="","",INDEX(tblAccounts[Account Name],ROW()-1)),"")</f>
      </c>
      <c r="E11" s="1">
        <f>IF($D11="","",IFERROR(INDEX(tblAccounts[Opening Balance],ROW()-1),0))</f>
      </c>
      <c r="F11" s="1">
        <f>IF($D11="","",IFERROR(SUMIFS(tblTransactions[Amount],tblTransactions[Transaction Type],"Income",tblTransactions[Source Account],$D11,tblTransactions[Transaction Status],"Completed")+SUMIFS(tblTransactions[Amount],tblTransactions[Transaction Type],"Income",tblTransactions[Source Account],$D11,tblTransactions[Transaction Status],"Reconciled")+SUMIFS(tblTransactions[Amount],tblTransactions[Transaction Type],"Transfer",tblTransactions[Destination Type],"Account",tblTransactions[Destination Name],$D11,tblTransactions[Transaction Status],"Completed")+SUMIFS(tblTransactions[Amount],tblTransactions[Transaction Type],"Transfer",tblTransactions[Destination Type],"Account",tblTransactions[Destination Name],$D11,tblTransactions[Transaction Status],"Reconciled")+SUMIFS(tblTransactions[Amount],tblTransactions[Transaction Type],"Adjustment",tblTransactions[Source Account],$D11,tblTransactions[Transaction Status],"Completed",tblTransactions[Amount],"&gt;0")+SUMIFS(tblTransactions[Amount],tblTransactions[Transaction Type],"Adjustment",tblTransactions[Source Account],$D11,tblTransactions[Transaction Status],"Reconciled",tblTransactions[Amount],"&gt;0"),0))</f>
      </c>
      <c r="G11" s="1">
        <f>IF($D11="","",IFERROR(SUMIFS(tblTransactions[Amount],tblTransactions[Transaction Type],"Expense",tblTransactions[Source Account],$D11,tblTransactions[Transaction Status],"Completed")+SUMIFS(tblTransactions[Amount],tblTransactions[Transaction Type],"Expense",tblTransactions[Source Account],$D11,tblTransactions[Transaction Status],"Reconciled")+SUMIFS(tblTransactions[Amount],tblTransactions[Transaction Type],"Transfer",tblTransactions[Source Account],$D11,tblTransactions[Transaction Status],"Completed")+SUMIFS(tblTransactions[Amount],tblTransactions[Transaction Type],"Transfer",tblTransactions[Source Account],$D11,tblTransactions[Transaction Status],"Reconciled")-SUMIFS(tblTransactions[Amount],tblTransactions[Transaction Type],"Adjustment",tblTransactions[Source Account],$D11,tblTransactions[Transaction Status],"Completed",tblTransactions[Amount],"&lt;0")-SUMIFS(tblTransactions[Amount],tblTransactions[Transaction Type],"Adjustment",tblTransactions[Source Account],$D11,tblTransactions[Transaction Status],"Reconciled",tblTransactions[Amount],"&lt;0"),0))</f>
      </c>
      <c r="H11" s="1">
        <f>IF($D11="","",$E11+$F11-$G11)</f>
      </c>
      <c r="I11" s="4">
        <f>IF($D11="","",IFERROR(1/(1/AGGREGATE(14,6,tblTransactions[Transaction Date]/(((tblTransactions[Source Account]=$D11)+((tblTransactions[Transaction Type]="Transfer")*(tblTransactions[Destination Type]="Account")*(tblTransactions[Destination Name]=$D11)))*((tblTransactions[Transaction Status]="Completed")+(tblTransactions[Transaction Status]="Reconciled"))),1)),""))</f>
      </c>
      <c r="J11" s="1">
        <f>IF($D11="","",IFERROR(INDEX(tblAccounts[Account Type],ROW()-1),""))</f>
      </c>
      <c r="K11" s="1">
        <f>IF($D11="","",IFERROR(INDEX(tblAccounts[Include in Dashboard],ROW()-1),""))</f>
      </c>
      <c r="L11" s="1">
        <f>IF($D11="","",IFERROR(INDEX(tblAccounts[Status],ROW()-1),""))</f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>IFERROR(IF(INDEX(tblAccounts[Account Name],ROW()-1)="","",INDEX(tblAccounts[Account Name],ROW()-1)),"")</f>
      </c>
      <c r="E12" s="1">
        <f>IF($D12="","",IFERROR(INDEX(tblAccounts[Opening Balance],ROW()-1),0))</f>
      </c>
      <c r="F12" s="1">
        <f>IF($D12="","",IFERROR(SUMIFS(tblTransactions[Amount],tblTransactions[Transaction Type],"Income",tblTransactions[Source Account],$D12,tblTransactions[Transaction Status],"Completed")+SUMIFS(tblTransactions[Amount],tblTransactions[Transaction Type],"Income",tblTransactions[Source Account],$D12,tblTransactions[Transaction Status],"Reconciled")+SUMIFS(tblTransactions[Amount],tblTransactions[Transaction Type],"Transfer",tblTransactions[Destination Type],"Account",tblTransactions[Destination Name],$D12,tblTransactions[Transaction Status],"Completed")+SUMIFS(tblTransactions[Amount],tblTransactions[Transaction Type],"Transfer",tblTransactions[Destination Type],"Account",tblTransactions[Destination Name],$D12,tblTransactions[Transaction Status],"Reconciled")+SUMIFS(tblTransactions[Amount],tblTransactions[Transaction Type],"Adjustment",tblTransactions[Source Account],$D12,tblTransactions[Transaction Status],"Completed",tblTransactions[Amount],"&gt;0")+SUMIFS(tblTransactions[Amount],tblTransactions[Transaction Type],"Adjustment",tblTransactions[Source Account],$D12,tblTransactions[Transaction Status],"Reconciled",tblTransactions[Amount],"&gt;0"),0))</f>
      </c>
      <c r="G12" s="1">
        <f>IF($D12="","",IFERROR(SUMIFS(tblTransactions[Amount],tblTransactions[Transaction Type],"Expense",tblTransactions[Source Account],$D12,tblTransactions[Transaction Status],"Completed")+SUMIFS(tblTransactions[Amount],tblTransactions[Transaction Type],"Expense",tblTransactions[Source Account],$D12,tblTransactions[Transaction Status],"Reconciled")+SUMIFS(tblTransactions[Amount],tblTransactions[Transaction Type],"Transfer",tblTransactions[Source Account],$D12,tblTransactions[Transaction Status],"Completed")+SUMIFS(tblTransactions[Amount],tblTransactions[Transaction Type],"Transfer",tblTransactions[Source Account],$D12,tblTransactions[Transaction Status],"Reconciled")-SUMIFS(tblTransactions[Amount],tblTransactions[Transaction Type],"Adjustment",tblTransactions[Source Account],$D12,tblTransactions[Transaction Status],"Completed",tblTransactions[Amount],"&lt;0")-SUMIFS(tblTransactions[Amount],tblTransactions[Transaction Type],"Adjustment",tblTransactions[Source Account],$D12,tblTransactions[Transaction Status],"Reconciled",tblTransactions[Amount],"&lt;0"),0))</f>
      </c>
      <c r="H12" s="1">
        <f>IF($D12="","",$E12+$F12-$G12)</f>
      </c>
      <c r="I12" s="4">
        <f>IF($D12="","",IFERROR(1/(1/AGGREGATE(14,6,tblTransactions[Transaction Date]/(((tblTransactions[Source Account]=$D12)+((tblTransactions[Transaction Type]="Transfer")*(tblTransactions[Destination Type]="Account")*(tblTransactions[Destination Name]=$D12)))*((tblTransactions[Transaction Status]="Completed")+(tblTransactions[Transaction Status]="Reconciled"))),1)),""))</f>
      </c>
      <c r="J12" s="1">
        <f>IF($D12="","",IFERROR(INDEX(tblAccounts[Account Type],ROW()-1),""))</f>
      </c>
      <c r="K12" s="1">
        <f>IF($D12="","",IFERROR(INDEX(tblAccounts[Include in Dashboard],ROW()-1),""))</f>
      </c>
      <c r="L12" s="1">
        <f>IF($D12="","",IFERROR(INDEX(tblAccounts[Status],ROW()-1),""))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>IFERROR(IF(INDEX(tblAccounts[Account Name],ROW()-1)="","",INDEX(tblAccounts[Account Name],ROW()-1)),"")</f>
      </c>
      <c r="E13" s="1">
        <f>IF($D13="","",IFERROR(INDEX(tblAccounts[Opening Balance],ROW()-1),0))</f>
      </c>
      <c r="F13" s="1">
        <f>IF($D13="","",IFERROR(SUMIFS(tblTransactions[Amount],tblTransactions[Transaction Type],"Income",tblTransactions[Source Account],$D13,tblTransactions[Transaction Status],"Completed")+SUMIFS(tblTransactions[Amount],tblTransactions[Transaction Type],"Income",tblTransactions[Source Account],$D13,tblTransactions[Transaction Status],"Reconciled")+SUMIFS(tblTransactions[Amount],tblTransactions[Transaction Type],"Transfer",tblTransactions[Destination Type],"Account",tblTransactions[Destination Name],$D13,tblTransactions[Transaction Status],"Completed")+SUMIFS(tblTransactions[Amount],tblTransactions[Transaction Type],"Transfer",tblTransactions[Destination Type],"Account",tblTransactions[Destination Name],$D13,tblTransactions[Transaction Status],"Reconciled")+SUMIFS(tblTransactions[Amount],tblTransactions[Transaction Type],"Adjustment",tblTransactions[Source Account],$D13,tblTransactions[Transaction Status],"Completed",tblTransactions[Amount],"&gt;0")+SUMIFS(tblTransactions[Amount],tblTransactions[Transaction Type],"Adjustment",tblTransactions[Source Account],$D13,tblTransactions[Transaction Status],"Reconciled",tblTransactions[Amount],"&gt;0"),0))</f>
      </c>
      <c r="G13" s="1">
        <f>IF($D13="","",IFERROR(SUMIFS(tblTransactions[Amount],tblTransactions[Transaction Type],"Expense",tblTransactions[Source Account],$D13,tblTransactions[Transaction Status],"Completed")+SUMIFS(tblTransactions[Amount],tblTransactions[Transaction Type],"Expense",tblTransactions[Source Account],$D13,tblTransactions[Transaction Status],"Reconciled")+SUMIFS(tblTransactions[Amount],tblTransactions[Transaction Type],"Transfer",tblTransactions[Source Account],$D13,tblTransactions[Transaction Status],"Completed")+SUMIFS(tblTransactions[Amount],tblTransactions[Transaction Type],"Transfer",tblTransactions[Source Account],$D13,tblTransactions[Transaction Status],"Reconciled")-SUMIFS(tblTransactions[Amount],tblTransactions[Transaction Type],"Adjustment",tblTransactions[Source Account],$D13,tblTransactions[Transaction Status],"Completed",tblTransactions[Amount],"&lt;0")-SUMIFS(tblTransactions[Amount],tblTransactions[Transaction Type],"Adjustment",tblTransactions[Source Account],$D13,tblTransactions[Transaction Status],"Reconciled",tblTransactions[Amount],"&lt;0"),0))</f>
      </c>
      <c r="H13" s="1">
        <f>IF($D13="","",$E13+$F13-$G13)</f>
      </c>
      <c r="I13" s="4">
        <f>IF($D13="","",IFERROR(1/(1/AGGREGATE(14,6,tblTransactions[Transaction Date]/(((tblTransactions[Source Account]=$D13)+((tblTransactions[Transaction Type]="Transfer")*(tblTransactions[Destination Type]="Account")*(tblTransactions[Destination Name]=$D13)))*((tblTransactions[Transaction Status]="Completed")+(tblTransactions[Transaction Status]="Reconciled"))),1)),""))</f>
      </c>
      <c r="J13" s="1">
        <f>IF($D13="","",IFERROR(INDEX(tblAccounts[Account Type],ROW()-1),""))</f>
      </c>
      <c r="K13" s="1">
        <f>IF($D13="","",IFERROR(INDEX(tblAccounts[Include in Dashboard],ROW()-1),""))</f>
      </c>
      <c r="L13" s="1">
        <f>IF($D13="","",IFERROR(INDEX(tblAccounts[Status],ROW()-1),""))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>IFERROR(IF(INDEX(tblAccounts[Account Name],ROW()-1)="","",INDEX(tblAccounts[Account Name],ROW()-1)),"")</f>
      </c>
      <c r="E14" s="1">
        <f>IF($D14="","",IFERROR(INDEX(tblAccounts[Opening Balance],ROW()-1),0))</f>
      </c>
      <c r="F14" s="1">
        <f>IF($D14="","",IFERROR(SUMIFS(tblTransactions[Amount],tblTransactions[Transaction Type],"Income",tblTransactions[Source Account],$D14,tblTransactions[Transaction Status],"Completed")+SUMIFS(tblTransactions[Amount],tblTransactions[Transaction Type],"Income",tblTransactions[Source Account],$D14,tblTransactions[Transaction Status],"Reconciled")+SUMIFS(tblTransactions[Amount],tblTransactions[Transaction Type],"Transfer",tblTransactions[Destination Type],"Account",tblTransactions[Destination Name],$D14,tblTransactions[Transaction Status],"Completed")+SUMIFS(tblTransactions[Amount],tblTransactions[Transaction Type],"Transfer",tblTransactions[Destination Type],"Account",tblTransactions[Destination Name],$D14,tblTransactions[Transaction Status],"Reconciled")+SUMIFS(tblTransactions[Amount],tblTransactions[Transaction Type],"Adjustment",tblTransactions[Source Account],$D14,tblTransactions[Transaction Status],"Completed",tblTransactions[Amount],"&gt;0")+SUMIFS(tblTransactions[Amount],tblTransactions[Transaction Type],"Adjustment",tblTransactions[Source Account],$D14,tblTransactions[Transaction Status],"Reconciled",tblTransactions[Amount],"&gt;0"),0))</f>
      </c>
      <c r="G14" s="1">
        <f>IF($D14="","",IFERROR(SUMIFS(tblTransactions[Amount],tblTransactions[Transaction Type],"Expense",tblTransactions[Source Account],$D14,tblTransactions[Transaction Status],"Completed")+SUMIFS(tblTransactions[Amount],tblTransactions[Transaction Type],"Expense",tblTransactions[Source Account],$D14,tblTransactions[Transaction Status],"Reconciled")+SUMIFS(tblTransactions[Amount],tblTransactions[Transaction Type],"Transfer",tblTransactions[Source Account],$D14,tblTransactions[Transaction Status],"Completed")+SUMIFS(tblTransactions[Amount],tblTransactions[Transaction Type],"Transfer",tblTransactions[Source Account],$D14,tblTransactions[Transaction Status],"Reconciled")-SUMIFS(tblTransactions[Amount],tblTransactions[Transaction Type],"Adjustment",tblTransactions[Source Account],$D14,tblTransactions[Transaction Status],"Completed",tblTransactions[Amount],"&lt;0")-SUMIFS(tblTransactions[Amount],tblTransactions[Transaction Type],"Adjustment",tblTransactions[Source Account],$D14,tblTransactions[Transaction Status],"Reconciled",tblTransactions[Amount],"&lt;0"),0))</f>
      </c>
      <c r="H14" s="1">
        <f>IF($D14="","",$E14+$F14-$G14)</f>
      </c>
      <c r="I14" s="4">
        <f>IF($D14="","",IFERROR(1/(1/AGGREGATE(14,6,tblTransactions[Transaction Date]/(((tblTransactions[Source Account]=$D14)+((tblTransactions[Transaction Type]="Transfer")*(tblTransactions[Destination Type]="Account")*(tblTransactions[Destination Name]=$D14)))*((tblTransactions[Transaction Status]="Completed")+(tblTransactions[Transaction Status]="Reconciled"))),1)),""))</f>
      </c>
      <c r="J14" s="1">
        <f>IF($D14="","",IFERROR(INDEX(tblAccounts[Account Type],ROW()-1),""))</f>
      </c>
      <c r="K14" s="1">
        <f>IF($D14="","",IFERROR(INDEX(tblAccounts[Include in Dashboard],ROW()-1),""))</f>
      </c>
      <c r="L14" s="1">
        <f>IF($D14="","",IFERROR(INDEX(tblAccounts[Status],ROW()-1),""))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>IFERROR(IF(INDEX(tblAccounts[Account Name],ROW()-1)="","",INDEX(tblAccounts[Account Name],ROW()-1)),"")</f>
      </c>
      <c r="E15" s="1">
        <f>IF($D15="","",IFERROR(INDEX(tblAccounts[Opening Balance],ROW()-1),0))</f>
      </c>
      <c r="F15" s="1">
        <f>IF($D15="","",IFERROR(SUMIFS(tblTransactions[Amount],tblTransactions[Transaction Type],"Income",tblTransactions[Source Account],$D15,tblTransactions[Transaction Status],"Completed")+SUMIFS(tblTransactions[Amount],tblTransactions[Transaction Type],"Income",tblTransactions[Source Account],$D15,tblTransactions[Transaction Status],"Reconciled")+SUMIFS(tblTransactions[Amount],tblTransactions[Transaction Type],"Transfer",tblTransactions[Destination Type],"Account",tblTransactions[Destination Name],$D15,tblTransactions[Transaction Status],"Completed")+SUMIFS(tblTransactions[Amount],tblTransactions[Transaction Type],"Transfer",tblTransactions[Destination Type],"Account",tblTransactions[Destination Name],$D15,tblTransactions[Transaction Status],"Reconciled")+SUMIFS(tblTransactions[Amount],tblTransactions[Transaction Type],"Adjustment",tblTransactions[Source Account],$D15,tblTransactions[Transaction Status],"Completed",tblTransactions[Amount],"&gt;0")+SUMIFS(tblTransactions[Amount],tblTransactions[Transaction Type],"Adjustment",tblTransactions[Source Account],$D15,tblTransactions[Transaction Status],"Reconciled",tblTransactions[Amount],"&gt;0"),0))</f>
      </c>
      <c r="G15" s="1">
        <f>IF($D15="","",IFERROR(SUMIFS(tblTransactions[Amount],tblTransactions[Transaction Type],"Expense",tblTransactions[Source Account],$D15,tblTransactions[Transaction Status],"Completed")+SUMIFS(tblTransactions[Amount],tblTransactions[Transaction Type],"Expense",tblTransactions[Source Account],$D15,tblTransactions[Transaction Status],"Reconciled")+SUMIFS(tblTransactions[Amount],tblTransactions[Transaction Type],"Transfer",tblTransactions[Source Account],$D15,tblTransactions[Transaction Status],"Completed")+SUMIFS(tblTransactions[Amount],tblTransactions[Transaction Type],"Transfer",tblTransactions[Source Account],$D15,tblTransactions[Transaction Status],"Reconciled")-SUMIFS(tblTransactions[Amount],tblTransactions[Transaction Type],"Adjustment",tblTransactions[Source Account],$D15,tblTransactions[Transaction Status],"Completed",tblTransactions[Amount],"&lt;0")-SUMIFS(tblTransactions[Amount],tblTransactions[Transaction Type],"Adjustment",tblTransactions[Source Account],$D15,tblTransactions[Transaction Status],"Reconciled",tblTransactions[Amount],"&lt;0"),0))</f>
      </c>
      <c r="H15" s="1">
        <f>IF($D15="","",$E15+$F15-$G15)</f>
      </c>
      <c r="I15" s="4">
        <f>IF($D15="","",IFERROR(1/(1/AGGREGATE(14,6,tblTransactions[Transaction Date]/(((tblTransactions[Source Account]=$D15)+((tblTransactions[Transaction Type]="Transfer")*(tblTransactions[Destination Type]="Account")*(tblTransactions[Destination Name]=$D15)))*((tblTransactions[Transaction Status]="Completed")+(tblTransactions[Transaction Status]="Reconciled"))),1)),""))</f>
      </c>
      <c r="J15" s="1">
        <f>IF($D15="","",IFERROR(INDEX(tblAccounts[Account Type],ROW()-1),""))</f>
      </c>
      <c r="K15" s="1">
        <f>IF($D15="","",IFERROR(INDEX(tblAccounts[Include in Dashboard],ROW()-1),""))</f>
      </c>
      <c r="L15" s="1">
        <f>IF($D15="","",IFERROR(INDEX(tblAccounts[Status],ROW()-1),""))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>IFERROR(IF(INDEX(tblAccounts[Account Name],ROW()-1)="","",INDEX(tblAccounts[Account Name],ROW()-1)),"")</f>
      </c>
      <c r="E16" s="1">
        <f>IF($D16="","",IFERROR(INDEX(tblAccounts[Opening Balance],ROW()-1),0))</f>
      </c>
      <c r="F16" s="1">
        <f>IF($D16="","",IFERROR(SUMIFS(tblTransactions[Amount],tblTransactions[Transaction Type],"Income",tblTransactions[Source Account],$D16,tblTransactions[Transaction Status],"Completed")+SUMIFS(tblTransactions[Amount],tblTransactions[Transaction Type],"Income",tblTransactions[Source Account],$D16,tblTransactions[Transaction Status],"Reconciled")+SUMIFS(tblTransactions[Amount],tblTransactions[Transaction Type],"Transfer",tblTransactions[Destination Type],"Account",tblTransactions[Destination Name],$D16,tblTransactions[Transaction Status],"Completed")+SUMIFS(tblTransactions[Amount],tblTransactions[Transaction Type],"Transfer",tblTransactions[Destination Type],"Account",tblTransactions[Destination Name],$D16,tblTransactions[Transaction Status],"Reconciled")+SUMIFS(tblTransactions[Amount],tblTransactions[Transaction Type],"Adjustment",tblTransactions[Source Account],$D16,tblTransactions[Transaction Status],"Completed",tblTransactions[Amount],"&gt;0")+SUMIFS(tblTransactions[Amount],tblTransactions[Transaction Type],"Adjustment",tblTransactions[Source Account],$D16,tblTransactions[Transaction Status],"Reconciled",tblTransactions[Amount],"&gt;0"),0))</f>
      </c>
      <c r="G16" s="1">
        <f>IF($D16="","",IFERROR(SUMIFS(tblTransactions[Amount],tblTransactions[Transaction Type],"Expense",tblTransactions[Source Account],$D16,tblTransactions[Transaction Status],"Completed")+SUMIFS(tblTransactions[Amount],tblTransactions[Transaction Type],"Expense",tblTransactions[Source Account],$D16,tblTransactions[Transaction Status],"Reconciled")+SUMIFS(tblTransactions[Amount],tblTransactions[Transaction Type],"Transfer",tblTransactions[Source Account],$D16,tblTransactions[Transaction Status],"Completed")+SUMIFS(tblTransactions[Amount],tblTransactions[Transaction Type],"Transfer",tblTransactions[Source Account],$D16,tblTransactions[Transaction Status],"Reconciled")-SUMIFS(tblTransactions[Amount],tblTransactions[Transaction Type],"Adjustment",tblTransactions[Source Account],$D16,tblTransactions[Transaction Status],"Completed",tblTransactions[Amount],"&lt;0")-SUMIFS(tblTransactions[Amount],tblTransactions[Transaction Type],"Adjustment",tblTransactions[Source Account],$D16,tblTransactions[Transaction Status],"Reconciled",tblTransactions[Amount],"&lt;0"),0))</f>
      </c>
      <c r="H16" s="1">
        <f>IF($D16="","",$E16+$F16-$G16)</f>
      </c>
      <c r="I16" s="4">
        <f>IF($D16="","",IFERROR(1/(1/AGGREGATE(14,6,tblTransactions[Transaction Date]/(((tblTransactions[Source Account]=$D16)+((tblTransactions[Transaction Type]="Transfer")*(tblTransactions[Destination Type]="Account")*(tblTransactions[Destination Name]=$D16)))*((tblTransactions[Transaction Status]="Completed")+(tblTransactions[Transaction Status]="Reconciled"))),1)),""))</f>
      </c>
      <c r="J16" s="1">
        <f>IF($D16="","",IFERROR(INDEX(tblAccounts[Account Type],ROW()-1),""))</f>
      </c>
      <c r="K16" s="1">
        <f>IF($D16="","",IFERROR(INDEX(tblAccounts[Include in Dashboard],ROW()-1),""))</f>
      </c>
      <c r="L16" s="1">
        <f>IF($D16="","",IFERROR(INDEX(tblAccounts[Status],ROW()-1),""))</f>
      </c>
    </row>
    <row r="17">
      <c r="A17" s="1" t="s">
        <v>237</v>
      </c>
      <c r="B17" s="1">
        <f>MAX(0,$B$16-($B$12+$B$13+$B$14+$B$15))</f>
      </c>
      <c r="D17" s="1">
        <f>IFERROR(IF(INDEX(tblAccounts[Account Name],ROW()-1)="","",INDEX(tblAccounts[Account Name],ROW()-1)),"")</f>
      </c>
      <c r="E17" s="1">
        <f>IF($D17="","",IFERROR(INDEX(tblAccounts[Opening Balance],ROW()-1),0))</f>
      </c>
      <c r="F17" s="1">
        <f>IF($D17="","",IFERROR(SUMIFS(tblTransactions[Amount],tblTransactions[Transaction Type],"Income",tblTransactions[Source Account],$D17,tblTransactions[Transaction Status],"Completed")+SUMIFS(tblTransactions[Amount],tblTransactions[Transaction Type],"Income",tblTransactions[Source Account],$D17,tblTransactions[Transaction Status],"Reconciled")+SUMIFS(tblTransactions[Amount],tblTransactions[Transaction Type],"Transfer",tblTransactions[Destination Type],"Account",tblTransactions[Destination Name],$D17,tblTransactions[Transaction Status],"Completed")+SUMIFS(tblTransactions[Amount],tblTransactions[Transaction Type],"Transfer",tblTransactions[Destination Type],"Account",tblTransactions[Destination Name],$D17,tblTransactions[Transaction Status],"Reconciled")+SUMIFS(tblTransactions[Amount],tblTransactions[Transaction Type],"Adjustment",tblTransactions[Source Account],$D17,tblTransactions[Transaction Status],"Completed",tblTransactions[Amount],"&gt;0")+SUMIFS(tblTransactions[Amount],tblTransactions[Transaction Type],"Adjustment",tblTransactions[Source Account],$D17,tblTransactions[Transaction Status],"Reconciled",tblTransactions[Amount],"&gt;0"),0))</f>
      </c>
      <c r="G17" s="1">
        <f>IF($D17="","",IFERROR(SUMIFS(tblTransactions[Amount],tblTransactions[Transaction Type],"Expense",tblTransactions[Source Account],$D17,tblTransactions[Transaction Status],"Completed")+SUMIFS(tblTransactions[Amount],tblTransactions[Transaction Type],"Expense",tblTransactions[Source Account],$D17,tblTransactions[Transaction Status],"Reconciled")+SUMIFS(tblTransactions[Amount],tblTransactions[Transaction Type],"Transfer",tblTransactions[Source Account],$D17,tblTransactions[Transaction Status],"Completed")+SUMIFS(tblTransactions[Amount],tblTransactions[Transaction Type],"Transfer",tblTransactions[Source Account],$D17,tblTransactions[Transaction Status],"Reconciled")-SUMIFS(tblTransactions[Amount],tblTransactions[Transaction Type],"Adjustment",tblTransactions[Source Account],$D17,tblTransactions[Transaction Status],"Completed",tblTransactions[Amount],"&lt;0")-SUMIFS(tblTransactions[Amount],tblTransactions[Transaction Type],"Adjustment",tblTransactions[Source Account],$D17,tblTransactions[Transaction Status],"Reconciled",tblTransactions[Amount],"&lt;0"),0))</f>
      </c>
      <c r="H17" s="1">
        <f>IF($D17="","",$E17+$F17-$G17)</f>
      </c>
      <c r="I17" s="4">
        <f>IF($D17="","",IFERROR(1/(1/AGGREGATE(14,6,tblTransactions[Transaction Date]/(((tblTransactions[Source Account]=$D17)+((tblTransactions[Transaction Type]="Transfer")*(tblTransactions[Destination Type]="Account")*(tblTransactions[Destination Name]=$D17)))*((tblTransactions[Transaction Status]="Completed")+(tblTransactions[Transaction Status]="Reconciled"))),1)),""))</f>
      </c>
      <c r="J17" s="1">
        <f>IF($D17="","",IFERROR(INDEX(tblAccounts[Account Type],ROW()-1),""))</f>
      </c>
      <c r="K17" s="1">
        <f>IF($D17="","",IFERROR(INDEX(tblAccounts[Include in Dashboard],ROW()-1),""))</f>
      </c>
      <c r="L17" s="1">
        <f>IF($D17="","",IFERROR(INDEX(tblAccounts[Status],ROW()-1),""))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>IFERROR(IF(INDEX(tblAccounts[Account Name],ROW()-1)="","",INDEX(tblAccounts[Account Name],ROW()-1)),"")</f>
      </c>
      <c r="E18" s="1">
        <f>IF($D18="","",IFERROR(INDEX(tblAccounts[Opening Balance],ROW()-1),0))</f>
      </c>
      <c r="F18" s="1">
        <f>IF($D18="","",IFERROR(SUMIFS(tblTransactions[Amount],tblTransactions[Transaction Type],"Income",tblTransactions[Source Account],$D18,tblTransactions[Transaction Status],"Completed")+SUMIFS(tblTransactions[Amount],tblTransactions[Transaction Type],"Income",tblTransactions[Source Account],$D18,tblTransactions[Transaction Status],"Reconciled")+SUMIFS(tblTransactions[Amount],tblTransactions[Transaction Type],"Transfer",tblTransactions[Destination Type],"Account",tblTransactions[Destination Name],$D18,tblTransactions[Transaction Status],"Completed")+SUMIFS(tblTransactions[Amount],tblTransactions[Transaction Type],"Transfer",tblTransactions[Destination Type],"Account",tblTransactions[Destination Name],$D18,tblTransactions[Transaction Status],"Reconciled")+SUMIFS(tblTransactions[Amount],tblTransactions[Transaction Type],"Adjustment",tblTransactions[Source Account],$D18,tblTransactions[Transaction Status],"Completed",tblTransactions[Amount],"&gt;0")+SUMIFS(tblTransactions[Amount],tblTransactions[Transaction Type],"Adjustment",tblTransactions[Source Account],$D18,tblTransactions[Transaction Status],"Reconciled",tblTransactions[Amount],"&gt;0"),0))</f>
      </c>
      <c r="G18" s="1">
        <f>IF($D18="","",IFERROR(SUMIFS(tblTransactions[Amount],tblTransactions[Transaction Type],"Expense",tblTransactions[Source Account],$D18,tblTransactions[Transaction Status],"Completed")+SUMIFS(tblTransactions[Amount],tblTransactions[Transaction Type],"Expense",tblTransactions[Source Account],$D18,tblTransactions[Transaction Status],"Reconciled")+SUMIFS(tblTransactions[Amount],tblTransactions[Transaction Type],"Transfer",tblTransactions[Source Account],$D18,tblTransactions[Transaction Status],"Completed")+SUMIFS(tblTransactions[Amount],tblTransactions[Transaction Type],"Transfer",tblTransactions[Source Account],$D18,tblTransactions[Transaction Status],"Reconciled")-SUMIFS(tblTransactions[Amount],tblTransactions[Transaction Type],"Adjustment",tblTransactions[Source Account],$D18,tblTransactions[Transaction Status],"Completed",tblTransactions[Amount],"&lt;0")-SUMIFS(tblTransactions[Amount],tblTransactions[Transaction Type],"Adjustment",tblTransactions[Source Account],$D18,tblTransactions[Transaction Status],"Reconciled",tblTransactions[Amount],"&lt;0"),0))</f>
      </c>
      <c r="H18" s="1">
        <f>IF($D18="","",$E18+$F18-$G18)</f>
      </c>
      <c r="I18" s="4">
        <f>IF($D18="","",IFERROR(1/(1/AGGREGATE(14,6,tblTransactions[Transaction Date]/(((tblTransactions[Source Account]=$D18)+((tblTransactions[Transaction Type]="Transfer")*(tblTransactions[Destination Type]="Account")*(tblTransactions[Destination Name]=$D18)))*((tblTransactions[Transaction Status]="Completed")+(tblTransactions[Transaction Status]="Reconciled"))),1)),""))</f>
      </c>
      <c r="J18" s="1">
        <f>IF($D18="","",IFERROR(INDEX(tblAccounts[Account Type],ROW()-1),""))</f>
      </c>
      <c r="K18" s="1">
        <f>IF($D18="","",IFERROR(INDEX(tblAccounts[Include in Dashboard],ROW()-1),""))</f>
      </c>
      <c r="L18" s="1">
        <f>IF($D18="","",IFERROR(INDEX(tblAccounts[Status],ROW()-1),""))</f>
      </c>
    </row>
    <row r="19">
      <c r="A19" s="1" t="s">
        <v>239</v>
      </c>
      <c r="B19" s="1">
        <f>COUNTIFS(tblIncomeSources[Status],"Active")</f>
      </c>
      <c r="D19" s="1">
        <f>IFERROR(IF(INDEX(tblAccounts[Account Name],ROW()-1)="","",INDEX(tblAccounts[Account Name],ROW()-1)),"")</f>
      </c>
      <c r="E19" s="1">
        <f>IF($D19="","",IFERROR(INDEX(tblAccounts[Opening Balance],ROW()-1),0))</f>
      </c>
      <c r="F19" s="1">
        <f>IF($D19="","",IFERROR(SUMIFS(tblTransactions[Amount],tblTransactions[Transaction Type],"Income",tblTransactions[Source Account],$D19,tblTransactions[Transaction Status],"Completed")+SUMIFS(tblTransactions[Amount],tblTransactions[Transaction Type],"Income",tblTransactions[Source Account],$D19,tblTransactions[Transaction Status],"Reconciled")+SUMIFS(tblTransactions[Amount],tblTransactions[Transaction Type],"Transfer",tblTransactions[Destination Type],"Account",tblTransactions[Destination Name],$D19,tblTransactions[Transaction Status],"Completed")+SUMIFS(tblTransactions[Amount],tblTransactions[Transaction Type],"Transfer",tblTransactions[Destination Type],"Account",tblTransactions[Destination Name],$D19,tblTransactions[Transaction Status],"Reconciled")+SUMIFS(tblTransactions[Amount],tblTransactions[Transaction Type],"Adjustment",tblTransactions[Source Account],$D19,tblTransactions[Transaction Status],"Completed",tblTransactions[Amount],"&gt;0")+SUMIFS(tblTransactions[Amount],tblTransactions[Transaction Type],"Adjustment",tblTransactions[Source Account],$D19,tblTransactions[Transaction Status],"Reconciled",tblTransactions[Amount],"&gt;0"),0))</f>
      </c>
      <c r="G19" s="1">
        <f>IF($D19="","",IFERROR(SUMIFS(tblTransactions[Amount],tblTransactions[Transaction Type],"Expense",tblTransactions[Source Account],$D19,tblTransactions[Transaction Status],"Completed")+SUMIFS(tblTransactions[Amount],tblTransactions[Transaction Type],"Expense",tblTransactions[Source Account],$D19,tblTransactions[Transaction Status],"Reconciled")+SUMIFS(tblTransactions[Amount],tblTransactions[Transaction Type],"Transfer",tblTransactions[Source Account],$D19,tblTransactions[Transaction Status],"Completed")+SUMIFS(tblTransactions[Amount],tblTransactions[Transaction Type],"Transfer",tblTransactions[Source Account],$D19,tblTransactions[Transaction Status],"Reconciled")-SUMIFS(tblTransactions[Amount],tblTransactions[Transaction Type],"Adjustment",tblTransactions[Source Account],$D19,tblTransactions[Transaction Status],"Completed",tblTransactions[Amount],"&lt;0")-SUMIFS(tblTransactions[Amount],tblTransactions[Transaction Type],"Adjustment",tblTransactions[Source Account],$D19,tblTransactions[Transaction Status],"Reconciled",tblTransactions[Amount],"&lt;0"),0))</f>
      </c>
      <c r="H19" s="1">
        <f>IF($D19="","",$E19+$F19-$G19)</f>
      </c>
      <c r="I19" s="4">
        <f>IF($D19="","",IFERROR(1/(1/AGGREGATE(14,6,tblTransactions[Transaction Date]/(((tblTransactions[Source Account]=$D19)+((tblTransactions[Transaction Type]="Transfer")*(tblTransactions[Destination Type]="Account")*(tblTransactions[Destination Name]=$D19)))*((tblTransactions[Transaction Status]="Completed")+(tblTransactions[Transaction Status]="Reconciled"))),1)),""))</f>
      </c>
      <c r="J19" s="1">
        <f>IF($D19="","",IFERROR(INDEX(tblAccounts[Account Type],ROW()-1),""))</f>
      </c>
      <c r="K19" s="1">
        <f>IF($D19="","",IFERROR(INDEX(tblAccounts[Include in Dashboard],ROW()-1),""))</f>
      </c>
      <c r="L19" s="1">
        <f>IF($D19="","",IFERROR(INDEX(tblAccounts[Status],ROW()-1),""))</f>
      </c>
    </row>
    <row r="20">
      <c r="D20" s="1">
        <f>IFERROR(IF(INDEX(tblAccounts[Account Name],ROW()-1)="","",INDEX(tblAccounts[Account Name],ROW()-1)),"")</f>
      </c>
      <c r="E20" s="1">
        <f>IF($D20="","",IFERROR(INDEX(tblAccounts[Opening Balance],ROW()-1),0))</f>
      </c>
      <c r="F20" s="1">
        <f>IF($D20="","",IFERROR(SUMIFS(tblTransactions[Amount],tblTransactions[Transaction Type],"Income",tblTransactions[Source Account],$D20,tblTransactions[Transaction Status],"Completed")+SUMIFS(tblTransactions[Amount],tblTransactions[Transaction Type],"Income",tblTransactions[Source Account],$D20,tblTransactions[Transaction Status],"Reconciled")+SUMIFS(tblTransactions[Amount],tblTransactions[Transaction Type],"Transfer",tblTransactions[Destination Type],"Account",tblTransactions[Destination Name],$D20,tblTransactions[Transaction Status],"Completed")+SUMIFS(tblTransactions[Amount],tblTransactions[Transaction Type],"Transfer",tblTransactions[Destination Type],"Account",tblTransactions[Destination Name],$D20,tblTransactions[Transaction Status],"Reconciled")+SUMIFS(tblTransactions[Amount],tblTransactions[Transaction Type],"Adjustment",tblTransactions[Source Account],$D20,tblTransactions[Transaction Status],"Completed",tblTransactions[Amount],"&gt;0")+SUMIFS(tblTransactions[Amount],tblTransactions[Transaction Type],"Adjustment",tblTransactions[Source Account],$D20,tblTransactions[Transaction Status],"Reconciled",tblTransactions[Amount],"&gt;0"),0))</f>
      </c>
      <c r="G20" s="1">
        <f>IF($D20="","",IFERROR(SUMIFS(tblTransactions[Amount],tblTransactions[Transaction Type],"Expense",tblTransactions[Source Account],$D20,tblTransactions[Transaction Status],"Completed")+SUMIFS(tblTransactions[Amount],tblTransactions[Transaction Type],"Expense",tblTransactions[Source Account],$D20,tblTransactions[Transaction Status],"Reconciled")+SUMIFS(tblTransactions[Amount],tblTransactions[Transaction Type],"Transfer",tblTransactions[Source Account],$D20,tblTransactions[Transaction Status],"Completed")+SUMIFS(tblTransactions[Amount],tblTransactions[Transaction Type],"Transfer",tblTransactions[Source Account],$D20,tblTransactions[Transaction Status],"Reconciled")-SUMIFS(tblTransactions[Amount],tblTransactions[Transaction Type],"Adjustment",tblTransactions[Source Account],$D20,tblTransactions[Transaction Status],"Completed",tblTransactions[Amount],"&lt;0")-SUMIFS(tblTransactions[Amount],tblTransactions[Transaction Type],"Adjustment",tblTransactions[Source Account],$D20,tblTransactions[Transaction Status],"Reconciled",tblTransactions[Amount],"&lt;0"),0))</f>
      </c>
      <c r="H20" s="1">
        <f>IF($D20="","",$E20+$F20-$G20)</f>
      </c>
      <c r="I20" s="4">
        <f>IF($D20="","",IFERROR(1/(1/AGGREGATE(14,6,tblTransactions[Transaction Date]/(((tblTransactions[Source Account]=$D20)+((tblTransactions[Transaction Type]="Transfer")*(tblTransactions[Destination Type]="Account")*(tblTransactions[Destination Name]=$D20)))*((tblTransactions[Transaction Status]="Completed")+(tblTransactions[Transaction Status]="Reconciled"))),1)),""))</f>
      </c>
      <c r="J20" s="1">
        <f>IF($D20="","",IFERROR(INDEX(tblAccounts[Account Type],ROW()-1),""))</f>
      </c>
      <c r="K20" s="1">
        <f>IF($D20="","",IFERROR(INDEX(tblAccounts[Include in Dashboard],ROW()-1),""))</f>
      </c>
      <c r="L20" s="1">
        <f>IF($D20="","",IFERROR(INDEX(tblAccounts[Status],ROW()-1),""))</f>
      </c>
    </row>
    <row r="21">
      <c r="A21" s="1" t="s">
        <v>240</v>
      </c>
      <c r="D21" s="1">
        <f>IFERROR(IF(INDEX(tblAccounts[Account Name],ROW()-1)="","",INDEX(tblAccounts[Account Name],ROW()-1)),"")</f>
      </c>
      <c r="E21" s="1">
        <f>IF($D21="","",IFERROR(INDEX(tblAccounts[Opening Balance],ROW()-1),0))</f>
      </c>
      <c r="F21" s="1">
        <f>IF($D21="","",IFERROR(SUMIFS(tblTransactions[Amount],tblTransactions[Transaction Type],"Income",tblTransactions[Source Account],$D21,tblTransactions[Transaction Status],"Completed")+SUMIFS(tblTransactions[Amount],tblTransactions[Transaction Type],"Income",tblTransactions[Source Account],$D21,tblTransactions[Transaction Status],"Reconciled")+SUMIFS(tblTransactions[Amount],tblTransactions[Transaction Type],"Transfer",tblTransactions[Destination Type],"Account",tblTransactions[Destination Name],$D21,tblTransactions[Transaction Status],"Completed")+SUMIFS(tblTransactions[Amount],tblTransactions[Transaction Type],"Transfer",tblTransactions[Destination Type],"Account",tblTransactions[Destination Name],$D21,tblTransactions[Transaction Status],"Reconciled")+SUMIFS(tblTransactions[Amount],tblTransactions[Transaction Type],"Adjustment",tblTransactions[Source Account],$D21,tblTransactions[Transaction Status],"Completed",tblTransactions[Amount],"&gt;0")+SUMIFS(tblTransactions[Amount],tblTransactions[Transaction Type],"Adjustment",tblTransactions[Source Account],$D21,tblTransactions[Transaction Status],"Reconciled",tblTransactions[Amount],"&gt;0"),0))</f>
      </c>
      <c r="G21" s="1">
        <f>IF($D21="","",IFERROR(SUMIFS(tblTransactions[Amount],tblTransactions[Transaction Type],"Expense",tblTransactions[Source Account],$D21,tblTransactions[Transaction Status],"Completed")+SUMIFS(tblTransactions[Amount],tblTransactions[Transaction Type],"Expense",tblTransactions[Source Account],$D21,tblTransactions[Transaction Status],"Reconciled")+SUMIFS(tblTransactions[Amount],tblTransactions[Transaction Type],"Transfer",tblTransactions[Source Account],$D21,tblTransactions[Transaction Status],"Completed")+SUMIFS(tblTransactions[Amount],tblTransactions[Transaction Type],"Transfer",tblTransactions[Source Account],$D21,tblTransactions[Transaction Status],"Reconciled")-SUMIFS(tblTransactions[Amount],tblTransactions[Transaction Type],"Adjustment",tblTransactions[Source Account],$D21,tblTransactions[Transaction Status],"Completed",tblTransactions[Amount],"&lt;0")-SUMIFS(tblTransactions[Amount],tblTransactions[Transaction Type],"Adjustment",tblTransactions[Source Account],$D21,tblTransactions[Transaction Status],"Reconciled",tblTransactions[Amount],"&lt;0"),0))</f>
      </c>
      <c r="H21" s="1">
        <f>IF($D21="","",$E21+$F21-$G21)</f>
      </c>
      <c r="I21" s="4">
        <f>IF($D21="","",IFERROR(1/(1/AGGREGATE(14,6,tblTransactions[Transaction Date]/(((tblTransactions[Source Account]=$D21)+((tblTransactions[Transaction Type]="Transfer")*(tblTransactions[Destination Type]="Account")*(tblTransactions[Destination Name]=$D21)))*((tblTransactions[Transaction Status]="Completed")+(tblTransactions[Transaction Status]="Reconciled"))),1)),""))</f>
      </c>
      <c r="J21" s="1">
        <f>IF($D21="","",IFERROR(INDEX(tblAccounts[Account Type],ROW()-1),""))</f>
      </c>
      <c r="K21" s="1">
        <f>IF($D21="","",IFERROR(INDEX(tblAccounts[Include in Dashboard],ROW()-1),""))</f>
      </c>
      <c r="L21" s="1">
        <f>IF($D21="","",IFERROR(INDEX(tblAccounts[Status],ROW()-1),""))</f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>IFERROR(IF(INDEX(tblAccounts[Account Name],ROW()-1)="","",INDEX(tblAccounts[Account Name],ROW()-1)),"")</f>
      </c>
      <c r="E22" s="1">
        <f>IF($D22="","",IFERROR(INDEX(tblAccounts[Opening Balance],ROW()-1),0))</f>
      </c>
      <c r="F22" s="1">
        <f>IF($D22="","",IFERROR(SUMIFS(tblTransactions[Amount],tblTransactions[Transaction Type],"Income",tblTransactions[Source Account],$D22,tblTransactions[Transaction Status],"Completed")+SUMIFS(tblTransactions[Amount],tblTransactions[Transaction Type],"Income",tblTransactions[Source Account],$D22,tblTransactions[Transaction Status],"Reconciled")+SUMIFS(tblTransactions[Amount],tblTransactions[Transaction Type],"Transfer",tblTransactions[Destination Type],"Account",tblTransactions[Destination Name],$D22,tblTransactions[Transaction Status],"Completed")+SUMIFS(tblTransactions[Amount],tblTransactions[Transaction Type],"Transfer",tblTransactions[Destination Type],"Account",tblTransactions[Destination Name],$D22,tblTransactions[Transaction Status],"Reconciled")+SUMIFS(tblTransactions[Amount],tblTransactions[Transaction Type],"Adjustment",tblTransactions[Source Account],$D22,tblTransactions[Transaction Status],"Completed",tblTransactions[Amount],"&gt;0")+SUMIFS(tblTransactions[Amount],tblTransactions[Transaction Type],"Adjustment",tblTransactions[Source Account],$D22,tblTransactions[Transaction Status],"Reconciled",tblTransactions[Amount],"&gt;0"),0))</f>
      </c>
      <c r="G22" s="1">
        <f>IF($D22="","",IFERROR(SUMIFS(tblTransactions[Amount],tblTransactions[Transaction Type],"Expense",tblTransactions[Source Account],$D22,tblTransactions[Transaction Status],"Completed")+SUMIFS(tblTransactions[Amount],tblTransactions[Transaction Type],"Expense",tblTransactions[Source Account],$D22,tblTransactions[Transaction Status],"Reconciled")+SUMIFS(tblTransactions[Amount],tblTransactions[Transaction Type],"Transfer",tblTransactions[Source Account],$D22,tblTransactions[Transaction Status],"Completed")+SUMIFS(tblTransactions[Amount],tblTransactions[Transaction Type],"Transfer",tblTransactions[Source Account],$D22,tblTransactions[Transaction Status],"Reconciled")-SUMIFS(tblTransactions[Amount],tblTransactions[Transaction Type],"Adjustment",tblTransactions[Source Account],$D22,tblTransactions[Transaction Status],"Completed",tblTransactions[Amount],"&lt;0")-SUMIFS(tblTransactions[Amount],tblTransactions[Transaction Type],"Adjustment",tblTransactions[Source Account],$D22,tblTransactions[Transaction Status],"Reconciled",tblTransactions[Amount],"&lt;0"),0))</f>
      </c>
      <c r="H22" s="1">
        <f>IF($D22="","",$E22+$F22-$G22)</f>
      </c>
      <c r="I22" s="4">
        <f>IF($D22="","",IFERROR(1/(1/AGGREGATE(14,6,tblTransactions[Transaction Date]/(((tblTransactions[Source Account]=$D22)+((tblTransactions[Transaction Type]="Transfer")*(tblTransactions[Destination Type]="Account")*(tblTransactions[Destination Name]=$D22)))*((tblTransactions[Transaction Status]="Completed")+(tblTransactions[Transaction Status]="Reconciled"))),1)),""))</f>
      </c>
      <c r="J22" s="1">
        <f>IF($D22="","",IFERROR(INDEX(tblAccounts[Account Type],ROW()-1),""))</f>
      </c>
      <c r="K22" s="1">
        <f>IF($D22="","",IFERROR(INDEX(tblAccounts[Include in Dashboard],ROW()-1),""))</f>
      </c>
      <c r="L22" s="1">
        <f>IF($D22="","",IFERROR(INDEX(tblAccounts[Status],ROW()-1),""))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>IFERROR(IF(INDEX(tblAccounts[Account Name],ROW()-1)="","",INDEX(tblAccounts[Account Name],ROW()-1)),"")</f>
      </c>
      <c r="E23" s="1">
        <f>IF($D23="","",IFERROR(INDEX(tblAccounts[Opening Balance],ROW()-1),0))</f>
      </c>
      <c r="F23" s="1">
        <f>IF($D23="","",IFERROR(SUMIFS(tblTransactions[Amount],tblTransactions[Transaction Type],"Income",tblTransactions[Source Account],$D23,tblTransactions[Transaction Status],"Completed")+SUMIFS(tblTransactions[Amount],tblTransactions[Transaction Type],"Income",tblTransactions[Source Account],$D23,tblTransactions[Transaction Status],"Reconciled")+SUMIFS(tblTransactions[Amount],tblTransactions[Transaction Type],"Transfer",tblTransactions[Destination Type],"Account",tblTransactions[Destination Name],$D23,tblTransactions[Transaction Status],"Completed")+SUMIFS(tblTransactions[Amount],tblTransactions[Transaction Type],"Transfer",tblTransactions[Destination Type],"Account",tblTransactions[Destination Name],$D23,tblTransactions[Transaction Status],"Reconciled")+SUMIFS(tblTransactions[Amount],tblTransactions[Transaction Type],"Adjustment",tblTransactions[Source Account],$D23,tblTransactions[Transaction Status],"Completed",tblTransactions[Amount],"&gt;0")+SUMIFS(tblTransactions[Amount],tblTransactions[Transaction Type],"Adjustment",tblTransactions[Source Account],$D23,tblTransactions[Transaction Status],"Reconciled",tblTransactions[Amount],"&gt;0"),0))</f>
      </c>
      <c r="G23" s="1">
        <f>IF($D23="","",IFERROR(SUMIFS(tblTransactions[Amount],tblTransactions[Transaction Type],"Expense",tblTransactions[Source Account],$D23,tblTransactions[Transaction Status],"Completed")+SUMIFS(tblTransactions[Amount],tblTransactions[Transaction Type],"Expense",tblTransactions[Source Account],$D23,tblTransactions[Transaction Status],"Reconciled")+SUMIFS(tblTransactions[Amount],tblTransactions[Transaction Type],"Transfer",tblTransactions[Source Account],$D23,tblTransactions[Transaction Status],"Completed")+SUMIFS(tblTransactions[Amount],tblTransactions[Transaction Type],"Transfer",tblTransactions[Source Account],$D23,tblTransactions[Transaction Status],"Reconciled")-SUMIFS(tblTransactions[Amount],tblTransactions[Transaction Type],"Adjustment",tblTransactions[Source Account],$D23,tblTransactions[Transaction Status],"Completed",tblTransactions[Amount],"&lt;0")-SUMIFS(tblTransactions[Amount],tblTransactions[Transaction Type],"Adjustment",tblTransactions[Source Account],$D23,tblTransactions[Transaction Status],"Reconciled",tblTransactions[Amount],"&lt;0"),0))</f>
      </c>
      <c r="H23" s="1">
        <f>IF($D23="","",$E23+$F23-$G23)</f>
      </c>
      <c r="I23" s="4">
        <f>IF($D23="","",IFERROR(1/(1/AGGREGATE(14,6,tblTransactions[Transaction Date]/(((tblTransactions[Source Account]=$D23)+((tblTransactions[Transaction Type]="Transfer")*(tblTransactions[Destination Type]="Account")*(tblTransactions[Destination Name]=$D23)))*((tblTransactions[Transaction Status]="Completed")+(tblTransactions[Transaction Status]="Reconciled"))),1)),""))</f>
      </c>
      <c r="J23" s="1">
        <f>IF($D23="","",IFERROR(INDEX(tblAccounts[Account Type],ROW()-1),""))</f>
      </c>
      <c r="K23" s="1">
        <f>IF($D23="","",IFERROR(INDEX(tblAccounts[Include in Dashboard],ROW()-1),""))</f>
      </c>
      <c r="L23" s="1">
        <f>IF($D23="","",IFERROR(INDEX(tblAccounts[Status],ROW()-1),""))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>IFERROR(IF(INDEX(tblAccounts[Account Name],ROW()-1)="","",INDEX(tblAccounts[Account Name],ROW()-1)),"")</f>
      </c>
      <c r="E24" s="1">
        <f>IF($D24="","",IFERROR(INDEX(tblAccounts[Opening Balance],ROW()-1),0))</f>
      </c>
      <c r="F24" s="1">
        <f>IF($D24="","",IFERROR(SUMIFS(tblTransactions[Amount],tblTransactions[Transaction Type],"Income",tblTransactions[Source Account],$D24,tblTransactions[Transaction Status],"Completed")+SUMIFS(tblTransactions[Amount],tblTransactions[Transaction Type],"Income",tblTransactions[Source Account],$D24,tblTransactions[Transaction Status],"Reconciled")+SUMIFS(tblTransactions[Amount],tblTransactions[Transaction Type],"Transfer",tblTransactions[Destination Type],"Account",tblTransactions[Destination Name],$D24,tblTransactions[Transaction Status],"Completed")+SUMIFS(tblTransactions[Amount],tblTransactions[Transaction Type],"Transfer",tblTransactions[Destination Type],"Account",tblTransactions[Destination Name],$D24,tblTransactions[Transaction Status],"Reconciled")+SUMIFS(tblTransactions[Amount],tblTransactions[Transaction Type],"Adjustment",tblTransactions[Source Account],$D24,tblTransactions[Transaction Status],"Completed",tblTransactions[Amount],"&gt;0")+SUMIFS(tblTransactions[Amount],tblTransactions[Transaction Type],"Adjustment",tblTransactions[Source Account],$D24,tblTransactions[Transaction Status],"Reconciled",tblTransactions[Amount],"&gt;0"),0))</f>
      </c>
      <c r="G24" s="1">
        <f>IF($D24="","",IFERROR(SUMIFS(tblTransactions[Amount],tblTransactions[Transaction Type],"Expense",tblTransactions[Source Account],$D24,tblTransactions[Transaction Status],"Completed")+SUMIFS(tblTransactions[Amount],tblTransactions[Transaction Type],"Expense",tblTransactions[Source Account],$D24,tblTransactions[Transaction Status],"Reconciled")+SUMIFS(tblTransactions[Amount],tblTransactions[Transaction Type],"Transfer",tblTransactions[Source Account],$D24,tblTransactions[Transaction Status],"Completed")+SUMIFS(tblTransactions[Amount],tblTransactions[Transaction Type],"Transfer",tblTransactions[Source Account],$D24,tblTransactions[Transaction Status],"Reconciled")-SUMIFS(tblTransactions[Amount],tblTransactions[Transaction Type],"Adjustment",tblTransactions[Source Account],$D24,tblTransactions[Transaction Status],"Completed",tblTransactions[Amount],"&lt;0")-SUMIFS(tblTransactions[Amount],tblTransactions[Transaction Type],"Adjustment",tblTransactions[Source Account],$D24,tblTransactions[Transaction Status],"Reconciled",tblTransactions[Amount],"&lt;0"),0))</f>
      </c>
      <c r="H24" s="1">
        <f>IF($D24="","",$E24+$F24-$G24)</f>
      </c>
      <c r="I24" s="4">
        <f>IF($D24="","",IFERROR(1/(1/AGGREGATE(14,6,tblTransactions[Transaction Date]/(((tblTransactions[Source Account]=$D24)+((tblTransactions[Transaction Type]="Transfer")*(tblTransactions[Destination Type]="Account")*(tblTransactions[Destination Name]=$D24)))*((tblTransactions[Transaction Status]="Completed")+(tblTransactions[Transaction Status]="Reconciled"))),1)),""))</f>
      </c>
      <c r="J24" s="1">
        <f>IF($D24="","",IFERROR(INDEX(tblAccounts[Account Type],ROW()-1),""))</f>
      </c>
      <c r="K24" s="1">
        <f>IF($D24="","",IFERROR(INDEX(tblAccounts[Include in Dashboard],ROW()-1),""))</f>
      </c>
      <c r="L24" s="1">
        <f>IF($D24="","",IFERROR(INDEX(tblAccounts[Status],ROW()-1),""))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>IFERROR(IF(INDEX(tblAccounts[Account Name],ROW()-1)="","",INDEX(tblAccounts[Account Name],ROW()-1)),"")</f>
      </c>
      <c r="E25" s="1">
        <f>IF($D25="","",IFERROR(INDEX(tblAccounts[Opening Balance],ROW()-1),0))</f>
      </c>
      <c r="F25" s="1">
        <f>IF($D25="","",IFERROR(SUMIFS(tblTransactions[Amount],tblTransactions[Transaction Type],"Income",tblTransactions[Source Account],$D25,tblTransactions[Transaction Status],"Completed")+SUMIFS(tblTransactions[Amount],tblTransactions[Transaction Type],"Income",tblTransactions[Source Account],$D25,tblTransactions[Transaction Status],"Reconciled")+SUMIFS(tblTransactions[Amount],tblTransactions[Transaction Type],"Transfer",tblTransactions[Destination Type],"Account",tblTransactions[Destination Name],$D25,tblTransactions[Transaction Status],"Completed")+SUMIFS(tblTransactions[Amount],tblTransactions[Transaction Type],"Transfer",tblTransactions[Destination Type],"Account",tblTransactions[Destination Name],$D25,tblTransactions[Transaction Status],"Reconciled")+SUMIFS(tblTransactions[Amount],tblTransactions[Transaction Type],"Adjustment",tblTransactions[Source Account],$D25,tblTransactions[Transaction Status],"Completed",tblTransactions[Amount],"&gt;0")+SUMIFS(tblTransactions[Amount],tblTransactions[Transaction Type],"Adjustment",tblTransactions[Source Account],$D25,tblTransactions[Transaction Status],"Reconciled",tblTransactions[Amount],"&gt;0"),0))</f>
      </c>
      <c r="G25" s="1">
        <f>IF($D25="","",IFERROR(SUMIFS(tblTransactions[Amount],tblTransactions[Transaction Type],"Expense",tblTransactions[Source Account],$D25,tblTransactions[Transaction Status],"Completed")+SUMIFS(tblTransactions[Amount],tblTransactions[Transaction Type],"Expense",tblTransactions[Source Account],$D25,tblTransactions[Transaction Status],"Reconciled")+SUMIFS(tblTransactions[Amount],tblTransactions[Transaction Type],"Transfer",tblTransactions[Source Account],$D25,tblTransactions[Transaction Status],"Completed")+SUMIFS(tblTransactions[Amount],tblTransactions[Transaction Type],"Transfer",tblTransactions[Source Account],$D25,tblTransactions[Transaction Status],"Reconciled")-SUMIFS(tblTransactions[Amount],tblTransactions[Transaction Type],"Adjustment",tblTransactions[Source Account],$D25,tblTransactions[Transaction Status],"Completed",tblTransactions[Amount],"&lt;0")-SUMIFS(tblTransactions[Amount],tblTransactions[Transaction Type],"Adjustment",tblTransactions[Source Account],$D25,tblTransactions[Transaction Status],"Reconciled",tblTransactions[Amount],"&lt;0"),0))</f>
      </c>
      <c r="H25" s="1">
        <f>IF($D25="","",$E25+$F25-$G25)</f>
      </c>
      <c r="I25" s="4">
        <f>IF($D25="","",IFERROR(1/(1/AGGREGATE(14,6,tblTransactions[Transaction Date]/(((tblTransactions[Source Account]=$D25)+((tblTransactions[Transaction Type]="Transfer")*(tblTransactions[Destination Type]="Account")*(tblTransactions[Destination Name]=$D25)))*((tblTransactions[Transaction Status]="Completed")+(tblTransactions[Transaction Status]="Reconciled"))),1)),""))</f>
      </c>
      <c r="J25" s="1">
        <f>IF($D25="","",IFERROR(INDEX(tblAccounts[Account Type],ROW()-1),""))</f>
      </c>
      <c r="K25" s="1">
        <f>IF($D25="","",IFERROR(INDEX(tblAccounts[Include in Dashboard],ROW()-1),""))</f>
      </c>
      <c r="L25" s="1">
        <f>IF($D25="","",IFERROR(INDEX(tblAccounts[Status],ROW()-1),""))</f>
      </c>
    </row>
    <row r="26">
      <c r="D26" s="1">
        <f>IFERROR(IF(INDEX(tblAccounts[Account Name],ROW()-1)="","",INDEX(tblAccounts[Account Name],ROW()-1)),"")</f>
      </c>
      <c r="E26" s="1">
        <f>IF($D26="","",IFERROR(INDEX(tblAccounts[Opening Balance],ROW()-1),0))</f>
      </c>
      <c r="F26" s="1">
        <f>IF($D26="","",IFERROR(SUMIFS(tblTransactions[Amount],tblTransactions[Transaction Type],"Income",tblTransactions[Source Account],$D26,tblTransactions[Transaction Status],"Completed")+SUMIFS(tblTransactions[Amount],tblTransactions[Transaction Type],"Income",tblTransactions[Source Account],$D26,tblTransactions[Transaction Status],"Reconciled")+SUMIFS(tblTransactions[Amount],tblTransactions[Transaction Type],"Transfer",tblTransactions[Destination Type],"Account",tblTransactions[Destination Name],$D26,tblTransactions[Transaction Status],"Completed")+SUMIFS(tblTransactions[Amount],tblTransactions[Transaction Type],"Transfer",tblTransactions[Destination Type],"Account",tblTransactions[Destination Name],$D26,tblTransactions[Transaction Status],"Reconciled")+SUMIFS(tblTransactions[Amount],tblTransactions[Transaction Type],"Adjustment",tblTransactions[Source Account],$D26,tblTransactions[Transaction Status],"Completed",tblTransactions[Amount],"&gt;0")+SUMIFS(tblTransactions[Amount],tblTransactions[Transaction Type],"Adjustment",tblTransactions[Source Account],$D26,tblTransactions[Transaction Status],"Reconciled",tblTransactions[Amount],"&gt;0"),0))</f>
      </c>
      <c r="G26" s="1">
        <f>IF($D26="","",IFERROR(SUMIFS(tblTransactions[Amount],tblTransactions[Transaction Type],"Expense",tblTransactions[Source Account],$D26,tblTransactions[Transaction Status],"Completed")+SUMIFS(tblTransactions[Amount],tblTransactions[Transaction Type],"Expense",tblTransactions[Source Account],$D26,tblTransactions[Transaction Status],"Reconciled")+SUMIFS(tblTransactions[Amount],tblTransactions[Transaction Type],"Transfer",tblTransactions[Source Account],$D26,tblTransactions[Transaction Status],"Completed")+SUMIFS(tblTransactions[Amount],tblTransactions[Transaction Type],"Transfer",tblTransactions[Source Account],$D26,tblTransactions[Transaction Status],"Reconciled")-SUMIFS(tblTransactions[Amount],tblTransactions[Transaction Type],"Adjustment",tblTransactions[Source Account],$D26,tblTransactions[Transaction Status],"Completed",tblTransactions[Amount],"&lt;0")-SUMIFS(tblTransactions[Amount],tblTransactions[Transaction Type],"Adjustment",tblTransactions[Source Account],$D26,tblTransactions[Transaction Status],"Reconciled",tblTransactions[Amount],"&lt;0"),0))</f>
      </c>
      <c r="H26" s="1">
        <f>IF($D26="","",$E26+$F26-$G26)</f>
      </c>
      <c r="I26" s="4">
        <f>IF($D26="","",IFERROR(1/(1/AGGREGATE(14,6,tblTransactions[Transaction Date]/(((tblTransactions[Source Account]=$D26)+((tblTransactions[Transaction Type]="Transfer")*(tblTransactions[Destination Type]="Account")*(tblTransactions[Destination Name]=$D26)))*((tblTransactions[Transaction Status]="Completed")+(tblTransactions[Transaction Status]="Reconciled"))),1)),""))</f>
      </c>
      <c r="J26" s="1">
        <f>IF($D26="","",IFERROR(INDEX(tblAccounts[Account Type],ROW()-1),""))</f>
      </c>
      <c r="K26" s="1">
        <f>IF($D26="","",IFERROR(INDEX(tblAccounts[Include in Dashboard],ROW()-1),""))</f>
      </c>
      <c r="L26" s="1">
        <f>IF($D26="","",IFERROR(INDEX(tblAccounts[Status],ROW()-1),""))</f>
      </c>
    </row>
    <row r="27">
      <c r="A27" s="1" t="s">
        <v>245</v>
      </c>
      <c r="D27" s="1">
        <f>IFERROR(IF(INDEX(tblAccounts[Account Name],ROW()-1)="","",INDEX(tblAccounts[Account Name],ROW()-1)),"")</f>
      </c>
      <c r="E27" s="1">
        <f>IF($D27="","",IFERROR(INDEX(tblAccounts[Opening Balance],ROW()-1),0))</f>
      </c>
      <c r="F27" s="1">
        <f>IF($D27="","",IFERROR(SUMIFS(tblTransactions[Amount],tblTransactions[Transaction Type],"Income",tblTransactions[Source Account],$D27,tblTransactions[Transaction Status],"Completed")+SUMIFS(tblTransactions[Amount],tblTransactions[Transaction Type],"Income",tblTransactions[Source Account],$D27,tblTransactions[Transaction Status],"Reconciled")+SUMIFS(tblTransactions[Amount],tblTransactions[Transaction Type],"Transfer",tblTransactions[Destination Type],"Account",tblTransactions[Destination Name],$D27,tblTransactions[Transaction Status],"Completed")+SUMIFS(tblTransactions[Amount],tblTransactions[Transaction Type],"Transfer",tblTransactions[Destination Type],"Account",tblTransactions[Destination Name],$D27,tblTransactions[Transaction Status],"Reconciled")+SUMIFS(tblTransactions[Amount],tblTransactions[Transaction Type],"Adjustment",tblTransactions[Source Account],$D27,tblTransactions[Transaction Status],"Completed",tblTransactions[Amount],"&gt;0")+SUMIFS(tblTransactions[Amount],tblTransactions[Transaction Type],"Adjustment",tblTransactions[Source Account],$D27,tblTransactions[Transaction Status],"Reconciled",tblTransactions[Amount],"&gt;0"),0))</f>
      </c>
      <c r="G27" s="1">
        <f>IF($D27="","",IFERROR(SUMIFS(tblTransactions[Amount],tblTransactions[Transaction Type],"Expense",tblTransactions[Source Account],$D27,tblTransactions[Transaction Status],"Completed")+SUMIFS(tblTransactions[Amount],tblTransactions[Transaction Type],"Expense",tblTransactions[Source Account],$D27,tblTransactions[Transaction Status],"Reconciled")+SUMIFS(tblTransactions[Amount],tblTransactions[Transaction Type],"Transfer",tblTransactions[Source Account],$D27,tblTransactions[Transaction Status],"Completed")+SUMIFS(tblTransactions[Amount],tblTransactions[Transaction Type],"Transfer",tblTransactions[Source Account],$D27,tblTransactions[Transaction Status],"Reconciled")-SUMIFS(tblTransactions[Amount],tblTransactions[Transaction Type],"Adjustment",tblTransactions[Source Account],$D27,tblTransactions[Transaction Status],"Completed",tblTransactions[Amount],"&lt;0")-SUMIFS(tblTransactions[Amount],tblTransactions[Transaction Type],"Adjustment",tblTransactions[Source Account],$D27,tblTransactions[Transaction Status],"Reconciled",tblTransactions[Amount],"&lt;0"),0))</f>
      </c>
      <c r="H27" s="1">
        <f>IF($D27="","",$E27+$F27-$G27)</f>
      </c>
      <c r="I27" s="4">
        <f>IF($D27="","",IFERROR(1/(1/AGGREGATE(14,6,tblTransactions[Transaction Date]/(((tblTransactions[Source Account]=$D27)+((tblTransactions[Transaction Type]="Transfer")*(tblTransactions[Destination Type]="Account")*(tblTransactions[Destination Name]=$D27)))*((tblTransactions[Transaction Status]="Completed")+(tblTransactions[Transaction Status]="Reconciled"))),1)),""))</f>
      </c>
      <c r="J27" s="1">
        <f>IF($D27="","",IFERROR(INDEX(tblAccounts[Account Type],ROW()-1),""))</f>
      </c>
      <c r="K27" s="1">
        <f>IF($D27="","",IFERROR(INDEX(tblAccounts[Include in Dashboard],ROW()-1),""))</f>
      </c>
      <c r="L27" s="1">
        <f>IF($D27="","",IFERROR(INDEX(tblAccounts[Status],ROW()-1),""))</f>
      </c>
    </row>
    <row r="28">
      <c r="A28" s="1" t="s">
        <v>246</v>
      </c>
      <c r="B28" s="1">
        <f>$B$16</f>
      </c>
      <c r="D28" s="1">
        <f>IFERROR(IF(INDEX(tblAccounts[Account Name],ROW()-1)="","",INDEX(tblAccounts[Account Name],ROW()-1)),"")</f>
      </c>
      <c r="E28" s="1">
        <f>IF($D28="","",IFERROR(INDEX(tblAccounts[Opening Balance],ROW()-1),0))</f>
      </c>
      <c r="F28" s="1">
        <f>IF($D28="","",IFERROR(SUMIFS(tblTransactions[Amount],tblTransactions[Transaction Type],"Income",tblTransactions[Source Account],$D28,tblTransactions[Transaction Status],"Completed")+SUMIFS(tblTransactions[Amount],tblTransactions[Transaction Type],"Income",tblTransactions[Source Account],$D28,tblTransactions[Transaction Status],"Reconciled")+SUMIFS(tblTransactions[Amount],tblTransactions[Transaction Type],"Transfer",tblTransactions[Destination Type],"Account",tblTransactions[Destination Name],$D28,tblTransactions[Transaction Status],"Completed")+SUMIFS(tblTransactions[Amount],tblTransactions[Transaction Type],"Transfer",tblTransactions[Destination Type],"Account",tblTransactions[Destination Name],$D28,tblTransactions[Transaction Status],"Reconciled")+SUMIFS(tblTransactions[Amount],tblTransactions[Transaction Type],"Adjustment",tblTransactions[Source Account],$D28,tblTransactions[Transaction Status],"Completed",tblTransactions[Amount],"&gt;0")+SUMIFS(tblTransactions[Amount],tblTransactions[Transaction Type],"Adjustment",tblTransactions[Source Account],$D28,tblTransactions[Transaction Status],"Reconciled",tblTransactions[Amount],"&gt;0"),0))</f>
      </c>
      <c r="G28" s="1">
        <f>IF($D28="","",IFERROR(SUMIFS(tblTransactions[Amount],tblTransactions[Transaction Type],"Expense",tblTransactions[Source Account],$D28,tblTransactions[Transaction Status],"Completed")+SUMIFS(tblTransactions[Amount],tblTransactions[Transaction Type],"Expense",tblTransactions[Source Account],$D28,tblTransactions[Transaction Status],"Reconciled")+SUMIFS(tblTransactions[Amount],tblTransactions[Transaction Type],"Transfer",tblTransactions[Source Account],$D28,tblTransactions[Transaction Status],"Completed")+SUMIFS(tblTransactions[Amount],tblTransactions[Transaction Type],"Transfer",tblTransactions[Source Account],$D28,tblTransactions[Transaction Status],"Reconciled")-SUMIFS(tblTransactions[Amount],tblTransactions[Transaction Type],"Adjustment",tblTransactions[Source Account],$D28,tblTransactions[Transaction Status],"Completed",tblTransactions[Amount],"&lt;0")-SUMIFS(tblTransactions[Amount],tblTransactions[Transaction Type],"Adjustment",tblTransactions[Source Account],$D28,tblTransactions[Transaction Status],"Reconciled",tblTransactions[Amount],"&lt;0"),0))</f>
      </c>
      <c r="H28" s="1">
        <f>IF($D28="","",$E28+$F28-$G28)</f>
      </c>
      <c r="I28" s="4">
        <f>IF($D28="","",IFERROR(1/(1/AGGREGATE(14,6,tblTransactions[Transaction Date]/(((tblTransactions[Source Account]=$D28)+((tblTransactions[Transaction Type]="Transfer")*(tblTransactions[Destination Type]="Account")*(tblTransactions[Destination Name]=$D28)))*((tblTransactions[Transaction Status]="Completed")+(tblTransactions[Transaction Status]="Reconciled"))),1)),""))</f>
      </c>
      <c r="J28" s="1">
        <f>IF($D28="","",IFERROR(INDEX(tblAccounts[Account Type],ROW()-1),""))</f>
      </c>
      <c r="K28" s="1">
        <f>IF($D28="","",IFERROR(INDEX(tblAccounts[Include in Dashboard],ROW()-1),""))</f>
      </c>
      <c r="L28" s="1">
        <f>IF($D28="","",IFERROR(INDEX(tblAccounts[Status],ROW()-1),""))</f>
      </c>
    </row>
    <row r="29">
      <c r="A29" s="1" t="s">
        <v>247</v>
      </c>
      <c r="B29" s="1">
        <f>$B$28-$B$22</f>
      </c>
      <c r="D29" s="1">
        <f>IFERROR(IF(INDEX(tblAccounts[Account Name],ROW()-1)="","",INDEX(tblAccounts[Account Name],ROW()-1)),"")</f>
      </c>
      <c r="E29" s="1">
        <f>IF($D29="","",IFERROR(INDEX(tblAccounts[Opening Balance],ROW()-1),0))</f>
      </c>
      <c r="F29" s="1">
        <f>IF($D29="","",IFERROR(SUMIFS(tblTransactions[Amount],tblTransactions[Transaction Type],"Income",tblTransactions[Source Account],$D29,tblTransactions[Transaction Status],"Completed")+SUMIFS(tblTransactions[Amount],tblTransactions[Transaction Type],"Income",tblTransactions[Source Account],$D29,tblTransactions[Transaction Status],"Reconciled")+SUMIFS(tblTransactions[Amount],tblTransactions[Transaction Type],"Transfer",tblTransactions[Destination Type],"Account",tblTransactions[Destination Name],$D29,tblTransactions[Transaction Status],"Completed")+SUMIFS(tblTransactions[Amount],tblTransactions[Transaction Type],"Transfer",tblTransactions[Destination Type],"Account",tblTransactions[Destination Name],$D29,tblTransactions[Transaction Status],"Reconciled")+SUMIFS(tblTransactions[Amount],tblTransactions[Transaction Type],"Adjustment",tblTransactions[Source Account],$D29,tblTransactions[Transaction Status],"Completed",tblTransactions[Amount],"&gt;0")+SUMIFS(tblTransactions[Amount],tblTransactions[Transaction Type],"Adjustment",tblTransactions[Source Account],$D29,tblTransactions[Transaction Status],"Reconciled",tblTransactions[Amount],"&gt;0"),0))</f>
      </c>
      <c r="G29" s="1">
        <f>IF($D29="","",IFERROR(SUMIFS(tblTransactions[Amount],tblTransactions[Transaction Type],"Expense",tblTransactions[Source Account],$D29,tblTransactions[Transaction Status],"Completed")+SUMIFS(tblTransactions[Amount],tblTransactions[Transaction Type],"Expense",tblTransactions[Source Account],$D29,tblTransactions[Transaction Status],"Reconciled")+SUMIFS(tblTransactions[Amount],tblTransactions[Transaction Type],"Transfer",tblTransactions[Source Account],$D29,tblTransactions[Transaction Status],"Completed")+SUMIFS(tblTransactions[Amount],tblTransactions[Transaction Type],"Transfer",tblTransactions[Source Account],$D29,tblTransactions[Transaction Status],"Reconciled")-SUMIFS(tblTransactions[Amount],tblTransactions[Transaction Type],"Adjustment",tblTransactions[Source Account],$D29,tblTransactions[Transaction Status],"Completed",tblTransactions[Amount],"&lt;0")-SUMIFS(tblTransactions[Amount],tblTransactions[Transaction Type],"Adjustment",tblTransactions[Source Account],$D29,tblTransactions[Transaction Status],"Reconciled",tblTransactions[Amount],"&lt;0"),0))</f>
      </c>
      <c r="H29" s="1">
        <f>IF($D29="","",$E29+$F29-$G29)</f>
      </c>
      <c r="I29" s="4">
        <f>IF($D29="","",IFERROR(1/(1/AGGREGATE(14,6,tblTransactions[Transaction Date]/(((tblTransactions[Source Account]=$D29)+((tblTransactions[Transaction Type]="Transfer")*(tblTransactions[Destination Type]="Account")*(tblTransactions[Destination Name]=$D29)))*((tblTransactions[Transaction Status]="Completed")+(tblTransactions[Transaction Status]="Reconciled"))),1)),""))</f>
      </c>
      <c r="J29" s="1">
        <f>IF($D29="","",IFERROR(INDEX(tblAccounts[Account Type],ROW()-1),""))</f>
      </c>
      <c r="K29" s="1">
        <f>IF($D29="","",IFERROR(INDEX(tblAccounts[Include in Dashboard],ROW()-1),""))</f>
      </c>
      <c r="L29" s="1">
        <f>IF($D29="","",IFERROR(INDEX(tblAccounts[Status],ROW()-1),""))</f>
      </c>
    </row>
    <row r="30">
      <c r="A30" s="1" t="s">
        <v>248</v>
      </c>
      <c r="B30" s="1">
        <f>IFERROR($B$29/$B$28,0)</f>
      </c>
      <c r="D30" s="1">
        <f>IFERROR(IF(INDEX(tblAccounts[Account Name],ROW()-1)="","",INDEX(tblAccounts[Account Name],ROW()-1)),"")</f>
      </c>
      <c r="E30" s="1">
        <f>IF($D30="","",IFERROR(INDEX(tblAccounts[Opening Balance],ROW()-1),0))</f>
      </c>
      <c r="F30" s="1">
        <f>IF($D30="","",IFERROR(SUMIFS(tblTransactions[Amount],tblTransactions[Transaction Type],"Income",tblTransactions[Source Account],$D30,tblTransactions[Transaction Status],"Completed")+SUMIFS(tblTransactions[Amount],tblTransactions[Transaction Type],"Income",tblTransactions[Source Account],$D30,tblTransactions[Transaction Status],"Reconciled")+SUMIFS(tblTransactions[Amount],tblTransactions[Transaction Type],"Transfer",tblTransactions[Destination Type],"Account",tblTransactions[Destination Name],$D30,tblTransactions[Transaction Status],"Completed")+SUMIFS(tblTransactions[Amount],tblTransactions[Transaction Type],"Transfer",tblTransactions[Destination Type],"Account",tblTransactions[Destination Name],$D30,tblTransactions[Transaction Status],"Reconciled")+SUMIFS(tblTransactions[Amount],tblTransactions[Transaction Type],"Adjustment",tblTransactions[Source Account],$D30,tblTransactions[Transaction Status],"Completed",tblTransactions[Amount],"&gt;0")+SUMIFS(tblTransactions[Amount],tblTransactions[Transaction Type],"Adjustment",tblTransactions[Source Account],$D30,tblTransactions[Transaction Status],"Reconciled",tblTransactions[Amount],"&gt;0"),0))</f>
      </c>
      <c r="G30" s="1">
        <f>IF($D30="","",IFERROR(SUMIFS(tblTransactions[Amount],tblTransactions[Transaction Type],"Expense",tblTransactions[Source Account],$D30,tblTransactions[Transaction Status],"Completed")+SUMIFS(tblTransactions[Amount],tblTransactions[Transaction Type],"Expense",tblTransactions[Source Account],$D30,tblTransactions[Transaction Status],"Reconciled")+SUMIFS(tblTransactions[Amount],tblTransactions[Transaction Type],"Transfer",tblTransactions[Source Account],$D30,tblTransactions[Transaction Status],"Completed")+SUMIFS(tblTransactions[Amount],tblTransactions[Transaction Type],"Transfer",tblTransactions[Source Account],$D30,tblTransactions[Transaction Status],"Reconciled")-SUMIFS(tblTransactions[Amount],tblTransactions[Transaction Type],"Adjustment",tblTransactions[Source Account],$D30,tblTransactions[Transaction Status],"Completed",tblTransactions[Amount],"&lt;0")-SUMIFS(tblTransactions[Amount],tblTransactions[Transaction Type],"Adjustment",tblTransactions[Source Account],$D30,tblTransactions[Transaction Status],"Reconciled",tblTransactions[Amount],"&lt;0"),0))</f>
      </c>
      <c r="H30" s="1">
        <f>IF($D30="","",$E30+$F30-$G30)</f>
      </c>
      <c r="I30" s="4">
        <f>IF($D30="","",IFERROR(1/(1/AGGREGATE(14,6,tblTransactions[Transaction Date]/(((tblTransactions[Source Account]=$D30)+((tblTransactions[Transaction Type]="Transfer")*(tblTransactions[Destination Type]="Account")*(tblTransactions[Destination Name]=$D30)))*((tblTransactions[Transaction Status]="Completed")+(tblTransactions[Transaction Status]="Reconciled"))),1)),""))</f>
      </c>
      <c r="J30" s="1">
        <f>IF($D30="","",IFERROR(INDEX(tblAccounts[Account Type],ROW()-1),""))</f>
      </c>
      <c r="K30" s="1">
        <f>IF($D30="","",IFERROR(INDEX(tblAccounts[Include in Dashboard],ROW()-1),""))</f>
      </c>
      <c r="L30" s="1">
        <f>IF($D30="","",IFERROR(INDEX(tblAccounts[Status],ROW()-1),""))</f>
      </c>
    </row>
    <row r="31">
      <c r="A31" s="1" t="s">
        <v>249</v>
      </c>
      <c r="B31" s="1">
        <f>IFERROR(($B$18-$B$24)/MAX(1,MONTH($B$1)),0)</f>
      </c>
      <c r="D31" s="1">
        <f>IFERROR(IF(INDEX(tblAccounts[Account Name],ROW()-1)="","",INDEX(tblAccounts[Account Name],ROW()-1)),"")</f>
      </c>
      <c r="E31" s="1">
        <f>IF($D31="","",IFERROR(INDEX(tblAccounts[Opening Balance],ROW()-1),0))</f>
      </c>
      <c r="F31" s="1">
        <f>IF($D31="","",IFERROR(SUMIFS(tblTransactions[Amount],tblTransactions[Transaction Type],"Income",tblTransactions[Source Account],$D31,tblTransactions[Transaction Status],"Completed")+SUMIFS(tblTransactions[Amount],tblTransactions[Transaction Type],"Income",tblTransactions[Source Account],$D31,tblTransactions[Transaction Status],"Reconciled")+SUMIFS(tblTransactions[Amount],tblTransactions[Transaction Type],"Transfer",tblTransactions[Destination Type],"Account",tblTransactions[Destination Name],$D31,tblTransactions[Transaction Status],"Completed")+SUMIFS(tblTransactions[Amount],tblTransactions[Transaction Type],"Transfer",tblTransactions[Destination Type],"Account",tblTransactions[Destination Name],$D31,tblTransactions[Transaction Status],"Reconciled")+SUMIFS(tblTransactions[Amount],tblTransactions[Transaction Type],"Adjustment",tblTransactions[Source Account],$D31,tblTransactions[Transaction Status],"Completed",tblTransactions[Amount],"&gt;0")+SUMIFS(tblTransactions[Amount],tblTransactions[Transaction Type],"Adjustment",tblTransactions[Source Account],$D31,tblTransactions[Transaction Status],"Reconciled",tblTransactions[Amount],"&gt;0"),0))</f>
      </c>
      <c r="G31" s="1">
        <f>IF($D31="","",IFERROR(SUMIFS(tblTransactions[Amount],tblTransactions[Transaction Type],"Expense",tblTransactions[Source Account],$D31,tblTransactions[Transaction Status],"Completed")+SUMIFS(tblTransactions[Amount],tblTransactions[Transaction Type],"Expense",tblTransactions[Source Account],$D31,tblTransactions[Transaction Status],"Reconciled")+SUMIFS(tblTransactions[Amount],tblTransactions[Transaction Type],"Transfer",tblTransactions[Source Account],$D31,tblTransactions[Transaction Status],"Completed")+SUMIFS(tblTransactions[Amount],tblTransactions[Transaction Type],"Transfer",tblTransactions[Source Account],$D31,tblTransactions[Transaction Status],"Reconciled")-SUMIFS(tblTransactions[Amount],tblTransactions[Transaction Type],"Adjustment",tblTransactions[Source Account],$D31,tblTransactions[Transaction Status],"Completed",tblTransactions[Amount],"&lt;0")-SUMIFS(tblTransactions[Amount],tblTransactions[Transaction Type],"Adjustment",tblTransactions[Source Account],$D31,tblTransactions[Transaction Status],"Reconciled",tblTransactions[Amount],"&lt;0"),0))</f>
      </c>
      <c r="H31" s="1">
        <f>IF($D31="","",$E31+$F31-$G31)</f>
      </c>
      <c r="I31" s="4">
        <f>IF($D31="","",IFERROR(1/(1/AGGREGATE(14,6,tblTransactions[Transaction Date]/(((tblTransactions[Source Account]=$D31)+((tblTransactions[Transaction Type]="Transfer")*(tblTransactions[Destination Type]="Account")*(tblTransactions[Destination Name]=$D31)))*((tblTransactions[Transaction Status]="Completed")+(tblTransactions[Transaction Status]="Reconciled"))),1)),""))</f>
      </c>
      <c r="J31" s="1">
        <f>IF($D31="","",IFERROR(INDEX(tblAccounts[Account Type],ROW()-1),""))</f>
      </c>
      <c r="K31" s="1">
        <f>IF($D31="","",IFERROR(INDEX(tblAccounts[Include in Dashboard],ROW()-1),""))</f>
      </c>
      <c r="L31" s="1">
        <f>IF($D31="","",IFERROR(INDEX(tblAccounts[Status],ROW()-1),""))</f>
      </c>
    </row>
    <row r="32">
      <c r="D32" s="1">
        <f>IFERROR(IF(INDEX(tblAccounts[Account Name],ROW()-1)="","",INDEX(tblAccounts[Account Name],ROW()-1)),"")</f>
      </c>
      <c r="E32" s="1">
        <f>IF($D32="","",IFERROR(INDEX(tblAccounts[Opening Balance],ROW()-1),0))</f>
      </c>
      <c r="F32" s="1">
        <f>IF($D32="","",IFERROR(SUMIFS(tblTransactions[Amount],tblTransactions[Transaction Type],"Income",tblTransactions[Source Account],$D32,tblTransactions[Transaction Status],"Completed")+SUMIFS(tblTransactions[Amount],tblTransactions[Transaction Type],"Income",tblTransactions[Source Account],$D32,tblTransactions[Transaction Status],"Reconciled")+SUMIFS(tblTransactions[Amount],tblTransactions[Transaction Type],"Transfer",tblTransactions[Destination Type],"Account",tblTransactions[Destination Name],$D32,tblTransactions[Transaction Status],"Completed")+SUMIFS(tblTransactions[Amount],tblTransactions[Transaction Type],"Transfer",tblTransactions[Destination Type],"Account",tblTransactions[Destination Name],$D32,tblTransactions[Transaction Status],"Reconciled")+SUMIFS(tblTransactions[Amount],tblTransactions[Transaction Type],"Adjustment",tblTransactions[Source Account],$D32,tblTransactions[Transaction Status],"Completed",tblTransactions[Amount],"&gt;0")+SUMIFS(tblTransactions[Amount],tblTransactions[Transaction Type],"Adjustment",tblTransactions[Source Account],$D32,tblTransactions[Transaction Status],"Reconciled",tblTransactions[Amount],"&gt;0"),0))</f>
      </c>
      <c r="G32" s="1">
        <f>IF($D32="","",IFERROR(SUMIFS(tblTransactions[Amount],tblTransactions[Transaction Type],"Expense",tblTransactions[Source Account],$D32,tblTransactions[Transaction Status],"Completed")+SUMIFS(tblTransactions[Amount],tblTransactions[Transaction Type],"Expense",tblTransactions[Source Account],$D32,tblTransactions[Transaction Status],"Reconciled")+SUMIFS(tblTransactions[Amount],tblTransactions[Transaction Type],"Transfer",tblTransactions[Source Account],$D32,tblTransactions[Transaction Status],"Completed")+SUMIFS(tblTransactions[Amount],tblTransactions[Transaction Type],"Transfer",tblTransactions[Source Account],$D32,tblTransactions[Transaction Status],"Reconciled")-SUMIFS(tblTransactions[Amount],tblTransactions[Transaction Type],"Adjustment",tblTransactions[Source Account],$D32,tblTransactions[Transaction Status],"Completed",tblTransactions[Amount],"&lt;0")-SUMIFS(tblTransactions[Amount],tblTransactions[Transaction Type],"Adjustment",tblTransactions[Source Account],$D32,tblTransactions[Transaction Status],"Reconciled",tblTransactions[Amount],"&lt;0"),0))</f>
      </c>
      <c r="H32" s="1">
        <f>IF($D32="","",$E32+$F32-$G32)</f>
      </c>
      <c r="I32" s="4">
        <f>IF($D32="","",IFERROR(1/(1/AGGREGATE(14,6,tblTransactions[Transaction Date]/(((tblTransactions[Source Account]=$D32)+((tblTransactions[Transaction Type]="Transfer")*(tblTransactions[Destination Type]="Account")*(tblTransactions[Destination Name]=$D32)))*((tblTransactions[Transaction Status]="Completed")+(tblTransactions[Transaction Status]="Reconciled"))),1)),""))</f>
      </c>
      <c r="J32" s="1">
        <f>IF($D32="","",IFERROR(INDEX(tblAccounts[Account Type],ROW()-1),""))</f>
      </c>
      <c r="K32" s="1">
        <f>IF($D32="","",IFERROR(INDEX(tblAccounts[Include in Dashboard],ROW()-1),""))</f>
      </c>
      <c r="L32" s="1">
        <f>IF($D32="","",IFERROR(INDEX(tblAccounts[Status],ROW()-1),""))</f>
      </c>
    </row>
    <row r="33">
      <c r="A33" s="1" t="s">
        <v>250</v>
      </c>
      <c r="D33" s="1">
        <f>IFERROR(IF(INDEX(tblAccounts[Account Name],ROW()-1)="","",INDEX(tblAccounts[Account Name],ROW()-1)),"")</f>
      </c>
      <c r="E33" s="1">
        <f>IF($D33="","",IFERROR(INDEX(tblAccounts[Opening Balance],ROW()-1),0))</f>
      </c>
      <c r="F33" s="1">
        <f>IF($D33="","",IFERROR(SUMIFS(tblTransactions[Amount],tblTransactions[Transaction Type],"Income",tblTransactions[Source Account],$D33,tblTransactions[Transaction Status],"Completed")+SUMIFS(tblTransactions[Amount],tblTransactions[Transaction Type],"Income",tblTransactions[Source Account],$D33,tblTransactions[Transaction Status],"Reconciled")+SUMIFS(tblTransactions[Amount],tblTransactions[Transaction Type],"Transfer",tblTransactions[Destination Type],"Account",tblTransactions[Destination Name],$D33,tblTransactions[Transaction Status],"Completed")+SUMIFS(tblTransactions[Amount],tblTransactions[Transaction Type],"Transfer",tblTransactions[Destination Type],"Account",tblTransactions[Destination Name],$D33,tblTransactions[Transaction Status],"Reconciled")+SUMIFS(tblTransactions[Amount],tblTransactions[Transaction Type],"Adjustment",tblTransactions[Source Account],$D33,tblTransactions[Transaction Status],"Completed",tblTransactions[Amount],"&gt;0")+SUMIFS(tblTransactions[Amount],tblTransactions[Transaction Type],"Adjustment",tblTransactions[Source Account],$D33,tblTransactions[Transaction Status],"Reconciled",tblTransactions[Amount],"&gt;0"),0))</f>
      </c>
      <c r="G33" s="1">
        <f>IF($D33="","",IFERROR(SUMIFS(tblTransactions[Amount],tblTransactions[Transaction Type],"Expense",tblTransactions[Source Account],$D33,tblTransactions[Transaction Status],"Completed")+SUMIFS(tblTransactions[Amount],tblTransactions[Transaction Type],"Expense",tblTransactions[Source Account],$D33,tblTransactions[Transaction Status],"Reconciled")+SUMIFS(tblTransactions[Amount],tblTransactions[Transaction Type],"Transfer",tblTransactions[Source Account],$D33,tblTransactions[Transaction Status],"Completed")+SUMIFS(tblTransactions[Amount],tblTransactions[Transaction Type],"Transfer",tblTransactions[Source Account],$D33,tblTransactions[Transaction Status],"Reconciled")-SUMIFS(tblTransactions[Amount],tblTransactions[Transaction Type],"Adjustment",tblTransactions[Source Account],$D33,tblTransactions[Transaction Status],"Completed",tblTransactions[Amount],"&lt;0")-SUMIFS(tblTransactions[Amount],tblTransactions[Transaction Type],"Adjustment",tblTransactions[Source Account],$D33,tblTransactions[Transaction Status],"Reconciled",tblTransactions[Amount],"&lt;0"),0))</f>
      </c>
      <c r="H33" s="1">
        <f>IF($D33="","",$E33+$F33-$G33)</f>
      </c>
      <c r="I33" s="4">
        <f>IF($D33="","",IFERROR(1/(1/AGGREGATE(14,6,tblTransactions[Transaction Date]/(((tblTransactions[Source Account]=$D33)+((tblTransactions[Transaction Type]="Transfer")*(tblTransactions[Destination Type]="Account")*(tblTransactions[Destination Name]=$D33)))*((tblTransactions[Transaction Status]="Completed")+(tblTransactions[Transaction Status]="Reconciled"))),1)),""))</f>
      </c>
      <c r="J33" s="1">
        <f>IF($D33="","",IFERROR(INDEX(tblAccounts[Account Type],ROW()-1),""))</f>
      </c>
      <c r="K33" s="1">
        <f>IF($D33="","",IFERROR(INDEX(tblAccounts[Include in Dashboard],ROW()-1),""))</f>
      </c>
      <c r="L33" s="1">
        <f>IF($D33="","",IFERROR(INDEX(tblAccounts[Status],ROW()-1),""))</f>
      </c>
    </row>
    <row r="34">
      <c r="A34" s="1" t="s">
        <v>251</v>
      </c>
      <c r="B34" s="1">
        <f>IFERROR(SUMIFS(tblAssets[Purchase Value],tblAssets[Status],"Active"),0)</f>
      </c>
      <c r="D34" s="1">
        <f>IFERROR(IF(INDEX(tblAccounts[Account Name],ROW()-1)="","",INDEX(tblAccounts[Account Name],ROW()-1)),"")</f>
      </c>
      <c r="E34" s="1">
        <f>IF($D34="","",IFERROR(INDEX(tblAccounts[Opening Balance],ROW()-1),0))</f>
      </c>
      <c r="F34" s="1">
        <f>IF($D34="","",IFERROR(SUMIFS(tblTransactions[Amount],tblTransactions[Transaction Type],"Income",tblTransactions[Source Account],$D34,tblTransactions[Transaction Status],"Completed")+SUMIFS(tblTransactions[Amount],tblTransactions[Transaction Type],"Income",tblTransactions[Source Account],$D34,tblTransactions[Transaction Status],"Reconciled")+SUMIFS(tblTransactions[Amount],tblTransactions[Transaction Type],"Transfer",tblTransactions[Destination Type],"Account",tblTransactions[Destination Name],$D34,tblTransactions[Transaction Status],"Completed")+SUMIFS(tblTransactions[Amount],tblTransactions[Transaction Type],"Transfer",tblTransactions[Destination Type],"Account",tblTransactions[Destination Name],$D34,tblTransactions[Transaction Status],"Reconciled")+SUMIFS(tblTransactions[Amount],tblTransactions[Transaction Type],"Adjustment",tblTransactions[Source Account],$D34,tblTransactions[Transaction Status],"Completed",tblTransactions[Amount],"&gt;0")+SUMIFS(tblTransactions[Amount],tblTransactions[Transaction Type],"Adjustment",tblTransactions[Source Account],$D34,tblTransactions[Transaction Status],"Reconciled",tblTransactions[Amount],"&gt;0"),0))</f>
      </c>
      <c r="G34" s="1">
        <f>IF($D34="","",IFERROR(SUMIFS(tblTransactions[Amount],tblTransactions[Transaction Type],"Expense",tblTransactions[Source Account],$D34,tblTransactions[Transaction Status],"Completed")+SUMIFS(tblTransactions[Amount],tblTransactions[Transaction Type],"Expense",tblTransactions[Source Account],$D34,tblTransactions[Transaction Status],"Reconciled")+SUMIFS(tblTransactions[Amount],tblTransactions[Transaction Type],"Transfer",tblTransactions[Source Account],$D34,tblTransactions[Transaction Status],"Completed")+SUMIFS(tblTransactions[Amount],tblTransactions[Transaction Type],"Transfer",tblTransactions[Source Account],$D34,tblTransactions[Transaction Status],"Reconciled")-SUMIFS(tblTransactions[Amount],tblTransactions[Transaction Type],"Adjustment",tblTransactions[Source Account],$D34,tblTransactions[Transaction Status],"Completed",tblTransactions[Amount],"&lt;0")-SUMIFS(tblTransactions[Amount],tblTransactions[Transaction Type],"Adjustment",tblTransactions[Source Account],$D34,tblTransactions[Transaction Status],"Reconciled",tblTransactions[Amount],"&lt;0"),0))</f>
      </c>
      <c r="H34" s="1">
        <f>IF($D34="","",$E34+$F34-$G34)</f>
      </c>
      <c r="I34" s="4">
        <f>IF($D34="","",IFERROR(1/(1/AGGREGATE(14,6,tblTransactions[Transaction Date]/(((tblTransactions[Source Account]=$D34)+((tblTransactions[Transaction Type]="Transfer")*(tblTransactions[Destination Type]="Account")*(tblTransactions[Destination Name]=$D34)))*((tblTransactions[Transaction Status]="Completed")+(tblTransactions[Transaction Status]="Reconciled"))),1)),""))</f>
      </c>
      <c r="J34" s="1">
        <f>IF($D34="","",IFERROR(INDEX(tblAccounts[Account Type],ROW()-1),""))</f>
      </c>
      <c r="K34" s="1">
        <f>IF($D34="","",IFERROR(INDEX(tblAccounts[Include in Dashboard],ROW()-1),""))</f>
      </c>
      <c r="L34" s="1">
        <f>IF($D34="","",IFERROR(INDEX(tblAccounts[Status],ROW()-1),""))</f>
      </c>
    </row>
    <row r="35">
      <c r="A35" s="1" t="s">
        <v>252</v>
      </c>
      <c r="B35" s="1">
        <f>IFERROR(SUMIFS(tblAssets[Current Value],tblAssets[Status],"Active"),0)</f>
      </c>
      <c r="D35" s="1">
        <f>IFERROR(IF(INDEX(tblAccounts[Account Name],ROW()-1)="","",INDEX(tblAccounts[Account Name],ROW()-1)),"")</f>
      </c>
      <c r="E35" s="1">
        <f>IF($D35="","",IFERROR(INDEX(tblAccounts[Opening Balance],ROW()-1),0))</f>
      </c>
      <c r="F35" s="1">
        <f>IF($D35="","",IFERROR(SUMIFS(tblTransactions[Amount],tblTransactions[Transaction Type],"Income",tblTransactions[Source Account],$D35,tblTransactions[Transaction Status],"Completed")+SUMIFS(tblTransactions[Amount],tblTransactions[Transaction Type],"Income",tblTransactions[Source Account],$D35,tblTransactions[Transaction Status],"Reconciled")+SUMIFS(tblTransactions[Amount],tblTransactions[Transaction Type],"Transfer",tblTransactions[Destination Type],"Account",tblTransactions[Destination Name],$D35,tblTransactions[Transaction Status],"Completed")+SUMIFS(tblTransactions[Amount],tblTransactions[Transaction Type],"Transfer",tblTransactions[Destination Type],"Account",tblTransactions[Destination Name],$D35,tblTransactions[Transaction Status],"Reconciled")+SUMIFS(tblTransactions[Amount],tblTransactions[Transaction Type],"Adjustment",tblTransactions[Source Account],$D35,tblTransactions[Transaction Status],"Completed",tblTransactions[Amount],"&gt;0")+SUMIFS(tblTransactions[Amount],tblTransactions[Transaction Type],"Adjustment",tblTransactions[Source Account],$D35,tblTransactions[Transaction Status],"Reconciled",tblTransactions[Amount],"&gt;0"),0))</f>
      </c>
      <c r="G35" s="1">
        <f>IF($D35="","",IFERROR(SUMIFS(tblTransactions[Amount],tblTransactions[Transaction Type],"Expense",tblTransactions[Source Account],$D35,tblTransactions[Transaction Status],"Completed")+SUMIFS(tblTransactions[Amount],tblTransactions[Transaction Type],"Expense",tblTransactions[Source Account],$D35,tblTransactions[Transaction Status],"Reconciled")+SUMIFS(tblTransactions[Amount],tblTransactions[Transaction Type],"Transfer",tblTransactions[Source Account],$D35,tblTransactions[Transaction Status],"Completed")+SUMIFS(tblTransactions[Amount],tblTransactions[Transaction Type],"Transfer",tblTransactions[Source Account],$D35,tblTransactions[Transaction Status],"Reconciled")-SUMIFS(tblTransactions[Amount],tblTransactions[Transaction Type],"Adjustment",tblTransactions[Source Account],$D35,tblTransactions[Transaction Status],"Completed",tblTransactions[Amount],"&lt;0")-SUMIFS(tblTransactions[Amount],tblTransactions[Transaction Type],"Adjustment",tblTransactions[Source Account],$D35,tblTransactions[Transaction Status],"Reconciled",tblTransactions[Amount],"&lt;0"),0))</f>
      </c>
      <c r="H35" s="1">
        <f>IF($D35="","",$E35+$F35-$G35)</f>
      </c>
      <c r="I35" s="4">
        <f>IF($D35="","",IFERROR(1/(1/AGGREGATE(14,6,tblTransactions[Transaction Date]/(((tblTransactions[Source Account]=$D35)+((tblTransactions[Transaction Type]="Transfer")*(tblTransactions[Destination Type]="Account")*(tblTransactions[Destination Name]=$D35)))*((tblTransactions[Transaction Status]="Completed")+(tblTransactions[Transaction Status]="Reconciled"))),1)),""))</f>
      </c>
      <c r="J35" s="1">
        <f>IF($D35="","",IFERROR(INDEX(tblAccounts[Account Type],ROW()-1),""))</f>
      </c>
      <c r="K35" s="1">
        <f>IF($D35="","",IFERROR(INDEX(tblAccounts[Include in Dashboard],ROW()-1),""))</f>
      </c>
      <c r="L35" s="1">
        <f>IF($D35="","",IFERROR(INDEX(tblAccounts[Status],ROW()-1),""))</f>
      </c>
    </row>
    <row r="36">
      <c r="A36" s="1" t="s">
        <v>253</v>
      </c>
      <c r="B36" s="1">
        <f>IFERROR(SUMIFS(tblAssets[Appreciation Amount],tblAssets[Status],"Active"),0)</f>
      </c>
      <c r="D36" s="1">
        <f>IFERROR(IF(INDEX(tblAccounts[Account Name],ROW()-1)="","",INDEX(tblAccounts[Account Name],ROW()-1)),"")</f>
      </c>
      <c r="E36" s="1">
        <f>IF($D36="","",IFERROR(INDEX(tblAccounts[Opening Balance],ROW()-1),0))</f>
      </c>
      <c r="F36" s="1">
        <f>IF($D36="","",IFERROR(SUMIFS(tblTransactions[Amount],tblTransactions[Transaction Type],"Income",tblTransactions[Source Account],$D36,tblTransactions[Transaction Status],"Completed")+SUMIFS(tblTransactions[Amount],tblTransactions[Transaction Type],"Income",tblTransactions[Source Account],$D36,tblTransactions[Transaction Status],"Reconciled")+SUMIFS(tblTransactions[Amount],tblTransactions[Transaction Type],"Transfer",tblTransactions[Destination Type],"Account",tblTransactions[Destination Name],$D36,tblTransactions[Transaction Status],"Completed")+SUMIFS(tblTransactions[Amount],tblTransactions[Transaction Type],"Transfer",tblTransactions[Destination Type],"Account",tblTransactions[Destination Name],$D36,tblTransactions[Transaction Status],"Reconciled")+SUMIFS(tblTransactions[Amount],tblTransactions[Transaction Type],"Adjustment",tblTransactions[Source Account],$D36,tblTransactions[Transaction Status],"Completed",tblTransactions[Amount],"&gt;0")+SUMIFS(tblTransactions[Amount],tblTransactions[Transaction Type],"Adjustment",tblTransactions[Source Account],$D36,tblTransactions[Transaction Status],"Reconciled",tblTransactions[Amount],"&gt;0"),0))</f>
      </c>
      <c r="G36" s="1">
        <f>IF($D36="","",IFERROR(SUMIFS(tblTransactions[Amount],tblTransactions[Transaction Type],"Expense",tblTransactions[Source Account],$D36,tblTransactions[Transaction Status],"Completed")+SUMIFS(tblTransactions[Amount],tblTransactions[Transaction Type],"Expense",tblTransactions[Source Account],$D36,tblTransactions[Transaction Status],"Reconciled")+SUMIFS(tblTransactions[Amount],tblTransactions[Transaction Type],"Transfer",tblTransactions[Source Account],$D36,tblTransactions[Transaction Status],"Completed")+SUMIFS(tblTransactions[Amount],tblTransactions[Transaction Type],"Transfer",tblTransactions[Source Account],$D36,tblTransactions[Transaction Status],"Reconciled")-SUMIFS(tblTransactions[Amount],tblTransactions[Transaction Type],"Adjustment",tblTransactions[Source Account],$D36,tblTransactions[Transaction Status],"Completed",tblTransactions[Amount],"&lt;0")-SUMIFS(tblTransactions[Amount],tblTransactions[Transaction Type],"Adjustment",tblTransactions[Source Account],$D36,tblTransactions[Transaction Status],"Reconciled",tblTransactions[Amount],"&lt;0"),0))</f>
      </c>
      <c r="H36" s="1">
        <f>IF($D36="","",$E36+$F36-$G36)</f>
      </c>
      <c r="I36" s="4">
        <f>IF($D36="","",IFERROR(1/(1/AGGREGATE(14,6,tblTransactions[Transaction Date]/(((tblTransactions[Source Account]=$D36)+((tblTransactions[Transaction Type]="Transfer")*(tblTransactions[Destination Type]="Account")*(tblTransactions[Destination Name]=$D36)))*((tblTransactions[Transaction Status]="Completed")+(tblTransactions[Transaction Status]="Reconciled"))),1)),""))</f>
      </c>
      <c r="J36" s="1">
        <f>IF($D36="","",IFERROR(INDEX(tblAccounts[Account Type],ROW()-1),""))</f>
      </c>
      <c r="K36" s="1">
        <f>IF($D36="","",IFERROR(INDEX(tblAccounts[Include in Dashboard],ROW()-1),""))</f>
      </c>
      <c r="L36" s="1">
        <f>IF($D36="","",IFERROR(INDEX(tblAccounts[Status],ROW()-1),""))</f>
      </c>
    </row>
    <row r="37">
      <c r="A37" s="1" t="s">
        <v>254</v>
      </c>
      <c r="B37" s="1">
        <f>IFERROR($B$36/$B$34,0)</f>
      </c>
      <c r="D37" s="1">
        <f>IFERROR(IF(INDEX(tblAccounts[Account Name],ROW()-1)="","",INDEX(tblAccounts[Account Name],ROW()-1)),"")</f>
      </c>
      <c r="E37" s="1">
        <f>IF($D37="","",IFERROR(INDEX(tblAccounts[Opening Balance],ROW()-1),0))</f>
      </c>
      <c r="F37" s="1">
        <f>IF($D37="","",IFERROR(SUMIFS(tblTransactions[Amount],tblTransactions[Transaction Type],"Income",tblTransactions[Source Account],$D37,tblTransactions[Transaction Status],"Completed")+SUMIFS(tblTransactions[Amount],tblTransactions[Transaction Type],"Income",tblTransactions[Source Account],$D37,tblTransactions[Transaction Status],"Reconciled")+SUMIFS(tblTransactions[Amount],tblTransactions[Transaction Type],"Transfer",tblTransactions[Destination Type],"Account",tblTransactions[Destination Name],$D37,tblTransactions[Transaction Status],"Completed")+SUMIFS(tblTransactions[Amount],tblTransactions[Transaction Type],"Transfer",tblTransactions[Destination Type],"Account",tblTransactions[Destination Name],$D37,tblTransactions[Transaction Status],"Reconciled")+SUMIFS(tblTransactions[Amount],tblTransactions[Transaction Type],"Adjustment",tblTransactions[Source Account],$D37,tblTransactions[Transaction Status],"Completed",tblTransactions[Amount],"&gt;0")+SUMIFS(tblTransactions[Amount],tblTransactions[Transaction Type],"Adjustment",tblTransactions[Source Account],$D37,tblTransactions[Transaction Status],"Reconciled",tblTransactions[Amount],"&gt;0"),0))</f>
      </c>
      <c r="G37" s="1">
        <f>IF($D37="","",IFERROR(SUMIFS(tblTransactions[Amount],tblTransactions[Transaction Type],"Expense",tblTransactions[Source Account],$D37,tblTransactions[Transaction Status],"Completed")+SUMIFS(tblTransactions[Amount],tblTransactions[Transaction Type],"Expense",tblTransactions[Source Account],$D37,tblTransactions[Transaction Status],"Reconciled")+SUMIFS(tblTransactions[Amount],tblTransactions[Transaction Type],"Transfer",tblTransactions[Source Account],$D37,tblTransactions[Transaction Status],"Completed")+SUMIFS(tblTransactions[Amount],tblTransactions[Transaction Type],"Transfer",tblTransactions[Source Account],$D37,tblTransactions[Transaction Status],"Reconciled")-SUMIFS(tblTransactions[Amount],tblTransactions[Transaction Type],"Adjustment",tblTransactions[Source Account],$D37,tblTransactions[Transaction Status],"Completed",tblTransactions[Amount],"&lt;0")-SUMIFS(tblTransactions[Amount],tblTransactions[Transaction Type],"Adjustment",tblTransactions[Source Account],$D37,tblTransactions[Transaction Status],"Reconciled",tblTransactions[Amount],"&lt;0"),0))</f>
      </c>
      <c r="H37" s="1">
        <f>IF($D37="","",$E37+$F37-$G37)</f>
      </c>
      <c r="I37" s="4">
        <f>IF($D37="","",IFERROR(1/(1/AGGREGATE(14,6,tblTransactions[Transaction Date]/(((tblTransactions[Source Account]=$D37)+((tblTransactions[Transaction Type]="Transfer")*(tblTransactions[Destination Type]="Account")*(tblTransactions[Destination Name]=$D37)))*((tblTransactions[Transaction Status]="Completed")+(tblTransactions[Transaction Status]="Reconciled"))),1)),""))</f>
      </c>
      <c r="J37" s="1">
        <f>IF($D37="","",IFERROR(INDEX(tblAccounts[Account Type],ROW()-1),""))</f>
      </c>
      <c r="K37" s="1">
        <f>IF($D37="","",IFERROR(INDEX(tblAccounts[Include in Dashboard],ROW()-1),""))</f>
      </c>
      <c r="L37" s="1">
        <f>IF($D37="","",IFERROR(INDEX(tblAccounts[Status],ROW()-1),""))</f>
      </c>
    </row>
    <row r="38">
      <c r="A38" s="1" t="s">
        <v>255</v>
      </c>
      <c r="B38" s="1">
        <f>COUNTIFS(tblAssets[Status],"Active")</f>
      </c>
      <c r="D38" s="1">
        <f>IFERROR(IF(INDEX(tblAccounts[Account Name],ROW()-1)="","",INDEX(tblAccounts[Account Name],ROW()-1)),"")</f>
      </c>
      <c r="E38" s="1">
        <f>IF($D38="","",IFERROR(INDEX(tblAccounts[Opening Balance],ROW()-1),0))</f>
      </c>
      <c r="F38" s="1">
        <f>IF($D38="","",IFERROR(SUMIFS(tblTransactions[Amount],tblTransactions[Transaction Type],"Income",tblTransactions[Source Account],$D38,tblTransactions[Transaction Status],"Completed")+SUMIFS(tblTransactions[Amount],tblTransactions[Transaction Type],"Income",tblTransactions[Source Account],$D38,tblTransactions[Transaction Status],"Reconciled")+SUMIFS(tblTransactions[Amount],tblTransactions[Transaction Type],"Transfer",tblTransactions[Destination Type],"Account",tblTransactions[Destination Name],$D38,tblTransactions[Transaction Status],"Completed")+SUMIFS(tblTransactions[Amount],tblTransactions[Transaction Type],"Transfer",tblTransactions[Destination Type],"Account",tblTransactions[Destination Name],$D38,tblTransactions[Transaction Status],"Reconciled")+SUMIFS(tblTransactions[Amount],tblTransactions[Transaction Type],"Adjustment",tblTransactions[Source Account],$D38,tblTransactions[Transaction Status],"Completed",tblTransactions[Amount],"&gt;0")+SUMIFS(tblTransactions[Amount],tblTransactions[Transaction Type],"Adjustment",tblTransactions[Source Account],$D38,tblTransactions[Transaction Status],"Reconciled",tblTransactions[Amount],"&gt;0"),0))</f>
      </c>
      <c r="G38" s="1">
        <f>IF($D38="","",IFERROR(SUMIFS(tblTransactions[Amount],tblTransactions[Transaction Type],"Expense",tblTransactions[Source Account],$D38,tblTransactions[Transaction Status],"Completed")+SUMIFS(tblTransactions[Amount],tblTransactions[Transaction Type],"Expense",tblTransactions[Source Account],$D38,tblTransactions[Transaction Status],"Reconciled")+SUMIFS(tblTransactions[Amount],tblTransactions[Transaction Type],"Transfer",tblTransactions[Source Account],$D38,tblTransactions[Transaction Status],"Completed")+SUMIFS(tblTransactions[Amount],tblTransactions[Transaction Type],"Transfer",tblTransactions[Source Account],$D38,tblTransactions[Transaction Status],"Reconciled")-SUMIFS(tblTransactions[Amount],tblTransactions[Transaction Type],"Adjustment",tblTransactions[Source Account],$D38,tblTransactions[Transaction Status],"Completed",tblTransactions[Amount],"&lt;0")-SUMIFS(tblTransactions[Amount],tblTransactions[Transaction Type],"Adjustment",tblTransactions[Source Account],$D38,tblTransactions[Transaction Status],"Reconciled",tblTransactions[Amount],"&lt;0"),0))</f>
      </c>
      <c r="H38" s="1">
        <f>IF($D38="","",$E38+$F38-$G38)</f>
      </c>
      <c r="I38" s="4">
        <f>IF($D38="","",IFERROR(1/(1/AGGREGATE(14,6,tblTransactions[Transaction Date]/(((tblTransactions[Source Account]=$D38)+((tblTransactions[Transaction Type]="Transfer")*(tblTransactions[Destination Type]="Account")*(tblTransactions[Destination Name]=$D38)))*((tblTransactions[Transaction Status]="Completed")+(tblTransactions[Transaction Status]="Reconciled"))),1)),""))</f>
      </c>
      <c r="J38" s="1">
        <f>IF($D38="","",IFERROR(INDEX(tblAccounts[Account Type],ROW()-1),""))</f>
      </c>
      <c r="K38" s="1">
        <f>IF($D38="","",IFERROR(INDEX(tblAccounts[Include in Dashboard],ROW()-1),""))</f>
      </c>
      <c r="L38" s="1">
        <f>IF($D38="","",IFERROR(INDEX(tblAccounts[Status],ROW()-1),""))</f>
      </c>
    </row>
    <row r="39">
      <c r="D39" s="1">
        <f>IFERROR(IF(INDEX(tblAccounts[Account Name],ROW()-1)="","",INDEX(tblAccounts[Account Name],ROW()-1)),"")</f>
      </c>
      <c r="E39" s="1">
        <f>IF($D39="","",IFERROR(INDEX(tblAccounts[Opening Balance],ROW()-1),0))</f>
      </c>
      <c r="F39" s="1">
        <f>IF($D39="","",IFERROR(SUMIFS(tblTransactions[Amount],tblTransactions[Transaction Type],"Income",tblTransactions[Source Account],$D39,tblTransactions[Transaction Status],"Completed")+SUMIFS(tblTransactions[Amount],tblTransactions[Transaction Type],"Income",tblTransactions[Source Account],$D39,tblTransactions[Transaction Status],"Reconciled")+SUMIFS(tblTransactions[Amount],tblTransactions[Transaction Type],"Transfer",tblTransactions[Destination Type],"Account",tblTransactions[Destination Name],$D39,tblTransactions[Transaction Status],"Completed")+SUMIFS(tblTransactions[Amount],tblTransactions[Transaction Type],"Transfer",tblTransactions[Destination Type],"Account",tblTransactions[Destination Name],$D39,tblTransactions[Transaction Status],"Reconciled")+SUMIFS(tblTransactions[Amount],tblTransactions[Transaction Type],"Adjustment",tblTransactions[Source Account],$D39,tblTransactions[Transaction Status],"Completed",tblTransactions[Amount],"&gt;0")+SUMIFS(tblTransactions[Amount],tblTransactions[Transaction Type],"Adjustment",tblTransactions[Source Account],$D39,tblTransactions[Transaction Status],"Reconciled",tblTransactions[Amount],"&gt;0"),0))</f>
      </c>
      <c r="G39" s="1">
        <f>IF($D39="","",IFERROR(SUMIFS(tblTransactions[Amount],tblTransactions[Transaction Type],"Expense",tblTransactions[Source Account],$D39,tblTransactions[Transaction Status],"Completed")+SUMIFS(tblTransactions[Amount],tblTransactions[Transaction Type],"Expense",tblTransactions[Source Account],$D39,tblTransactions[Transaction Status],"Reconciled")+SUMIFS(tblTransactions[Amount],tblTransactions[Transaction Type],"Transfer",tblTransactions[Source Account],$D39,tblTransactions[Transaction Status],"Completed")+SUMIFS(tblTransactions[Amount],tblTransactions[Transaction Type],"Transfer",tblTransactions[Source Account],$D39,tblTransactions[Transaction Status],"Reconciled")-SUMIFS(tblTransactions[Amount],tblTransactions[Transaction Type],"Adjustment",tblTransactions[Source Account],$D39,tblTransactions[Transaction Status],"Completed",tblTransactions[Amount],"&lt;0")-SUMIFS(tblTransactions[Amount],tblTransactions[Transaction Type],"Adjustment",tblTransactions[Source Account],$D39,tblTransactions[Transaction Status],"Reconciled",tblTransactions[Amount],"&lt;0"),0))</f>
      </c>
      <c r="H39" s="1">
        <f>IF($D39="","",$E39+$F39-$G39)</f>
      </c>
      <c r="I39" s="4">
        <f>IF($D39="","",IFERROR(1/(1/AGGREGATE(14,6,tblTransactions[Transaction Date]/(((tblTransactions[Source Account]=$D39)+((tblTransactions[Transaction Type]="Transfer")*(tblTransactions[Destination Type]="Account")*(tblTransactions[Destination Name]=$D39)))*((tblTransactions[Transaction Status]="Completed")+(tblTransactions[Transaction Status]="Reconciled"))),1)),""))</f>
      </c>
      <c r="J39" s="1">
        <f>IF($D39="","",IFERROR(INDEX(tblAccounts[Account Type],ROW()-1),""))</f>
      </c>
      <c r="K39" s="1">
        <f>IF($D39="","",IFERROR(INDEX(tblAccounts[Include in Dashboard],ROW()-1),""))</f>
      </c>
      <c r="L39" s="1">
        <f>IF($D39="","",IFERROR(INDEX(tblAccounts[Status],ROW()-1),""))</f>
      </c>
    </row>
    <row r="40">
      <c r="A40" s="1" t="s">
        <v>256</v>
      </c>
      <c r="D40" s="1">
        <f>IFERROR(IF(INDEX(tblAccounts[Account Name],ROW()-1)="","",INDEX(tblAccounts[Account Name],ROW()-1)),"")</f>
      </c>
      <c r="E40" s="1">
        <f>IF($D40="","",IFERROR(INDEX(tblAccounts[Opening Balance],ROW()-1),0))</f>
      </c>
      <c r="F40" s="1">
        <f>IF($D40="","",IFERROR(SUMIFS(tblTransactions[Amount],tblTransactions[Transaction Type],"Income",tblTransactions[Source Account],$D40,tblTransactions[Transaction Status],"Completed")+SUMIFS(tblTransactions[Amount],tblTransactions[Transaction Type],"Income",tblTransactions[Source Account],$D40,tblTransactions[Transaction Status],"Reconciled")+SUMIFS(tblTransactions[Amount],tblTransactions[Transaction Type],"Transfer",tblTransactions[Destination Type],"Account",tblTransactions[Destination Name],$D40,tblTransactions[Transaction Status],"Completed")+SUMIFS(tblTransactions[Amount],tblTransactions[Transaction Type],"Transfer",tblTransactions[Destination Type],"Account",tblTransactions[Destination Name],$D40,tblTransactions[Transaction Status],"Reconciled")+SUMIFS(tblTransactions[Amount],tblTransactions[Transaction Type],"Adjustment",tblTransactions[Source Account],$D40,tblTransactions[Transaction Status],"Completed",tblTransactions[Amount],"&gt;0")+SUMIFS(tblTransactions[Amount],tblTransactions[Transaction Type],"Adjustment",tblTransactions[Source Account],$D40,tblTransactions[Transaction Status],"Reconciled",tblTransactions[Amount],"&gt;0"),0))</f>
      </c>
      <c r="G40" s="1">
        <f>IF($D40="","",IFERROR(SUMIFS(tblTransactions[Amount],tblTransactions[Transaction Type],"Expense",tblTransactions[Source Account],$D40,tblTransactions[Transaction Status],"Completed")+SUMIFS(tblTransactions[Amount],tblTransactions[Transaction Type],"Expense",tblTransactions[Source Account],$D40,tblTransactions[Transaction Status],"Reconciled")+SUMIFS(tblTransactions[Amount],tblTransactions[Transaction Type],"Transfer",tblTransactions[Source Account],$D40,tblTransactions[Transaction Status],"Completed")+SUMIFS(tblTransactions[Amount],tblTransactions[Transaction Type],"Transfer",tblTransactions[Source Account],$D40,tblTransactions[Transaction Status],"Reconciled")-SUMIFS(tblTransactions[Amount],tblTransactions[Transaction Type],"Adjustment",tblTransactions[Source Account],$D40,tblTransactions[Transaction Status],"Completed",tblTransactions[Amount],"&lt;0")-SUMIFS(tblTransactions[Amount],tblTransactions[Transaction Type],"Adjustment",tblTransactions[Source Account],$D40,tblTransactions[Transaction Status],"Reconciled",tblTransactions[Amount],"&lt;0"),0))</f>
      </c>
      <c r="H40" s="1">
        <f>IF($D40="","",$E40+$F40-$G40)</f>
      </c>
      <c r="I40" s="4">
        <f>IF($D40="","",IFERROR(1/(1/AGGREGATE(14,6,tblTransactions[Transaction Date]/(((tblTransactions[Source Account]=$D40)+((tblTransactions[Transaction Type]="Transfer")*(tblTransactions[Destination Type]="Account")*(tblTransactions[Destination Name]=$D40)))*((tblTransactions[Transaction Status]="Completed")+(tblTransactions[Transaction Status]="Reconciled"))),1)),""))</f>
      </c>
      <c r="J40" s="1">
        <f>IF($D40="","",IFERROR(INDEX(tblAccounts[Account Type],ROW()-1),""))</f>
      </c>
      <c r="K40" s="1">
        <f>IF($D40="","",IFERROR(INDEX(tblAccounts[Include in Dashboard],ROW()-1),""))</f>
      </c>
      <c r="L40" s="1">
        <f>IF($D40="","",IFERROR(INDEX(tblAccounts[Status],ROW()-1),""))</f>
      </c>
    </row>
    <row r="41">
      <c r="A41" s="1" t="s">
        <v>257</v>
      </c>
      <c r="B41" s="1">
        <f>IFERROR(SUMIFS(tblLiabilities[Original Amount],tblLiabilities[Status],"Active"),0)</f>
      </c>
      <c r="D41" s="1">
        <f>IFERROR(IF(INDEX(tblAccounts[Account Name],ROW()-1)="","",INDEX(tblAccounts[Account Name],ROW()-1)),"")</f>
      </c>
      <c r="E41" s="1">
        <f>IF($D41="","",IFERROR(INDEX(tblAccounts[Opening Balance],ROW()-1),0))</f>
      </c>
      <c r="F41" s="1">
        <f>IF($D41="","",IFERROR(SUMIFS(tblTransactions[Amount],tblTransactions[Transaction Type],"Income",tblTransactions[Source Account],$D41,tblTransactions[Transaction Status],"Completed")+SUMIFS(tblTransactions[Amount],tblTransactions[Transaction Type],"Income",tblTransactions[Source Account],$D41,tblTransactions[Transaction Status],"Reconciled")+SUMIFS(tblTransactions[Amount],tblTransactions[Transaction Type],"Transfer",tblTransactions[Destination Type],"Account",tblTransactions[Destination Name],$D41,tblTransactions[Transaction Status],"Completed")+SUMIFS(tblTransactions[Amount],tblTransactions[Transaction Type],"Transfer",tblTransactions[Destination Type],"Account",tblTransactions[Destination Name],$D41,tblTransactions[Transaction Status],"Reconciled")+SUMIFS(tblTransactions[Amount],tblTransactions[Transaction Type],"Adjustment",tblTransactions[Source Account],$D41,tblTransactions[Transaction Status],"Completed",tblTransactions[Amount],"&gt;0")+SUMIFS(tblTransactions[Amount],tblTransactions[Transaction Type],"Adjustment",tblTransactions[Source Account],$D41,tblTransactions[Transaction Status],"Reconciled",tblTransactions[Amount],"&gt;0"),0))</f>
      </c>
      <c r="G41" s="1">
        <f>IF($D41="","",IFERROR(SUMIFS(tblTransactions[Amount],tblTransactions[Transaction Type],"Expense",tblTransactions[Source Account],$D41,tblTransactions[Transaction Status],"Completed")+SUMIFS(tblTransactions[Amount],tblTransactions[Transaction Type],"Expense",tblTransactions[Source Account],$D41,tblTransactions[Transaction Status],"Reconciled")+SUMIFS(tblTransactions[Amount],tblTransactions[Transaction Type],"Transfer",tblTransactions[Source Account],$D41,tblTransactions[Transaction Status],"Completed")+SUMIFS(tblTransactions[Amount],tblTransactions[Transaction Type],"Transfer",tblTransactions[Source Account],$D41,tblTransactions[Transaction Status],"Reconciled")-SUMIFS(tblTransactions[Amount],tblTransactions[Transaction Type],"Adjustment",tblTransactions[Source Account],$D41,tblTransactions[Transaction Status],"Completed",tblTransactions[Amount],"&lt;0")-SUMIFS(tblTransactions[Amount],tblTransactions[Transaction Type],"Adjustment",tblTransactions[Source Account],$D41,tblTransactions[Transaction Status],"Reconciled",tblTransactions[Amount],"&lt;0"),0))</f>
      </c>
      <c r="H41" s="1">
        <f>IF($D41="","",$E41+$F41-$G41)</f>
      </c>
      <c r="I41" s="4">
        <f>IF($D41="","",IFERROR(1/(1/AGGREGATE(14,6,tblTransactions[Transaction Date]/(((tblTransactions[Source Account]=$D41)+((tblTransactions[Transaction Type]="Transfer")*(tblTransactions[Destination Type]="Account")*(tblTransactions[Destination Name]=$D41)))*((tblTransactions[Transaction Status]="Completed")+(tblTransactions[Transaction Status]="Reconciled"))),1)),""))</f>
      </c>
      <c r="J41" s="1">
        <f>IF($D41="","",IFERROR(INDEX(tblAccounts[Account Type],ROW()-1),""))</f>
      </c>
      <c r="K41" s="1">
        <f>IF($D41="","",IFERROR(INDEX(tblAccounts[Include in Dashboard],ROW()-1),""))</f>
      </c>
      <c r="L41" s="1">
        <f>IF($D41="","",IFERROR(INDEX(tblAccounts[Status],ROW()-1),""))</f>
      </c>
    </row>
    <row r="42">
      <c r="A42" s="1" t="s">
        <v>258</v>
      </c>
      <c r="B42" s="1">
        <f>IFERROR(SUMIFS(tblLiabilities[Outstanding Balance],tblLiabilities[Status],"Active"),0)</f>
      </c>
      <c r="D42" s="1">
        <f>IFERROR(IF(INDEX(tblAccounts[Account Name],ROW()-1)="","",INDEX(tblAccounts[Account Name],ROW()-1)),"")</f>
      </c>
      <c r="E42" s="1">
        <f>IF($D42="","",IFERROR(INDEX(tblAccounts[Opening Balance],ROW()-1),0))</f>
      </c>
      <c r="F42" s="1">
        <f>IF($D42="","",IFERROR(SUMIFS(tblTransactions[Amount],tblTransactions[Transaction Type],"Income",tblTransactions[Source Account],$D42,tblTransactions[Transaction Status],"Completed")+SUMIFS(tblTransactions[Amount],tblTransactions[Transaction Type],"Income",tblTransactions[Source Account],$D42,tblTransactions[Transaction Status],"Reconciled")+SUMIFS(tblTransactions[Amount],tblTransactions[Transaction Type],"Transfer",tblTransactions[Destination Type],"Account",tblTransactions[Destination Name],$D42,tblTransactions[Transaction Status],"Completed")+SUMIFS(tblTransactions[Amount],tblTransactions[Transaction Type],"Transfer",tblTransactions[Destination Type],"Account",tblTransactions[Destination Name],$D42,tblTransactions[Transaction Status],"Reconciled")+SUMIFS(tblTransactions[Amount],tblTransactions[Transaction Type],"Adjustment",tblTransactions[Source Account],$D42,tblTransactions[Transaction Status],"Completed",tblTransactions[Amount],"&gt;0")+SUMIFS(tblTransactions[Amount],tblTransactions[Transaction Type],"Adjustment",tblTransactions[Source Account],$D42,tblTransactions[Transaction Status],"Reconciled",tblTransactions[Amount],"&gt;0"),0))</f>
      </c>
      <c r="G42" s="1">
        <f>IF($D42="","",IFERROR(SUMIFS(tblTransactions[Amount],tblTransactions[Transaction Type],"Expense",tblTransactions[Source Account],$D42,tblTransactions[Transaction Status],"Completed")+SUMIFS(tblTransactions[Amount],tblTransactions[Transaction Type],"Expense",tblTransactions[Source Account],$D42,tblTransactions[Transaction Status],"Reconciled")+SUMIFS(tblTransactions[Amount],tblTransactions[Transaction Type],"Transfer",tblTransactions[Source Account],$D42,tblTransactions[Transaction Status],"Completed")+SUMIFS(tblTransactions[Amount],tblTransactions[Transaction Type],"Transfer",tblTransactions[Source Account],$D42,tblTransactions[Transaction Status],"Reconciled")-SUMIFS(tblTransactions[Amount],tblTransactions[Transaction Type],"Adjustment",tblTransactions[Source Account],$D42,tblTransactions[Transaction Status],"Completed",tblTransactions[Amount],"&lt;0")-SUMIFS(tblTransactions[Amount],tblTransactions[Transaction Type],"Adjustment",tblTransactions[Source Account],$D42,tblTransactions[Transaction Status],"Reconciled",tblTransactions[Amount],"&lt;0"),0))</f>
      </c>
      <c r="H42" s="1">
        <f>IF($D42="","",$E42+$F42-$G42)</f>
      </c>
      <c r="I42" s="4">
        <f>IF($D42="","",IFERROR(1/(1/AGGREGATE(14,6,tblTransactions[Transaction Date]/(((tblTransactions[Source Account]=$D42)+((tblTransactions[Transaction Type]="Transfer")*(tblTransactions[Destination Type]="Account")*(tblTransactions[Destination Name]=$D42)))*((tblTransactions[Transaction Status]="Completed")+(tblTransactions[Transaction Status]="Reconciled"))),1)),""))</f>
      </c>
      <c r="J42" s="1">
        <f>IF($D42="","",IFERROR(INDEX(tblAccounts[Account Type],ROW()-1),""))</f>
      </c>
      <c r="K42" s="1">
        <f>IF($D42="","",IFERROR(INDEX(tblAccounts[Include in Dashboard],ROW()-1),""))</f>
      </c>
      <c r="L42" s="1">
        <f>IF($D42="","",IFERROR(INDEX(tblAccounts[Status],ROW()-1),""))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>IFERROR(IF(INDEX(tblAccounts[Account Name],ROW()-1)="","",INDEX(tblAccounts[Account Name],ROW()-1)),"")</f>
      </c>
      <c r="E43" s="1">
        <f>IF($D43="","",IFERROR(INDEX(tblAccounts[Opening Balance],ROW()-1),0))</f>
      </c>
      <c r="F43" s="1">
        <f>IF($D43="","",IFERROR(SUMIFS(tblTransactions[Amount],tblTransactions[Transaction Type],"Income",tblTransactions[Source Account],$D43,tblTransactions[Transaction Status],"Completed")+SUMIFS(tblTransactions[Amount],tblTransactions[Transaction Type],"Income",tblTransactions[Source Account],$D43,tblTransactions[Transaction Status],"Reconciled")+SUMIFS(tblTransactions[Amount],tblTransactions[Transaction Type],"Transfer",tblTransactions[Destination Type],"Account",tblTransactions[Destination Name],$D43,tblTransactions[Transaction Status],"Completed")+SUMIFS(tblTransactions[Amount],tblTransactions[Transaction Type],"Transfer",tblTransactions[Destination Type],"Account",tblTransactions[Destination Name],$D43,tblTransactions[Transaction Status],"Reconciled")+SUMIFS(tblTransactions[Amount],tblTransactions[Transaction Type],"Adjustment",tblTransactions[Source Account],$D43,tblTransactions[Transaction Status],"Completed",tblTransactions[Amount],"&gt;0")+SUMIFS(tblTransactions[Amount],tblTransactions[Transaction Type],"Adjustment",tblTransactions[Source Account],$D43,tblTransactions[Transaction Status],"Reconciled",tblTransactions[Amount],"&gt;0"),0))</f>
      </c>
      <c r="G43" s="1">
        <f>IF($D43="","",IFERROR(SUMIFS(tblTransactions[Amount],tblTransactions[Transaction Type],"Expense",tblTransactions[Source Account],$D43,tblTransactions[Transaction Status],"Completed")+SUMIFS(tblTransactions[Amount],tblTransactions[Transaction Type],"Expense",tblTransactions[Source Account],$D43,tblTransactions[Transaction Status],"Reconciled")+SUMIFS(tblTransactions[Amount],tblTransactions[Transaction Type],"Transfer",tblTransactions[Source Account],$D43,tblTransactions[Transaction Status],"Completed")+SUMIFS(tblTransactions[Amount],tblTransactions[Transaction Type],"Transfer",tblTransactions[Source Account],$D43,tblTransactions[Transaction Status],"Reconciled")-SUMIFS(tblTransactions[Amount],tblTransactions[Transaction Type],"Adjustment",tblTransactions[Source Account],$D43,tblTransactions[Transaction Status],"Completed",tblTransactions[Amount],"&lt;0")-SUMIFS(tblTransactions[Amount],tblTransactions[Transaction Type],"Adjustment",tblTransactions[Source Account],$D43,tblTransactions[Transaction Status],"Reconciled",tblTransactions[Amount],"&lt;0"),0))</f>
      </c>
      <c r="H43" s="1">
        <f>IF($D43="","",$E43+$F43-$G43)</f>
      </c>
      <c r="I43" s="4">
        <f>IF($D43="","",IFERROR(1/(1/AGGREGATE(14,6,tblTransactions[Transaction Date]/(((tblTransactions[Source Account]=$D43)+((tblTransactions[Transaction Type]="Transfer")*(tblTransactions[Destination Type]="Account")*(tblTransactions[Destination Name]=$D43)))*((tblTransactions[Transaction Status]="Completed")+(tblTransactions[Transaction Status]="Reconciled"))),1)),""))</f>
      </c>
      <c r="J43" s="1">
        <f>IF($D43="","",IFERROR(INDEX(tblAccounts[Account Type],ROW()-1),""))</f>
      </c>
      <c r="K43" s="1">
        <f>IF($D43="","",IFERROR(INDEX(tblAccounts[Include in Dashboard],ROW()-1),""))</f>
      </c>
      <c r="L43" s="1">
        <f>IF($D43="","",IFERROR(INDEX(tblAccounts[Status],ROW()-1),""))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>IFERROR(IF(INDEX(tblAccounts[Account Name],ROW()-1)="","",INDEX(tblAccounts[Account Name],ROW()-1)),"")</f>
      </c>
      <c r="E44" s="1">
        <f>IF($D44="","",IFERROR(INDEX(tblAccounts[Opening Balance],ROW()-1),0))</f>
      </c>
      <c r="F44" s="1">
        <f>IF($D44="","",IFERROR(SUMIFS(tblTransactions[Amount],tblTransactions[Transaction Type],"Income",tblTransactions[Source Account],$D44,tblTransactions[Transaction Status],"Completed")+SUMIFS(tblTransactions[Amount],tblTransactions[Transaction Type],"Income",tblTransactions[Source Account],$D44,tblTransactions[Transaction Status],"Reconciled")+SUMIFS(tblTransactions[Amount],tblTransactions[Transaction Type],"Transfer",tblTransactions[Destination Type],"Account",tblTransactions[Destination Name],$D44,tblTransactions[Transaction Status],"Completed")+SUMIFS(tblTransactions[Amount],tblTransactions[Transaction Type],"Transfer",tblTransactions[Destination Type],"Account",tblTransactions[Destination Name],$D44,tblTransactions[Transaction Status],"Reconciled")+SUMIFS(tblTransactions[Amount],tblTransactions[Transaction Type],"Adjustment",tblTransactions[Source Account],$D44,tblTransactions[Transaction Status],"Completed",tblTransactions[Amount],"&gt;0")+SUMIFS(tblTransactions[Amount],tblTransactions[Transaction Type],"Adjustment",tblTransactions[Source Account],$D44,tblTransactions[Transaction Status],"Reconciled",tblTransactions[Amount],"&gt;0"),0))</f>
      </c>
      <c r="G44" s="1">
        <f>IF($D44="","",IFERROR(SUMIFS(tblTransactions[Amount],tblTransactions[Transaction Type],"Expense",tblTransactions[Source Account],$D44,tblTransactions[Transaction Status],"Completed")+SUMIFS(tblTransactions[Amount],tblTransactions[Transaction Type],"Expense",tblTransactions[Source Account],$D44,tblTransactions[Transaction Status],"Reconciled")+SUMIFS(tblTransactions[Amount],tblTransactions[Transaction Type],"Transfer",tblTransactions[Source Account],$D44,tblTransactions[Transaction Status],"Completed")+SUMIFS(tblTransactions[Amount],tblTransactions[Transaction Type],"Transfer",tblTransactions[Source Account],$D44,tblTransactions[Transaction Status],"Reconciled")-SUMIFS(tblTransactions[Amount],tblTransactions[Transaction Type],"Adjustment",tblTransactions[Source Account],$D44,tblTransactions[Transaction Status],"Completed",tblTransactions[Amount],"&lt;0")-SUMIFS(tblTransactions[Amount],tblTransactions[Transaction Type],"Adjustment",tblTransactions[Source Account],$D44,tblTransactions[Transaction Status],"Reconciled",tblTransactions[Amount],"&lt;0"),0))</f>
      </c>
      <c r="H44" s="1">
        <f>IF($D44="","",$E44+$F44-$G44)</f>
      </c>
      <c r="I44" s="4">
        <f>IF($D44="","",IFERROR(1/(1/AGGREGATE(14,6,tblTransactions[Transaction Date]/(((tblTransactions[Source Account]=$D44)+((tblTransactions[Transaction Type]="Transfer")*(tblTransactions[Destination Type]="Account")*(tblTransactions[Destination Name]=$D44)))*((tblTransactions[Transaction Status]="Completed")+(tblTransactions[Transaction Status]="Reconciled"))),1)),""))</f>
      </c>
      <c r="J44" s="1">
        <f>IF($D44="","",IFERROR(INDEX(tblAccounts[Account Type],ROW()-1),""))</f>
      </c>
      <c r="K44" s="1">
        <f>IF($D44="","",IFERROR(INDEX(tblAccounts[Include in Dashboard],ROW()-1),""))</f>
      </c>
      <c r="L44" s="1">
        <f>IF($D44="","",IFERROR(INDEX(tblAccounts[Status],ROW()-1),""))</f>
      </c>
    </row>
    <row r="45">
      <c r="A45" s="1" t="s">
        <v>261</v>
      </c>
      <c r="B45" s="1">
        <f>COUNTIFS(tblLiabilities[Status],"Active")</f>
      </c>
      <c r="D45" s="1">
        <f>IFERROR(IF(INDEX(tblAccounts[Account Name],ROW()-1)="","",INDEX(tblAccounts[Account Name],ROW()-1)),"")</f>
      </c>
      <c r="E45" s="1">
        <f>IF($D45="","",IFERROR(INDEX(tblAccounts[Opening Balance],ROW()-1),0))</f>
      </c>
      <c r="F45" s="1">
        <f>IF($D45="","",IFERROR(SUMIFS(tblTransactions[Amount],tblTransactions[Transaction Type],"Income",tblTransactions[Source Account],$D45,tblTransactions[Transaction Status],"Completed")+SUMIFS(tblTransactions[Amount],tblTransactions[Transaction Type],"Income",tblTransactions[Source Account],$D45,tblTransactions[Transaction Status],"Reconciled")+SUMIFS(tblTransactions[Amount],tblTransactions[Transaction Type],"Transfer",tblTransactions[Destination Type],"Account",tblTransactions[Destination Name],$D45,tblTransactions[Transaction Status],"Completed")+SUMIFS(tblTransactions[Amount],tblTransactions[Transaction Type],"Transfer",tblTransactions[Destination Type],"Account",tblTransactions[Destination Name],$D45,tblTransactions[Transaction Status],"Reconciled")+SUMIFS(tblTransactions[Amount],tblTransactions[Transaction Type],"Adjustment",tblTransactions[Source Account],$D45,tblTransactions[Transaction Status],"Completed",tblTransactions[Amount],"&gt;0")+SUMIFS(tblTransactions[Amount],tblTransactions[Transaction Type],"Adjustment",tblTransactions[Source Account],$D45,tblTransactions[Transaction Status],"Reconciled",tblTransactions[Amount],"&gt;0"),0))</f>
      </c>
      <c r="G45" s="1">
        <f>IF($D45="","",IFERROR(SUMIFS(tblTransactions[Amount],tblTransactions[Transaction Type],"Expense",tblTransactions[Source Account],$D45,tblTransactions[Transaction Status],"Completed")+SUMIFS(tblTransactions[Amount],tblTransactions[Transaction Type],"Expense",tblTransactions[Source Account],$D45,tblTransactions[Transaction Status],"Reconciled")+SUMIFS(tblTransactions[Amount],tblTransactions[Transaction Type],"Transfer",tblTransactions[Source Account],$D45,tblTransactions[Transaction Status],"Completed")+SUMIFS(tblTransactions[Amount],tblTransactions[Transaction Type],"Transfer",tblTransactions[Source Account],$D45,tblTransactions[Transaction Status],"Reconciled")-SUMIFS(tblTransactions[Amount],tblTransactions[Transaction Type],"Adjustment",tblTransactions[Source Account],$D45,tblTransactions[Transaction Status],"Completed",tblTransactions[Amount],"&lt;0")-SUMIFS(tblTransactions[Amount],tblTransactions[Transaction Type],"Adjustment",tblTransactions[Source Account],$D45,tblTransactions[Transaction Status],"Reconciled",tblTransactions[Amount],"&lt;0"),0))</f>
      </c>
      <c r="H45" s="1">
        <f>IF($D45="","",$E45+$F45-$G45)</f>
      </c>
      <c r="I45" s="4">
        <f>IF($D45="","",IFERROR(1/(1/AGGREGATE(14,6,tblTransactions[Transaction Date]/(((tblTransactions[Source Account]=$D45)+((tblTransactions[Transaction Type]="Transfer")*(tblTransactions[Destination Type]="Account")*(tblTransactions[Destination Name]=$D45)))*((tblTransactions[Transaction Status]="Completed")+(tblTransactions[Transaction Status]="Reconciled"))),1)),""))</f>
      </c>
      <c r="J45" s="1">
        <f>IF($D45="","",IFERROR(INDEX(tblAccounts[Account Type],ROW()-1),""))</f>
      </c>
      <c r="K45" s="1">
        <f>IF($D45="","",IFERROR(INDEX(tblAccounts[Include in Dashboard],ROW()-1),""))</f>
      </c>
      <c r="L45" s="1">
        <f>IF($D45="","",IFERROR(INDEX(tblAccounts[Status],ROW()-1),""))</f>
      </c>
    </row>
    <row r="46">
      <c r="D46" s="1">
        <f>IFERROR(IF(INDEX(tblAccounts[Account Name],ROW()-1)="","",INDEX(tblAccounts[Account Name],ROW()-1)),"")</f>
      </c>
      <c r="E46" s="1">
        <f>IF($D46="","",IFERROR(INDEX(tblAccounts[Opening Balance],ROW()-1),0))</f>
      </c>
      <c r="F46" s="1">
        <f>IF($D46="","",IFERROR(SUMIFS(tblTransactions[Amount],tblTransactions[Transaction Type],"Income",tblTransactions[Source Account],$D46,tblTransactions[Transaction Status],"Completed")+SUMIFS(tblTransactions[Amount],tblTransactions[Transaction Type],"Income",tblTransactions[Source Account],$D46,tblTransactions[Transaction Status],"Reconciled")+SUMIFS(tblTransactions[Amount],tblTransactions[Transaction Type],"Transfer",tblTransactions[Destination Type],"Account",tblTransactions[Destination Name],$D46,tblTransactions[Transaction Status],"Completed")+SUMIFS(tblTransactions[Amount],tblTransactions[Transaction Type],"Transfer",tblTransactions[Destination Type],"Account",tblTransactions[Destination Name],$D46,tblTransactions[Transaction Status],"Reconciled")+SUMIFS(tblTransactions[Amount],tblTransactions[Transaction Type],"Adjustment",tblTransactions[Source Account],$D46,tblTransactions[Transaction Status],"Completed",tblTransactions[Amount],"&gt;0")+SUMIFS(tblTransactions[Amount],tblTransactions[Transaction Type],"Adjustment",tblTransactions[Source Account],$D46,tblTransactions[Transaction Status],"Reconciled",tblTransactions[Amount],"&gt;0"),0))</f>
      </c>
      <c r="G46" s="1">
        <f>IF($D46="","",IFERROR(SUMIFS(tblTransactions[Amount],tblTransactions[Transaction Type],"Expense",tblTransactions[Source Account],$D46,tblTransactions[Transaction Status],"Completed")+SUMIFS(tblTransactions[Amount],tblTransactions[Transaction Type],"Expense",tblTransactions[Source Account],$D46,tblTransactions[Transaction Status],"Reconciled")+SUMIFS(tblTransactions[Amount],tblTransactions[Transaction Type],"Transfer",tblTransactions[Source Account],$D46,tblTransactions[Transaction Status],"Completed")+SUMIFS(tblTransactions[Amount],tblTransactions[Transaction Type],"Transfer",tblTransactions[Source Account],$D46,tblTransactions[Transaction Status],"Reconciled")-SUMIFS(tblTransactions[Amount],tblTransactions[Transaction Type],"Adjustment",tblTransactions[Source Account],$D46,tblTransactions[Transaction Status],"Completed",tblTransactions[Amount],"&lt;0")-SUMIFS(tblTransactions[Amount],tblTransactions[Transaction Type],"Adjustment",tblTransactions[Source Account],$D46,tblTransactions[Transaction Status],"Reconciled",tblTransactions[Amount],"&lt;0"),0))</f>
      </c>
      <c r="H46" s="1">
        <f>IF($D46="","",$E46+$F46-$G46)</f>
      </c>
      <c r="I46" s="4">
        <f>IF($D46="","",IFERROR(1/(1/AGGREGATE(14,6,tblTransactions[Transaction Date]/(((tblTransactions[Source Account]=$D46)+((tblTransactions[Transaction Type]="Transfer")*(tblTransactions[Destination Type]="Account")*(tblTransactions[Destination Name]=$D46)))*((tblTransactions[Transaction Status]="Completed")+(tblTransactions[Transaction Status]="Reconciled"))),1)),""))</f>
      </c>
      <c r="J46" s="1">
        <f>IF($D46="","",IFERROR(INDEX(tblAccounts[Account Type],ROW()-1),""))</f>
      </c>
      <c r="K46" s="1">
        <f>IF($D46="","",IFERROR(INDEX(tblAccounts[Include in Dashboard],ROW()-1),""))</f>
      </c>
      <c r="L46" s="1">
        <f>IF($D46="","",IFERROR(INDEX(tblAccounts[Status],ROW()-1),""))</f>
      </c>
    </row>
    <row r="47">
      <c r="A47" s="1" t="s">
        <v>262</v>
      </c>
      <c r="D47" s="1">
        <f>IFERROR(IF(INDEX(tblAccounts[Account Name],ROW()-1)="","",INDEX(tblAccounts[Account Name],ROW()-1)),"")</f>
      </c>
      <c r="E47" s="1">
        <f>IF($D47="","",IFERROR(INDEX(tblAccounts[Opening Balance],ROW()-1),0))</f>
      </c>
      <c r="F47" s="1">
        <f>IF($D47="","",IFERROR(SUMIFS(tblTransactions[Amount],tblTransactions[Transaction Type],"Income",tblTransactions[Source Account],$D47,tblTransactions[Transaction Status],"Completed")+SUMIFS(tblTransactions[Amount],tblTransactions[Transaction Type],"Income",tblTransactions[Source Account],$D47,tblTransactions[Transaction Status],"Reconciled")+SUMIFS(tblTransactions[Amount],tblTransactions[Transaction Type],"Transfer",tblTransactions[Destination Type],"Account",tblTransactions[Destination Name],$D47,tblTransactions[Transaction Status],"Completed")+SUMIFS(tblTransactions[Amount],tblTransactions[Transaction Type],"Transfer",tblTransactions[Destination Type],"Account",tblTransactions[Destination Name],$D47,tblTransactions[Transaction Status],"Reconciled")+SUMIFS(tblTransactions[Amount],tblTransactions[Transaction Type],"Adjustment",tblTransactions[Source Account],$D47,tblTransactions[Transaction Status],"Completed",tblTransactions[Amount],"&gt;0")+SUMIFS(tblTransactions[Amount],tblTransactions[Transaction Type],"Adjustment",tblTransactions[Source Account],$D47,tblTransactions[Transaction Status],"Reconciled",tblTransactions[Amount],"&gt;0"),0))</f>
      </c>
      <c r="G47" s="1">
        <f>IF($D47="","",IFERROR(SUMIFS(tblTransactions[Amount],tblTransactions[Transaction Type],"Expense",tblTransactions[Source Account],$D47,tblTransactions[Transaction Status],"Completed")+SUMIFS(tblTransactions[Amount],tblTransactions[Transaction Type],"Expense",tblTransactions[Source Account],$D47,tblTransactions[Transaction Status],"Reconciled")+SUMIFS(tblTransactions[Amount],tblTransactions[Transaction Type],"Transfer",tblTransactions[Source Account],$D47,tblTransactions[Transaction Status],"Completed")+SUMIFS(tblTransactions[Amount],tblTransactions[Transaction Type],"Transfer",tblTransactions[Source Account],$D47,tblTransactions[Transaction Status],"Reconciled")-SUMIFS(tblTransactions[Amount],tblTransactions[Transaction Type],"Adjustment",tblTransactions[Source Account],$D47,tblTransactions[Transaction Status],"Completed",tblTransactions[Amount],"&lt;0")-SUMIFS(tblTransactions[Amount],tblTransactions[Transaction Type],"Adjustment",tblTransactions[Source Account],$D47,tblTransactions[Transaction Status],"Reconciled",tblTransactions[Amount],"&lt;0"),0))</f>
      </c>
      <c r="H47" s="1">
        <f>IF($D47="","",$E47+$F47-$G47)</f>
      </c>
      <c r="I47" s="4">
        <f>IF($D47="","",IFERROR(1/(1/AGGREGATE(14,6,tblTransactions[Transaction Date]/(((tblTransactions[Source Account]=$D47)+((tblTransactions[Transaction Type]="Transfer")*(tblTransactions[Destination Type]="Account")*(tblTransactions[Destination Name]=$D47)))*((tblTransactions[Transaction Status]="Completed")+(tblTransactions[Transaction Status]="Reconciled"))),1)),""))</f>
      </c>
      <c r="J47" s="1">
        <f>IF($D47="","",IFERROR(INDEX(tblAccounts[Account Type],ROW()-1),""))</f>
      </c>
      <c r="K47" s="1">
        <f>IF($D47="","",IFERROR(INDEX(tblAccounts[Include in Dashboard],ROW()-1),""))</f>
      </c>
      <c r="L47" s="1">
        <f>IF($D47="","",IFERROR(INDEX(tblAccounts[Status],ROW()-1),""))</f>
      </c>
    </row>
    <row r="48">
      <c r="A48" s="1" t="s">
        <v>263</v>
      </c>
      <c r="B48" s="1">
        <f>$B$4+$B$35-$B$42</f>
      </c>
      <c r="D48" s="1">
        <f>IFERROR(IF(INDEX(tblAccounts[Account Name],ROW()-1)="","",INDEX(tblAccounts[Account Name],ROW()-1)),"")</f>
      </c>
      <c r="E48" s="1">
        <f>IF($D48="","",IFERROR(INDEX(tblAccounts[Opening Balance],ROW()-1),0))</f>
      </c>
      <c r="F48" s="1">
        <f>IF($D48="","",IFERROR(SUMIFS(tblTransactions[Amount],tblTransactions[Transaction Type],"Income",tblTransactions[Source Account],$D48,tblTransactions[Transaction Status],"Completed")+SUMIFS(tblTransactions[Amount],tblTransactions[Transaction Type],"Income",tblTransactions[Source Account],$D48,tblTransactions[Transaction Status],"Reconciled")+SUMIFS(tblTransactions[Amount],tblTransactions[Transaction Type],"Transfer",tblTransactions[Destination Type],"Account",tblTransactions[Destination Name],$D48,tblTransactions[Transaction Status],"Completed")+SUMIFS(tblTransactions[Amount],tblTransactions[Transaction Type],"Transfer",tblTransactions[Destination Type],"Account",tblTransactions[Destination Name],$D48,tblTransactions[Transaction Status],"Reconciled")+SUMIFS(tblTransactions[Amount],tblTransactions[Transaction Type],"Adjustment",tblTransactions[Source Account],$D48,tblTransactions[Transaction Status],"Completed",tblTransactions[Amount],"&gt;0")+SUMIFS(tblTransactions[Amount],tblTransactions[Transaction Type],"Adjustment",tblTransactions[Source Account],$D48,tblTransactions[Transaction Status],"Reconciled",tblTransactions[Amount],"&gt;0"),0))</f>
      </c>
      <c r="G48" s="1">
        <f>IF($D48="","",IFERROR(SUMIFS(tblTransactions[Amount],tblTransactions[Transaction Type],"Expense",tblTransactions[Source Account],$D48,tblTransactions[Transaction Status],"Completed")+SUMIFS(tblTransactions[Amount],tblTransactions[Transaction Type],"Expense",tblTransactions[Source Account],$D48,tblTransactions[Transaction Status],"Reconciled")+SUMIFS(tblTransactions[Amount],tblTransactions[Transaction Type],"Transfer",tblTransactions[Source Account],$D48,tblTransactions[Transaction Status],"Completed")+SUMIFS(tblTransactions[Amount],tblTransactions[Transaction Type],"Transfer",tblTransactions[Source Account],$D48,tblTransactions[Transaction Status],"Reconciled")-SUMIFS(tblTransactions[Amount],tblTransactions[Transaction Type],"Adjustment",tblTransactions[Source Account],$D48,tblTransactions[Transaction Status],"Completed",tblTransactions[Amount],"&lt;0")-SUMIFS(tblTransactions[Amount],tblTransactions[Transaction Type],"Adjustment",tblTransactions[Source Account],$D48,tblTransactions[Transaction Status],"Reconciled",tblTransactions[Amount],"&lt;0"),0))</f>
      </c>
      <c r="H48" s="1">
        <f>IF($D48="","",$E48+$F48-$G48)</f>
      </c>
      <c r="I48" s="4">
        <f>IF($D48="","",IFERROR(1/(1/AGGREGATE(14,6,tblTransactions[Transaction Date]/(((tblTransactions[Source Account]=$D48)+((tblTransactions[Transaction Type]="Transfer")*(tblTransactions[Destination Type]="Account")*(tblTransactions[Destination Name]=$D48)))*((tblTransactions[Transaction Status]="Completed")+(tblTransactions[Transaction Status]="Reconciled"))),1)),""))</f>
      </c>
      <c r="J48" s="1">
        <f>IF($D48="","",IFERROR(INDEX(tblAccounts[Account Type],ROW()-1),""))</f>
      </c>
      <c r="K48" s="1">
        <f>IF($D48="","",IFERROR(INDEX(tblAccounts[Include in Dashboard],ROW()-1),""))</f>
      </c>
      <c r="L48" s="1">
        <f>IF($D48="","",IFERROR(INDEX(tblAccounts[Status],ROW()-1),""))</f>
      </c>
    </row>
    <row r="49">
      <c r="A49" s="1" t="s">
        <v>264</v>
      </c>
      <c r="B49" s="1">
        <f>0</f>
      </c>
      <c r="D49" s="1">
        <f>IFERROR(IF(INDEX(tblAccounts[Account Name],ROW()-1)="","",INDEX(tblAccounts[Account Name],ROW()-1)),"")</f>
      </c>
      <c r="E49" s="1">
        <f>IF($D49="","",IFERROR(INDEX(tblAccounts[Opening Balance],ROW()-1),0))</f>
      </c>
      <c r="F49" s="1">
        <f>IF($D49="","",IFERROR(SUMIFS(tblTransactions[Amount],tblTransactions[Transaction Type],"Income",tblTransactions[Source Account],$D49,tblTransactions[Transaction Status],"Completed")+SUMIFS(tblTransactions[Amount],tblTransactions[Transaction Type],"Income",tblTransactions[Source Account],$D49,tblTransactions[Transaction Status],"Reconciled")+SUMIFS(tblTransactions[Amount],tblTransactions[Transaction Type],"Transfer",tblTransactions[Destination Type],"Account",tblTransactions[Destination Name],$D49,tblTransactions[Transaction Status],"Completed")+SUMIFS(tblTransactions[Amount],tblTransactions[Transaction Type],"Transfer",tblTransactions[Destination Type],"Account",tblTransactions[Destination Name],$D49,tblTransactions[Transaction Status],"Reconciled")+SUMIFS(tblTransactions[Amount],tblTransactions[Transaction Type],"Adjustment",tblTransactions[Source Account],$D49,tblTransactions[Transaction Status],"Completed",tblTransactions[Amount],"&gt;0")+SUMIFS(tblTransactions[Amount],tblTransactions[Transaction Type],"Adjustment",tblTransactions[Source Account],$D49,tblTransactions[Transaction Status],"Reconciled",tblTransactions[Amount],"&gt;0"),0))</f>
      </c>
      <c r="G49" s="1">
        <f>IF($D49="","",IFERROR(SUMIFS(tblTransactions[Amount],tblTransactions[Transaction Type],"Expense",tblTransactions[Source Account],$D49,tblTransactions[Transaction Status],"Completed")+SUMIFS(tblTransactions[Amount],tblTransactions[Transaction Type],"Expense",tblTransactions[Source Account],$D49,tblTransactions[Transaction Status],"Reconciled")+SUMIFS(tblTransactions[Amount],tblTransactions[Transaction Type],"Transfer",tblTransactions[Source Account],$D49,tblTransactions[Transaction Status],"Completed")+SUMIFS(tblTransactions[Amount],tblTransactions[Transaction Type],"Transfer",tblTransactions[Source Account],$D49,tblTransactions[Transaction Status],"Reconciled")-SUMIFS(tblTransactions[Amount],tblTransactions[Transaction Type],"Adjustment",tblTransactions[Source Account],$D49,tblTransactions[Transaction Status],"Completed",tblTransactions[Amount],"&lt;0")-SUMIFS(tblTransactions[Amount],tblTransactions[Transaction Type],"Adjustment",tblTransactions[Source Account],$D49,tblTransactions[Transaction Status],"Reconciled",tblTransactions[Amount],"&lt;0"),0))</f>
      </c>
      <c r="H49" s="1">
        <f>IF($D49="","",$E49+$F49-$G49)</f>
      </c>
      <c r="I49" s="4">
        <f>IF($D49="","",IFERROR(1/(1/AGGREGATE(14,6,tblTransactions[Transaction Date]/(((tblTransactions[Source Account]=$D49)+((tblTransactions[Transaction Type]="Transfer")*(tblTransactions[Destination Type]="Account")*(tblTransactions[Destination Name]=$D49)))*((tblTransactions[Transaction Status]="Completed")+(tblTransactions[Transaction Status]="Reconciled"))),1)),""))</f>
      </c>
      <c r="J49" s="1">
        <f>IF($D49="","",IFERROR(INDEX(tblAccounts[Account Type],ROW()-1),""))</f>
      </c>
      <c r="K49" s="1">
        <f>IF($D49="","",IFERROR(INDEX(tblAccounts[Include in Dashboard],ROW()-1),""))</f>
      </c>
      <c r="L49" s="1">
        <f>IF($D49="","",IFERROR(INDEX(tblAccounts[Status],ROW()-1),""))</f>
      </c>
    </row>
    <row r="50">
      <c r="A50" s="1" t="s">
        <v>265</v>
      </c>
      <c r="B50" s="1">
        <f>$B$35</f>
      </c>
      <c r="D50" s="1">
        <f>IFERROR(IF(INDEX(tblAccounts[Account Name],ROW()-1)="","",INDEX(tblAccounts[Account Name],ROW()-1)),"")</f>
      </c>
      <c r="E50" s="1">
        <f>IF($D50="","",IFERROR(INDEX(tblAccounts[Opening Balance],ROW()-1),0))</f>
      </c>
      <c r="F50" s="1">
        <f>IF($D50="","",IFERROR(SUMIFS(tblTransactions[Amount],tblTransactions[Transaction Type],"Income",tblTransactions[Source Account],$D50,tblTransactions[Transaction Status],"Completed")+SUMIFS(tblTransactions[Amount],tblTransactions[Transaction Type],"Income",tblTransactions[Source Account],$D50,tblTransactions[Transaction Status],"Reconciled")+SUMIFS(tblTransactions[Amount],tblTransactions[Transaction Type],"Transfer",tblTransactions[Destination Type],"Account",tblTransactions[Destination Name],$D50,tblTransactions[Transaction Status],"Completed")+SUMIFS(tblTransactions[Amount],tblTransactions[Transaction Type],"Transfer",tblTransactions[Destination Type],"Account",tblTransactions[Destination Name],$D50,tblTransactions[Transaction Status],"Reconciled")+SUMIFS(tblTransactions[Amount],tblTransactions[Transaction Type],"Adjustment",tblTransactions[Source Account],$D50,tblTransactions[Transaction Status],"Completed",tblTransactions[Amount],"&gt;0")+SUMIFS(tblTransactions[Amount],tblTransactions[Transaction Type],"Adjustment",tblTransactions[Source Account],$D50,tblTransactions[Transaction Status],"Reconciled",tblTransactions[Amount],"&gt;0"),0))</f>
      </c>
      <c r="G50" s="1">
        <f>IF($D50="","",IFERROR(SUMIFS(tblTransactions[Amount],tblTransactions[Transaction Type],"Expense",tblTransactions[Source Account],$D50,tblTransactions[Transaction Status],"Completed")+SUMIFS(tblTransactions[Amount],tblTransactions[Transaction Type],"Expense",tblTransactions[Source Account],$D50,tblTransactions[Transaction Status],"Reconciled")+SUMIFS(tblTransactions[Amount],tblTransactions[Transaction Type],"Transfer",tblTransactions[Source Account],$D50,tblTransactions[Transaction Status],"Completed")+SUMIFS(tblTransactions[Amount],tblTransactions[Transaction Type],"Transfer",tblTransactions[Source Account],$D50,tblTransactions[Transaction Status],"Reconciled")-SUMIFS(tblTransactions[Amount],tblTransactions[Transaction Type],"Adjustment",tblTransactions[Source Account],$D50,tblTransactions[Transaction Status],"Completed",tblTransactions[Amount],"&lt;0")-SUMIFS(tblTransactions[Amount],tblTransactions[Transaction Type],"Adjustment",tblTransactions[Source Account],$D50,tblTransactions[Transaction Status],"Reconciled",tblTransactions[Amount],"&lt;0"),0))</f>
      </c>
      <c r="H50" s="1">
        <f>IF($D50="","",$E50+$F50-$G50)</f>
      </c>
      <c r="I50" s="4">
        <f>IF($D50="","",IFERROR(1/(1/AGGREGATE(14,6,tblTransactions[Transaction Date]/(((tblTransactions[Source Account]=$D50)+((tblTransactions[Transaction Type]="Transfer")*(tblTransactions[Destination Type]="Account")*(tblTransactions[Destination Name]=$D50)))*((tblTransactions[Transaction Status]="Completed")+(tblTransactions[Transaction Status]="Reconciled"))),1)),""))</f>
      </c>
      <c r="J50" s="1">
        <f>IF($D50="","",IFERROR(INDEX(tblAccounts[Account Type],ROW()-1),""))</f>
      </c>
      <c r="K50" s="1">
        <f>IF($D50="","",IFERROR(INDEX(tblAccounts[Include in Dashboard],ROW()-1),""))</f>
      </c>
      <c r="L50" s="1">
        <f>IF($D50="","",IFERROR(INDEX(tblAccounts[Status],ROW()-1),""))</f>
      </c>
    </row>
    <row r="51">
      <c r="D51" s="1">
        <f>IFERROR(IF(INDEX(tblAccounts[Account Name],ROW()-1)="","",INDEX(tblAccounts[Account Name],ROW()-1)),"")</f>
      </c>
      <c r="E51" s="1">
        <f>IF($D51="","",IFERROR(INDEX(tblAccounts[Opening Balance],ROW()-1),0))</f>
      </c>
      <c r="F51" s="1">
        <f>IF($D51="","",IFERROR(SUMIFS(tblTransactions[Amount],tblTransactions[Transaction Type],"Income",tblTransactions[Source Account],$D51,tblTransactions[Transaction Status],"Completed")+SUMIFS(tblTransactions[Amount],tblTransactions[Transaction Type],"Income",tblTransactions[Source Account],$D51,tblTransactions[Transaction Status],"Reconciled")+SUMIFS(tblTransactions[Amount],tblTransactions[Transaction Type],"Transfer",tblTransactions[Destination Type],"Account",tblTransactions[Destination Name],$D51,tblTransactions[Transaction Status],"Completed")+SUMIFS(tblTransactions[Amount],tblTransactions[Transaction Type],"Transfer",tblTransactions[Destination Type],"Account",tblTransactions[Destination Name],$D51,tblTransactions[Transaction Status],"Reconciled")+SUMIFS(tblTransactions[Amount],tblTransactions[Transaction Type],"Adjustment",tblTransactions[Source Account],$D51,tblTransactions[Transaction Status],"Completed",tblTransactions[Amount],"&gt;0")+SUMIFS(tblTransactions[Amount],tblTransactions[Transaction Type],"Adjustment",tblTransactions[Source Account],$D51,tblTransactions[Transaction Status],"Reconciled",tblTransactions[Amount],"&gt;0"),0))</f>
      </c>
      <c r="G51" s="1">
        <f>IF($D51="","",IFERROR(SUMIFS(tblTransactions[Amount],tblTransactions[Transaction Type],"Expense",tblTransactions[Source Account],$D51,tblTransactions[Transaction Status],"Completed")+SUMIFS(tblTransactions[Amount],tblTransactions[Transaction Type],"Expense",tblTransactions[Source Account],$D51,tblTransactions[Transaction Status],"Reconciled")+SUMIFS(tblTransactions[Amount],tblTransactions[Transaction Type],"Transfer",tblTransactions[Source Account],$D51,tblTransactions[Transaction Status],"Completed")+SUMIFS(tblTransactions[Amount],tblTransactions[Transaction Type],"Transfer",tblTransactions[Source Account],$D51,tblTransactions[Transaction Status],"Reconciled")-SUMIFS(tblTransactions[Amount],tblTransactions[Transaction Type],"Adjustment",tblTransactions[Source Account],$D51,tblTransactions[Transaction Status],"Completed",tblTransactions[Amount],"&lt;0")-SUMIFS(tblTransactions[Amount],tblTransactions[Transaction Type],"Adjustment",tblTransactions[Source Account],$D51,tblTransactions[Transaction Status],"Reconciled",tblTransactions[Amount],"&lt;0"),0))</f>
      </c>
      <c r="H51" s="1">
        <f>IF($D51="","",$E51+$F51-$G51)</f>
      </c>
      <c r="I51" s="4">
        <f>IF($D51="","",IFERROR(1/(1/AGGREGATE(14,6,tblTransactions[Transaction Date]/(((tblTransactions[Source Account]=$D51)+((tblTransactions[Transaction Type]="Transfer")*(tblTransactions[Destination Type]="Account")*(tblTransactions[Destination Name]=$D51)))*((tblTransactions[Transaction Status]="Completed")+(tblTransactions[Transaction Status]="Reconciled"))),1)),""))</f>
      </c>
      <c r="J51" s="1">
        <f>IF($D51="","",IFERROR(INDEX(tblAccounts[Account Type],ROW()-1),""))</f>
      </c>
      <c r="K51" s="1">
        <f>IF($D51="","",IFERROR(INDEX(tblAccounts[Include in Dashboard],ROW()-1),""))</f>
      </c>
      <c r="L51" s="1">
        <f>IF($D51="","",IFERROR(INDEX(tblAccounts[Status],ROW()-1),""))</f>
      </c>
    </row>
    <row r="52">
      <c r="A52" s="1" t="s">
        <v>266</v>
      </c>
      <c r="D52" s="1">
        <f>IFERROR(IF(INDEX(tblAccounts[Account Name],ROW()-1)="","",INDEX(tblAccounts[Account Name],ROW()-1)),"")</f>
      </c>
      <c r="E52" s="1">
        <f>IF($D52="","",IFERROR(INDEX(tblAccounts[Opening Balance],ROW()-1),0))</f>
      </c>
      <c r="F52" s="1">
        <f>IF($D52="","",IFERROR(SUMIFS(tblTransactions[Amount],tblTransactions[Transaction Type],"Income",tblTransactions[Source Account],$D52,tblTransactions[Transaction Status],"Completed")+SUMIFS(tblTransactions[Amount],tblTransactions[Transaction Type],"Income",tblTransactions[Source Account],$D52,tblTransactions[Transaction Status],"Reconciled")+SUMIFS(tblTransactions[Amount],tblTransactions[Transaction Type],"Transfer",tblTransactions[Destination Type],"Account",tblTransactions[Destination Name],$D52,tblTransactions[Transaction Status],"Completed")+SUMIFS(tblTransactions[Amount],tblTransactions[Transaction Type],"Transfer",tblTransactions[Destination Type],"Account",tblTransactions[Destination Name],$D52,tblTransactions[Transaction Status],"Reconciled")+SUMIFS(tblTransactions[Amount],tblTransactions[Transaction Type],"Adjustment",tblTransactions[Source Account],$D52,tblTransactions[Transaction Status],"Completed",tblTransactions[Amount],"&gt;0")+SUMIFS(tblTransactions[Amount],tblTransactions[Transaction Type],"Adjustment",tblTransactions[Source Account],$D52,tblTransactions[Transaction Status],"Reconciled",tblTransactions[Amount],"&gt;0"),0))</f>
      </c>
      <c r="G52" s="1">
        <f>IF($D52="","",IFERROR(SUMIFS(tblTransactions[Amount],tblTransactions[Transaction Type],"Expense",tblTransactions[Source Account],$D52,tblTransactions[Transaction Status],"Completed")+SUMIFS(tblTransactions[Amount],tblTransactions[Transaction Type],"Expense",tblTransactions[Source Account],$D52,tblTransactions[Transaction Status],"Reconciled")+SUMIFS(tblTransactions[Amount],tblTransactions[Transaction Type],"Transfer",tblTransactions[Source Account],$D52,tblTransactions[Transaction Status],"Completed")+SUMIFS(tblTransactions[Amount],tblTransactions[Transaction Type],"Transfer",tblTransactions[Source Account],$D52,tblTransactions[Transaction Status],"Reconciled")-SUMIFS(tblTransactions[Amount],tblTransactions[Transaction Type],"Adjustment",tblTransactions[Source Account],$D52,tblTransactions[Transaction Status],"Completed",tblTransactions[Amount],"&lt;0")-SUMIFS(tblTransactions[Amount],tblTransactions[Transaction Type],"Adjustment",tblTransactions[Source Account],$D52,tblTransactions[Transaction Status],"Reconciled",tblTransactions[Amount],"&lt;0"),0))</f>
      </c>
      <c r="H52" s="1">
        <f>IF($D52="","",$E52+$F52-$G52)</f>
      </c>
      <c r="I52" s="4">
        <f>IF($D52="","",IFERROR(1/(1/AGGREGATE(14,6,tblTransactions[Transaction Date]/(((tblTransactions[Source Account]=$D52)+((tblTransactions[Transaction Type]="Transfer")*(tblTransactions[Destination Type]="Account")*(tblTransactions[Destination Name]=$D52)))*((tblTransactions[Transaction Status]="Completed")+(tblTransactions[Transaction Status]="Reconciled"))),1)),""))</f>
      </c>
      <c r="J52" s="1">
        <f>IF($D52="","",IFERROR(INDEX(tblAccounts[Account Type],ROW()-1),""))</f>
      </c>
      <c r="K52" s="1">
        <f>IF($D52="","",IFERROR(INDEX(tblAccounts[Include in Dashboard],ROW()-1),""))</f>
      </c>
      <c r="L52" s="1">
        <f>IF($D52="","",IFERROR(INDEX(tblAccounts[Status],ROW()-1),""))</f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>IFERROR(IF(INDEX(tblAccounts[Account Name],ROW()-1)="","",INDEX(tblAccounts[Account Name],ROW()-1)),"")</f>
      </c>
      <c r="E53" s="1">
        <f>IF($D53="","",IFERROR(INDEX(tblAccounts[Opening Balance],ROW()-1),0))</f>
      </c>
      <c r="F53" s="1">
        <f>IF($D53="","",IFERROR(SUMIFS(tblTransactions[Amount],tblTransactions[Transaction Type],"Income",tblTransactions[Source Account],$D53,tblTransactions[Transaction Status],"Completed")+SUMIFS(tblTransactions[Amount],tblTransactions[Transaction Type],"Income",tblTransactions[Source Account],$D53,tblTransactions[Transaction Status],"Reconciled")+SUMIFS(tblTransactions[Amount],tblTransactions[Transaction Type],"Transfer",tblTransactions[Destination Type],"Account",tblTransactions[Destination Name],$D53,tblTransactions[Transaction Status],"Completed")+SUMIFS(tblTransactions[Amount],tblTransactions[Transaction Type],"Transfer",tblTransactions[Destination Type],"Account",tblTransactions[Destination Name],$D53,tblTransactions[Transaction Status],"Reconciled")+SUMIFS(tblTransactions[Amount],tblTransactions[Transaction Type],"Adjustment",tblTransactions[Source Account],$D53,tblTransactions[Transaction Status],"Completed",tblTransactions[Amount],"&gt;0")+SUMIFS(tblTransactions[Amount],tblTransactions[Transaction Type],"Adjustment",tblTransactions[Source Account],$D53,tblTransactions[Transaction Status],"Reconciled",tblTransactions[Amount],"&gt;0"),0))</f>
      </c>
      <c r="G53" s="1">
        <f>IF($D53="","",IFERROR(SUMIFS(tblTransactions[Amount],tblTransactions[Transaction Type],"Expense",tblTransactions[Source Account],$D53,tblTransactions[Transaction Status],"Completed")+SUMIFS(tblTransactions[Amount],tblTransactions[Transaction Type],"Expense",tblTransactions[Source Account],$D53,tblTransactions[Transaction Status],"Reconciled")+SUMIFS(tblTransactions[Amount],tblTransactions[Transaction Type],"Transfer",tblTransactions[Source Account],$D53,tblTransactions[Transaction Status],"Completed")+SUMIFS(tblTransactions[Amount],tblTransactions[Transaction Type],"Transfer",tblTransactions[Source Account],$D53,tblTransactions[Transaction Status],"Reconciled")-SUMIFS(tblTransactions[Amount],tblTransactions[Transaction Type],"Adjustment",tblTransactions[Source Account],$D53,tblTransactions[Transaction Status],"Completed",tblTransactions[Amount],"&lt;0")-SUMIFS(tblTransactions[Amount],tblTransactions[Transaction Type],"Adjustment",tblTransactions[Source Account],$D53,tblTransactions[Transaction Status],"Reconciled",tblTransactions[Amount],"&lt;0"),0))</f>
      </c>
      <c r="H53" s="1">
        <f>IF($D53="","",$E53+$F53-$G53)</f>
      </c>
      <c r="I53" s="4">
        <f>IF($D53="","",IFERROR(1/(1/AGGREGATE(14,6,tblTransactions[Transaction Date]/(((tblTransactions[Source Account]=$D53)+((tblTransactions[Transaction Type]="Transfer")*(tblTransactions[Destination Type]="Account")*(tblTransactions[Destination Name]=$D53)))*((tblTransactions[Transaction Status]="Completed")+(tblTransactions[Transaction Status]="Reconciled"))),1)),""))</f>
      </c>
      <c r="J53" s="1">
        <f>IF($D53="","",IFERROR(INDEX(tblAccounts[Account Type],ROW()-1),""))</f>
      </c>
      <c r="K53" s="1">
        <f>IF($D53="","",IFERROR(INDEX(tblAccounts[Include in Dashboard],ROW()-1),""))</f>
      </c>
      <c r="L53" s="1">
        <f>IF($D53="","",IFERROR(INDEX(tblAccounts[Status],ROW()-1),""))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>IFERROR(IF(INDEX(tblAccounts[Account Name],ROW()-1)="","",INDEX(tblAccounts[Account Name],ROW()-1)),"")</f>
      </c>
      <c r="E54" s="1">
        <f>IF($D54="","",IFERROR(INDEX(tblAccounts[Opening Balance],ROW()-1),0))</f>
      </c>
      <c r="F54" s="1">
        <f>IF($D54="","",IFERROR(SUMIFS(tblTransactions[Amount],tblTransactions[Transaction Type],"Income",tblTransactions[Source Account],$D54,tblTransactions[Transaction Status],"Completed")+SUMIFS(tblTransactions[Amount],tblTransactions[Transaction Type],"Income",tblTransactions[Source Account],$D54,tblTransactions[Transaction Status],"Reconciled")+SUMIFS(tblTransactions[Amount],tblTransactions[Transaction Type],"Transfer",tblTransactions[Destination Type],"Account",tblTransactions[Destination Name],$D54,tblTransactions[Transaction Status],"Completed")+SUMIFS(tblTransactions[Amount],tblTransactions[Transaction Type],"Transfer",tblTransactions[Destination Type],"Account",tblTransactions[Destination Name],$D54,tblTransactions[Transaction Status],"Reconciled")+SUMIFS(tblTransactions[Amount],tblTransactions[Transaction Type],"Adjustment",tblTransactions[Source Account],$D54,tblTransactions[Transaction Status],"Completed",tblTransactions[Amount],"&gt;0")+SUMIFS(tblTransactions[Amount],tblTransactions[Transaction Type],"Adjustment",tblTransactions[Source Account],$D54,tblTransactions[Transaction Status],"Reconciled",tblTransactions[Amount],"&gt;0"),0))</f>
      </c>
      <c r="G54" s="1">
        <f>IF($D54="","",IFERROR(SUMIFS(tblTransactions[Amount],tblTransactions[Transaction Type],"Expense",tblTransactions[Source Account],$D54,tblTransactions[Transaction Status],"Completed")+SUMIFS(tblTransactions[Amount],tblTransactions[Transaction Type],"Expense",tblTransactions[Source Account],$D54,tblTransactions[Transaction Status],"Reconciled")+SUMIFS(tblTransactions[Amount],tblTransactions[Transaction Type],"Transfer",tblTransactions[Source Account],$D54,tblTransactions[Transaction Status],"Completed")+SUMIFS(tblTransactions[Amount],tblTransactions[Transaction Type],"Transfer",tblTransactions[Source Account],$D54,tblTransactions[Transaction Status],"Reconciled")-SUMIFS(tblTransactions[Amount],tblTransactions[Transaction Type],"Adjustment",tblTransactions[Source Account],$D54,tblTransactions[Transaction Status],"Completed",tblTransactions[Amount],"&lt;0")-SUMIFS(tblTransactions[Amount],tblTransactions[Transaction Type],"Adjustment",tblTransactions[Source Account],$D54,tblTransactions[Transaction Status],"Reconciled",tblTransactions[Amount],"&lt;0"),0))</f>
      </c>
      <c r="H54" s="1">
        <f>IF($D54="","",$E54+$F54-$G54)</f>
      </c>
      <c r="I54" s="4">
        <f>IF($D54="","",IFERROR(1/(1/AGGREGATE(14,6,tblTransactions[Transaction Date]/(((tblTransactions[Source Account]=$D54)+((tblTransactions[Transaction Type]="Transfer")*(tblTransactions[Destination Type]="Account")*(tblTransactions[Destination Name]=$D54)))*((tblTransactions[Transaction Status]="Completed")+(tblTransactions[Transaction Status]="Reconciled"))),1)),""))</f>
      </c>
      <c r="J54" s="1">
        <f>IF($D54="","",IFERROR(INDEX(tblAccounts[Account Type],ROW()-1),""))</f>
      </c>
      <c r="K54" s="1">
        <f>IF($D54="","",IFERROR(INDEX(tblAccounts[Include in Dashboard],ROW()-1),""))</f>
      </c>
      <c r="L54" s="1">
        <f>IF($D54="","",IFERROR(INDEX(tblAccounts[Status],ROW()-1),""))</f>
      </c>
    </row>
    <row r="55">
      <c r="A55" s="1" t="s">
        <v>269</v>
      </c>
      <c r="B55" s="1">
        <f>IFERROR(SUMIFS(tblGoals[Remaining Amount],tblGoals[Goal Status],"Active"),0)</f>
      </c>
      <c r="D55" s="1">
        <f>IFERROR(IF(INDEX(tblAccounts[Account Name],ROW()-1)="","",INDEX(tblAccounts[Account Name],ROW()-1)),"")</f>
      </c>
      <c r="E55" s="1">
        <f>IF($D55="","",IFERROR(INDEX(tblAccounts[Opening Balance],ROW()-1),0))</f>
      </c>
      <c r="F55" s="1">
        <f>IF($D55="","",IFERROR(SUMIFS(tblTransactions[Amount],tblTransactions[Transaction Type],"Income",tblTransactions[Source Account],$D55,tblTransactions[Transaction Status],"Completed")+SUMIFS(tblTransactions[Amount],tblTransactions[Transaction Type],"Income",tblTransactions[Source Account],$D55,tblTransactions[Transaction Status],"Reconciled")+SUMIFS(tblTransactions[Amount],tblTransactions[Transaction Type],"Transfer",tblTransactions[Destination Type],"Account",tblTransactions[Destination Name],$D55,tblTransactions[Transaction Status],"Completed")+SUMIFS(tblTransactions[Amount],tblTransactions[Transaction Type],"Transfer",tblTransactions[Destination Type],"Account",tblTransactions[Destination Name],$D55,tblTransactions[Transaction Status],"Reconciled")+SUMIFS(tblTransactions[Amount],tblTransactions[Transaction Type],"Adjustment",tblTransactions[Source Account],$D55,tblTransactions[Transaction Status],"Completed",tblTransactions[Amount],"&gt;0")+SUMIFS(tblTransactions[Amount],tblTransactions[Transaction Type],"Adjustment",tblTransactions[Source Account],$D55,tblTransactions[Transaction Status],"Reconciled",tblTransactions[Amount],"&gt;0"),0))</f>
      </c>
      <c r="G55" s="1">
        <f>IF($D55="","",IFERROR(SUMIFS(tblTransactions[Amount],tblTransactions[Transaction Type],"Expense",tblTransactions[Source Account],$D55,tblTransactions[Transaction Status],"Completed")+SUMIFS(tblTransactions[Amount],tblTransactions[Transaction Type],"Expense",tblTransactions[Source Account],$D55,tblTransactions[Transaction Status],"Reconciled")+SUMIFS(tblTransactions[Amount],tblTransactions[Transaction Type],"Transfer",tblTransactions[Source Account],$D55,tblTransactions[Transaction Status],"Completed")+SUMIFS(tblTransactions[Amount],tblTransactions[Transaction Type],"Transfer",tblTransactions[Source Account],$D55,tblTransactions[Transaction Status],"Reconciled")-SUMIFS(tblTransactions[Amount],tblTransactions[Transaction Type],"Adjustment",tblTransactions[Source Account],$D55,tblTransactions[Transaction Status],"Completed",tblTransactions[Amount],"&lt;0")-SUMIFS(tblTransactions[Amount],tblTransactions[Transaction Type],"Adjustment",tblTransactions[Source Account],$D55,tblTransactions[Transaction Status],"Reconciled",tblTransactions[Amount],"&lt;0"),0))</f>
      </c>
      <c r="H55" s="1">
        <f>IF($D55="","",$E55+$F55-$G55)</f>
      </c>
      <c r="I55" s="4">
        <f>IF($D55="","",IFERROR(1/(1/AGGREGATE(14,6,tblTransactions[Transaction Date]/(((tblTransactions[Source Account]=$D55)+((tblTransactions[Transaction Type]="Transfer")*(tblTransactions[Destination Type]="Account")*(tblTransactions[Destination Name]=$D55)))*((tblTransactions[Transaction Status]="Completed")+(tblTransactions[Transaction Status]="Reconciled"))),1)),""))</f>
      </c>
      <c r="J55" s="1">
        <f>IF($D55="","",IFERROR(INDEX(tblAccounts[Account Type],ROW()-1),""))</f>
      </c>
      <c r="K55" s="1">
        <f>IF($D55="","",IFERROR(INDEX(tblAccounts[Include in Dashboard],ROW()-1),""))</f>
      </c>
      <c r="L55" s="1">
        <f>IF($D55="","",IFERROR(INDEX(tblAccounts[Status],ROW()-1),""))</f>
      </c>
    </row>
    <row r="56">
      <c r="A56" s="1" t="s">
        <v>270</v>
      </c>
      <c r="B56" s="1">
        <f>COUNTIFS(tblGoals[Goal Status],"Active")</f>
      </c>
      <c r="D56" s="1">
        <f>IFERROR(IF(INDEX(tblAccounts[Account Name],ROW()-1)="","",INDEX(tblAccounts[Account Name],ROW()-1)),"")</f>
      </c>
      <c r="E56" s="1">
        <f>IF($D56="","",IFERROR(INDEX(tblAccounts[Opening Balance],ROW()-1),0))</f>
      </c>
      <c r="F56" s="1">
        <f>IF($D56="","",IFERROR(SUMIFS(tblTransactions[Amount],tblTransactions[Transaction Type],"Income",tblTransactions[Source Account],$D56,tblTransactions[Transaction Status],"Completed")+SUMIFS(tblTransactions[Amount],tblTransactions[Transaction Type],"Income",tblTransactions[Source Account],$D56,tblTransactions[Transaction Status],"Reconciled")+SUMIFS(tblTransactions[Amount],tblTransactions[Transaction Type],"Transfer",tblTransactions[Destination Type],"Account",tblTransactions[Destination Name],$D56,tblTransactions[Transaction Status],"Completed")+SUMIFS(tblTransactions[Amount],tblTransactions[Transaction Type],"Transfer",tblTransactions[Destination Type],"Account",tblTransactions[Destination Name],$D56,tblTransactions[Transaction Status],"Reconciled")+SUMIFS(tblTransactions[Amount],tblTransactions[Transaction Type],"Adjustment",tblTransactions[Source Account],$D56,tblTransactions[Transaction Status],"Completed",tblTransactions[Amount],"&gt;0")+SUMIFS(tblTransactions[Amount],tblTransactions[Transaction Type],"Adjustment",tblTransactions[Source Account],$D56,tblTransactions[Transaction Status],"Reconciled",tblTransactions[Amount],"&gt;0"),0))</f>
      </c>
      <c r="G56" s="1">
        <f>IF($D56="","",IFERROR(SUMIFS(tblTransactions[Amount],tblTransactions[Transaction Type],"Expense",tblTransactions[Source Account],$D56,tblTransactions[Transaction Status],"Completed")+SUMIFS(tblTransactions[Amount],tblTransactions[Transaction Type],"Expense",tblTransactions[Source Account],$D56,tblTransactions[Transaction Status],"Reconciled")+SUMIFS(tblTransactions[Amount],tblTransactions[Transaction Type],"Transfer",tblTransactions[Source Account],$D56,tblTransactions[Transaction Status],"Completed")+SUMIFS(tblTransactions[Amount],tblTransactions[Transaction Type],"Transfer",tblTransactions[Source Account],$D56,tblTransactions[Transaction Status],"Reconciled")-SUMIFS(tblTransactions[Amount],tblTransactions[Transaction Type],"Adjustment",tblTransactions[Source Account],$D56,tblTransactions[Transaction Status],"Completed",tblTransactions[Amount],"&lt;0")-SUMIFS(tblTransactions[Amount],tblTransactions[Transaction Type],"Adjustment",tblTransactions[Source Account],$D56,tblTransactions[Transaction Status],"Reconciled",tblTransactions[Amount],"&lt;0"),0))</f>
      </c>
      <c r="H56" s="1">
        <f>IF($D56="","",$E56+$F56-$G56)</f>
      </c>
      <c r="I56" s="4">
        <f>IF($D56="","",IFERROR(1/(1/AGGREGATE(14,6,tblTransactions[Transaction Date]/(((tblTransactions[Source Account]=$D56)+((tblTransactions[Transaction Type]="Transfer")*(tblTransactions[Destination Type]="Account")*(tblTransactions[Destination Name]=$D56)))*((tblTransactions[Transaction Status]="Completed")+(tblTransactions[Transaction Status]="Reconciled"))),1)),""))</f>
      </c>
      <c r="J56" s="1">
        <f>IF($D56="","",IFERROR(INDEX(tblAccounts[Account Type],ROW()-1),""))</f>
      </c>
      <c r="K56" s="1">
        <f>IF($D56="","",IFERROR(INDEX(tblAccounts[Include in Dashboard],ROW()-1),""))</f>
      </c>
      <c r="L56" s="1">
        <f>IF($D56="","",IFERROR(INDEX(tblAccounts[Status],ROW()-1),""))</f>
      </c>
    </row>
    <row r="57">
      <c r="A57" s="1" t="s">
        <v>271</v>
      </c>
      <c r="B57" s="1">
        <f>COUNTIFS(tblGoals[Goal Status],"Completed")</f>
      </c>
      <c r="D57" s="1">
        <f>IFERROR(IF(INDEX(tblAccounts[Account Name],ROW()-1)="","",INDEX(tblAccounts[Account Name],ROW()-1)),"")</f>
      </c>
      <c r="E57" s="1">
        <f>IF($D57="","",IFERROR(INDEX(tblAccounts[Opening Balance],ROW()-1),0))</f>
      </c>
      <c r="F57" s="1">
        <f>IF($D57="","",IFERROR(SUMIFS(tblTransactions[Amount],tblTransactions[Transaction Type],"Income",tblTransactions[Source Account],$D57,tblTransactions[Transaction Status],"Completed")+SUMIFS(tblTransactions[Amount],tblTransactions[Transaction Type],"Income",tblTransactions[Source Account],$D57,tblTransactions[Transaction Status],"Reconciled")+SUMIFS(tblTransactions[Amount],tblTransactions[Transaction Type],"Transfer",tblTransactions[Destination Type],"Account",tblTransactions[Destination Name],$D57,tblTransactions[Transaction Status],"Completed")+SUMIFS(tblTransactions[Amount],tblTransactions[Transaction Type],"Transfer",tblTransactions[Destination Type],"Account",tblTransactions[Destination Name],$D57,tblTransactions[Transaction Status],"Reconciled")+SUMIFS(tblTransactions[Amount],tblTransactions[Transaction Type],"Adjustment",tblTransactions[Source Account],$D57,tblTransactions[Transaction Status],"Completed",tblTransactions[Amount],"&gt;0")+SUMIFS(tblTransactions[Amount],tblTransactions[Transaction Type],"Adjustment",tblTransactions[Source Account],$D57,tblTransactions[Transaction Status],"Reconciled",tblTransactions[Amount],"&gt;0"),0))</f>
      </c>
      <c r="G57" s="1">
        <f>IF($D57="","",IFERROR(SUMIFS(tblTransactions[Amount],tblTransactions[Transaction Type],"Expense",tblTransactions[Source Account],$D57,tblTransactions[Transaction Status],"Completed")+SUMIFS(tblTransactions[Amount],tblTransactions[Transaction Type],"Expense",tblTransactions[Source Account],$D57,tblTransactions[Transaction Status],"Reconciled")+SUMIFS(tblTransactions[Amount],tblTransactions[Transaction Type],"Transfer",tblTransactions[Source Account],$D57,tblTransactions[Transaction Status],"Completed")+SUMIFS(tblTransactions[Amount],tblTransactions[Transaction Type],"Transfer",tblTransactions[Source Account],$D57,tblTransactions[Transaction Status],"Reconciled")-SUMIFS(tblTransactions[Amount],tblTransactions[Transaction Type],"Adjustment",tblTransactions[Source Account],$D57,tblTransactions[Transaction Status],"Completed",tblTransactions[Amount],"&lt;0")-SUMIFS(tblTransactions[Amount],tblTransactions[Transaction Type],"Adjustment",tblTransactions[Source Account],$D57,tblTransactions[Transaction Status],"Reconciled",tblTransactions[Amount],"&lt;0"),0))</f>
      </c>
      <c r="H57" s="1">
        <f>IF($D57="","",$E57+$F57-$G57)</f>
      </c>
      <c r="I57" s="4">
        <f>IF($D57="","",IFERROR(1/(1/AGGREGATE(14,6,tblTransactions[Transaction Date]/(((tblTransactions[Source Account]=$D57)+((tblTransactions[Transaction Type]="Transfer")*(tblTransactions[Destination Type]="Account")*(tblTransactions[Destination Name]=$D57)))*((tblTransactions[Transaction Status]="Completed")+(tblTransactions[Transaction Status]="Reconciled"))),1)),""))</f>
      </c>
      <c r="J57" s="1">
        <f>IF($D57="","",IFERROR(INDEX(tblAccounts[Account Type],ROW()-1),""))</f>
      </c>
      <c r="K57" s="1">
        <f>IF($D57="","",IFERROR(INDEX(tblAccounts[Include in Dashboard],ROW()-1),""))</f>
      </c>
      <c r="L57" s="1">
        <f>IF($D57="","",IFERROR(INDEX(tblAccounts[Status],ROW()-1),""))</f>
      </c>
    </row>
    <row r="58">
      <c r="A58" s="1" t="s">
        <v>272</v>
      </c>
      <c r="B58" s="1">
        <f>IFERROR($B$54/$B$53,0)</f>
      </c>
      <c r="D58" s="1">
        <f>IFERROR(IF(INDEX(tblAccounts[Account Name],ROW()-1)="","",INDEX(tblAccounts[Account Name],ROW()-1)),"")</f>
      </c>
      <c r="E58" s="1">
        <f>IF($D58="","",IFERROR(INDEX(tblAccounts[Opening Balance],ROW()-1),0))</f>
      </c>
      <c r="F58" s="1">
        <f>IF($D58="","",IFERROR(SUMIFS(tblTransactions[Amount],tblTransactions[Transaction Type],"Income",tblTransactions[Source Account],$D58,tblTransactions[Transaction Status],"Completed")+SUMIFS(tblTransactions[Amount],tblTransactions[Transaction Type],"Income",tblTransactions[Source Account],$D58,tblTransactions[Transaction Status],"Reconciled")+SUMIFS(tblTransactions[Amount],tblTransactions[Transaction Type],"Transfer",tblTransactions[Destination Type],"Account",tblTransactions[Destination Name],$D58,tblTransactions[Transaction Status],"Completed")+SUMIFS(tblTransactions[Amount],tblTransactions[Transaction Type],"Transfer",tblTransactions[Destination Type],"Account",tblTransactions[Destination Name],$D58,tblTransactions[Transaction Status],"Reconciled")+SUMIFS(tblTransactions[Amount],tblTransactions[Transaction Type],"Adjustment",tblTransactions[Source Account],$D58,tblTransactions[Transaction Status],"Completed",tblTransactions[Amount],"&gt;0")+SUMIFS(tblTransactions[Amount],tblTransactions[Transaction Type],"Adjustment",tblTransactions[Source Account],$D58,tblTransactions[Transaction Status],"Reconciled",tblTransactions[Amount],"&gt;0"),0))</f>
      </c>
      <c r="G58" s="1">
        <f>IF($D58="","",IFERROR(SUMIFS(tblTransactions[Amount],tblTransactions[Transaction Type],"Expense",tblTransactions[Source Account],$D58,tblTransactions[Transaction Status],"Completed")+SUMIFS(tblTransactions[Amount],tblTransactions[Transaction Type],"Expense",tblTransactions[Source Account],$D58,tblTransactions[Transaction Status],"Reconciled")+SUMIFS(tblTransactions[Amount],tblTransactions[Transaction Type],"Transfer",tblTransactions[Source Account],$D58,tblTransactions[Transaction Status],"Completed")+SUMIFS(tblTransactions[Amount],tblTransactions[Transaction Type],"Transfer",tblTransactions[Source Account],$D58,tblTransactions[Transaction Status],"Reconciled")-SUMIFS(tblTransactions[Amount],tblTransactions[Transaction Type],"Adjustment",tblTransactions[Source Account],$D58,tblTransactions[Transaction Status],"Completed",tblTransactions[Amount],"&lt;0")-SUMIFS(tblTransactions[Amount],tblTransactions[Transaction Type],"Adjustment",tblTransactions[Source Account],$D58,tblTransactions[Transaction Status],"Reconciled",tblTransactions[Amount],"&lt;0"),0))</f>
      </c>
      <c r="H58" s="1">
        <f>IF($D58="","",$E58+$F58-$G58)</f>
      </c>
      <c r="I58" s="4">
        <f>IF($D58="","",IFERROR(1/(1/AGGREGATE(14,6,tblTransactions[Transaction Date]/(((tblTransactions[Source Account]=$D58)+((tblTransactions[Transaction Type]="Transfer")*(tblTransactions[Destination Type]="Account")*(tblTransactions[Destination Name]=$D58)))*((tblTransactions[Transaction Status]="Completed")+(tblTransactions[Transaction Status]="Reconciled"))),1)),""))</f>
      </c>
      <c r="J58" s="1">
        <f>IF($D58="","",IFERROR(INDEX(tblAccounts[Account Type],ROW()-1),""))</f>
      </c>
      <c r="K58" s="1">
        <f>IF($D58="","",IFERROR(INDEX(tblAccounts[Include in Dashboard],ROW()-1),""))</f>
      </c>
      <c r="L58" s="1">
        <f>IF($D58="","",IFERROR(INDEX(tblAccounts[Status],ROW()-1),""))</f>
      </c>
    </row>
    <row r="59">
      <c r="D59" s="1">
        <f>IFERROR(IF(INDEX(tblAccounts[Account Name],ROW()-1)="","",INDEX(tblAccounts[Account Name],ROW()-1)),"")</f>
      </c>
      <c r="E59" s="1">
        <f>IF($D59="","",IFERROR(INDEX(tblAccounts[Opening Balance],ROW()-1),0))</f>
      </c>
      <c r="F59" s="1">
        <f>IF($D59="","",IFERROR(SUMIFS(tblTransactions[Amount],tblTransactions[Transaction Type],"Income",tblTransactions[Source Account],$D59,tblTransactions[Transaction Status],"Completed")+SUMIFS(tblTransactions[Amount],tblTransactions[Transaction Type],"Income",tblTransactions[Source Account],$D59,tblTransactions[Transaction Status],"Reconciled")+SUMIFS(tblTransactions[Amount],tblTransactions[Transaction Type],"Transfer",tblTransactions[Destination Type],"Account",tblTransactions[Destination Name],$D59,tblTransactions[Transaction Status],"Completed")+SUMIFS(tblTransactions[Amount],tblTransactions[Transaction Type],"Transfer",tblTransactions[Destination Type],"Account",tblTransactions[Destination Name],$D59,tblTransactions[Transaction Status],"Reconciled")+SUMIFS(tblTransactions[Amount],tblTransactions[Transaction Type],"Adjustment",tblTransactions[Source Account],$D59,tblTransactions[Transaction Status],"Completed",tblTransactions[Amount],"&gt;0")+SUMIFS(tblTransactions[Amount],tblTransactions[Transaction Type],"Adjustment",tblTransactions[Source Account],$D59,tblTransactions[Transaction Status],"Reconciled",tblTransactions[Amount],"&gt;0"),0))</f>
      </c>
      <c r="G59" s="1">
        <f>IF($D59="","",IFERROR(SUMIFS(tblTransactions[Amount],tblTransactions[Transaction Type],"Expense",tblTransactions[Source Account],$D59,tblTransactions[Transaction Status],"Completed")+SUMIFS(tblTransactions[Amount],tblTransactions[Transaction Type],"Expense",tblTransactions[Source Account],$D59,tblTransactions[Transaction Status],"Reconciled")+SUMIFS(tblTransactions[Amount],tblTransactions[Transaction Type],"Transfer",tblTransactions[Source Account],$D59,tblTransactions[Transaction Status],"Completed")+SUMIFS(tblTransactions[Amount],tblTransactions[Transaction Type],"Transfer",tblTransactions[Source Account],$D59,tblTransactions[Transaction Status],"Reconciled")-SUMIFS(tblTransactions[Amount],tblTransactions[Transaction Type],"Adjustment",tblTransactions[Source Account],$D59,tblTransactions[Transaction Status],"Completed",tblTransactions[Amount],"&lt;0")-SUMIFS(tblTransactions[Amount],tblTransactions[Transaction Type],"Adjustment",tblTransactions[Source Account],$D59,tblTransactions[Transaction Status],"Reconciled",tblTransactions[Amount],"&lt;0"),0))</f>
      </c>
      <c r="H59" s="1">
        <f>IF($D59="","",$E59+$F59-$G59)</f>
      </c>
      <c r="I59" s="4">
        <f>IF($D59="","",IFERROR(1/(1/AGGREGATE(14,6,tblTransactions[Transaction Date]/(((tblTransactions[Source Account]=$D59)+((tblTransactions[Transaction Type]="Transfer")*(tblTransactions[Destination Type]="Account")*(tblTransactions[Destination Name]=$D59)))*((tblTransactions[Transaction Status]="Completed")+(tblTransactions[Transaction Status]="Reconciled"))),1)),""))</f>
      </c>
      <c r="J59" s="1">
        <f>IF($D59="","",IFERROR(INDEX(tblAccounts[Account Type],ROW()-1),""))</f>
      </c>
      <c r="K59" s="1">
        <f>IF($D59="","",IFERROR(INDEX(tblAccounts[Include in Dashboard],ROW()-1),""))</f>
      </c>
      <c r="L59" s="1">
        <f>IF($D59="","",IFERROR(INDEX(tblAccounts[Status],ROW()-1),""))</f>
      </c>
    </row>
    <row r="60">
      <c r="A60" s="1" t="s">
        <v>273</v>
      </c>
      <c r="D60" s="1">
        <f>IFERROR(IF(INDEX(tblAccounts[Account Name],ROW()-1)="","",INDEX(tblAccounts[Account Name],ROW()-1)),"")</f>
      </c>
      <c r="E60" s="1">
        <f>IF($D60="","",IFERROR(INDEX(tblAccounts[Opening Balance],ROW()-1),0))</f>
      </c>
      <c r="F60" s="1">
        <f>IF($D60="","",IFERROR(SUMIFS(tblTransactions[Amount],tblTransactions[Transaction Type],"Income",tblTransactions[Source Account],$D60,tblTransactions[Transaction Status],"Completed")+SUMIFS(tblTransactions[Amount],tblTransactions[Transaction Type],"Income",tblTransactions[Source Account],$D60,tblTransactions[Transaction Status],"Reconciled")+SUMIFS(tblTransactions[Amount],tblTransactions[Transaction Type],"Transfer",tblTransactions[Destination Type],"Account",tblTransactions[Destination Name],$D60,tblTransactions[Transaction Status],"Completed")+SUMIFS(tblTransactions[Amount],tblTransactions[Transaction Type],"Transfer",tblTransactions[Destination Type],"Account",tblTransactions[Destination Name],$D60,tblTransactions[Transaction Status],"Reconciled")+SUMIFS(tblTransactions[Amount],tblTransactions[Transaction Type],"Adjustment",tblTransactions[Source Account],$D60,tblTransactions[Transaction Status],"Completed",tblTransactions[Amount],"&gt;0")+SUMIFS(tblTransactions[Amount],tblTransactions[Transaction Type],"Adjustment",tblTransactions[Source Account],$D60,tblTransactions[Transaction Status],"Reconciled",tblTransactions[Amount],"&gt;0"),0))</f>
      </c>
      <c r="G60" s="1">
        <f>IF($D60="","",IFERROR(SUMIFS(tblTransactions[Amount],tblTransactions[Transaction Type],"Expense",tblTransactions[Source Account],$D60,tblTransactions[Transaction Status],"Completed")+SUMIFS(tblTransactions[Amount],tblTransactions[Transaction Type],"Expense",tblTransactions[Source Account],$D60,tblTransactions[Transaction Status],"Reconciled")+SUMIFS(tblTransactions[Amount],tblTransactions[Transaction Type],"Transfer",tblTransactions[Source Account],$D60,tblTransactions[Transaction Status],"Completed")+SUMIFS(tblTransactions[Amount],tblTransactions[Transaction Type],"Transfer",tblTransactions[Source Account],$D60,tblTransactions[Transaction Status],"Reconciled")-SUMIFS(tblTransactions[Amount],tblTransactions[Transaction Type],"Adjustment",tblTransactions[Source Account],$D60,tblTransactions[Transaction Status],"Completed",tblTransactions[Amount],"&lt;0")-SUMIFS(tblTransactions[Amount],tblTransactions[Transaction Type],"Adjustment",tblTransactions[Source Account],$D60,tblTransactions[Transaction Status],"Reconciled",tblTransactions[Amount],"&lt;0"),0))</f>
      </c>
      <c r="H60" s="1">
        <f>IF($D60="","",$E60+$F60-$G60)</f>
      </c>
      <c r="I60" s="4">
        <f>IF($D60="","",IFERROR(1/(1/AGGREGATE(14,6,tblTransactions[Transaction Date]/(((tblTransactions[Source Account]=$D60)+((tblTransactions[Transaction Type]="Transfer")*(tblTransactions[Destination Type]="Account")*(tblTransactions[Destination Name]=$D60)))*((tblTransactions[Transaction Status]="Completed")+(tblTransactions[Transaction Status]="Reconciled"))),1)),""))</f>
      </c>
      <c r="J60" s="1">
        <f>IF($D60="","",IFERROR(INDEX(tblAccounts[Account Type],ROW()-1),""))</f>
      </c>
      <c r="K60" s="1">
        <f>IF($D60="","",IFERROR(INDEX(tblAccounts[Include in Dashboard],ROW()-1),""))</f>
      </c>
      <c r="L60" s="1">
        <f>IF($D60="","",IFERROR(INDEX(tblAccounts[Status],ROW()-1),""))</f>
      </c>
    </row>
    <row r="61">
      <c r="A61" s="1" t="s">
        <v>95</v>
      </c>
      <c r="B61" s="1">
        <f>$B$16</f>
      </c>
      <c r="D61" s="1">
        <f>IFERROR(IF(INDEX(tblAccounts[Account Name],ROW()-1)="","",INDEX(tblAccounts[Account Name],ROW()-1)),"")</f>
      </c>
      <c r="E61" s="1">
        <f>IF($D61="","",IFERROR(INDEX(tblAccounts[Opening Balance],ROW()-1),0))</f>
      </c>
      <c r="F61" s="1">
        <f>IF($D61="","",IFERROR(SUMIFS(tblTransactions[Amount],tblTransactions[Transaction Type],"Income",tblTransactions[Source Account],$D61,tblTransactions[Transaction Status],"Completed")+SUMIFS(tblTransactions[Amount],tblTransactions[Transaction Type],"Income",tblTransactions[Source Account],$D61,tblTransactions[Transaction Status],"Reconciled")+SUMIFS(tblTransactions[Amount],tblTransactions[Transaction Type],"Transfer",tblTransactions[Destination Type],"Account",tblTransactions[Destination Name],$D61,tblTransactions[Transaction Status],"Completed")+SUMIFS(tblTransactions[Amount],tblTransactions[Transaction Type],"Transfer",tblTransactions[Destination Type],"Account",tblTransactions[Destination Name],$D61,tblTransactions[Transaction Status],"Reconciled")+SUMIFS(tblTransactions[Amount],tblTransactions[Transaction Type],"Adjustment",tblTransactions[Source Account],$D61,tblTransactions[Transaction Status],"Completed",tblTransactions[Amount],"&gt;0")+SUMIFS(tblTransactions[Amount],tblTransactions[Transaction Type],"Adjustment",tblTransactions[Source Account],$D61,tblTransactions[Transaction Status],"Reconciled",tblTransactions[Amount],"&gt;0"),0))</f>
      </c>
      <c r="G61" s="1">
        <f>IF($D61="","",IFERROR(SUMIFS(tblTransactions[Amount],tblTransactions[Transaction Type],"Expense",tblTransactions[Source Account],$D61,tblTransactions[Transaction Status],"Completed")+SUMIFS(tblTransactions[Amount],tblTransactions[Transaction Type],"Expense",tblTransactions[Source Account],$D61,tblTransactions[Transaction Status],"Reconciled")+SUMIFS(tblTransactions[Amount],tblTransactions[Transaction Type],"Transfer",tblTransactions[Source Account],$D61,tblTransactions[Transaction Status],"Completed")+SUMIFS(tblTransactions[Amount],tblTransactions[Transaction Type],"Transfer",tblTransactions[Source Account],$D61,tblTransactions[Transaction Status],"Reconciled")-SUMIFS(tblTransactions[Amount],tblTransactions[Transaction Type],"Adjustment",tblTransactions[Source Account],$D61,tblTransactions[Transaction Status],"Completed",tblTransactions[Amount],"&lt;0")-SUMIFS(tblTransactions[Amount],tblTransactions[Transaction Type],"Adjustment",tblTransactions[Source Account],$D61,tblTransactions[Transaction Status],"Reconciled",tblTransactions[Amount],"&lt;0"),0))</f>
      </c>
      <c r="H61" s="1">
        <f>IF($D61="","",$E61+$F61-$G61)</f>
      </c>
      <c r="I61" s="4">
        <f>IF($D61="","",IFERROR(1/(1/AGGREGATE(14,6,tblTransactions[Transaction Date]/(((tblTransactions[Source Account]=$D61)+((tblTransactions[Transaction Type]="Transfer")*(tblTransactions[Destination Type]="Account")*(tblTransactions[Destination Name]=$D61)))*((tblTransactions[Transaction Status]="Completed")+(tblTransactions[Transaction Status]="Reconciled"))),1)),""))</f>
      </c>
      <c r="J61" s="1">
        <f>IF($D61="","",IFERROR(INDEX(tblAccounts[Account Type],ROW()-1),""))</f>
      </c>
      <c r="K61" s="1">
        <f>IF($D61="","",IFERROR(INDEX(tblAccounts[Include in Dashboard],ROW()-1),""))</f>
      </c>
      <c r="L61" s="1">
        <f>IF($D61="","",IFERROR(INDEX(tblAccounts[Status],ROW()-1),""))</f>
      </c>
    </row>
    <row r="62">
      <c r="A62" s="1" t="s">
        <v>274</v>
      </c>
      <c r="B62" s="1">
        <f>$B$22</f>
      </c>
      <c r="D62" s="1">
        <f>IFERROR(IF(INDEX(tblAccounts[Account Name],ROW()-1)="","",INDEX(tblAccounts[Account Name],ROW()-1)),"")</f>
      </c>
      <c r="E62" s="1">
        <f>IF($D62="","",IFERROR(INDEX(tblAccounts[Opening Balance],ROW()-1),0))</f>
      </c>
      <c r="F62" s="1">
        <f>IF($D62="","",IFERROR(SUMIFS(tblTransactions[Amount],tblTransactions[Transaction Type],"Income",tblTransactions[Source Account],$D62,tblTransactions[Transaction Status],"Completed")+SUMIFS(tblTransactions[Amount],tblTransactions[Transaction Type],"Income",tblTransactions[Source Account],$D62,tblTransactions[Transaction Status],"Reconciled")+SUMIFS(tblTransactions[Amount],tblTransactions[Transaction Type],"Transfer",tblTransactions[Destination Type],"Account",tblTransactions[Destination Name],$D62,tblTransactions[Transaction Status],"Completed")+SUMIFS(tblTransactions[Amount],tblTransactions[Transaction Type],"Transfer",tblTransactions[Destination Type],"Account",tblTransactions[Destination Name],$D62,tblTransactions[Transaction Status],"Reconciled")+SUMIFS(tblTransactions[Amount],tblTransactions[Transaction Type],"Adjustment",tblTransactions[Source Account],$D62,tblTransactions[Transaction Status],"Completed",tblTransactions[Amount],"&gt;0")+SUMIFS(tblTransactions[Amount],tblTransactions[Transaction Type],"Adjustment",tblTransactions[Source Account],$D62,tblTransactions[Transaction Status],"Reconciled",tblTransactions[Amount],"&gt;0"),0))</f>
      </c>
      <c r="G62" s="1">
        <f>IF($D62="","",IFERROR(SUMIFS(tblTransactions[Amount],tblTransactions[Transaction Type],"Expense",tblTransactions[Source Account],$D62,tblTransactions[Transaction Status],"Completed")+SUMIFS(tblTransactions[Amount],tblTransactions[Transaction Type],"Expense",tblTransactions[Source Account],$D62,tblTransactions[Transaction Status],"Reconciled")+SUMIFS(tblTransactions[Amount],tblTransactions[Transaction Type],"Transfer",tblTransactions[Source Account],$D62,tblTransactions[Transaction Status],"Completed")+SUMIFS(tblTransactions[Amount],tblTransactions[Transaction Type],"Transfer",tblTransactions[Source Account],$D62,tblTransactions[Transaction Status],"Reconciled")-SUMIFS(tblTransactions[Amount],tblTransactions[Transaction Type],"Adjustment",tblTransactions[Source Account],$D62,tblTransactions[Transaction Status],"Completed",tblTransactions[Amount],"&lt;0")-SUMIFS(tblTransactions[Amount],tblTransactions[Transaction Type],"Adjustment",tblTransactions[Source Account],$D62,tblTransactions[Transaction Status],"Reconciled",tblTransactions[Amount],"&lt;0"),0))</f>
      </c>
      <c r="H62" s="1">
        <f>IF($D62="","",$E62+$F62-$G62)</f>
      </c>
      <c r="I62" s="4">
        <f>IF($D62="","",IFERROR(1/(1/AGGREGATE(14,6,tblTransactions[Transaction Date]/(((tblTransactions[Source Account]=$D62)+((tblTransactions[Transaction Type]="Transfer")*(tblTransactions[Destination Type]="Account")*(tblTransactions[Destination Name]=$D62)))*((tblTransactions[Transaction Status]="Completed")+(tblTransactions[Transaction Status]="Reconciled"))),1)),""))</f>
      </c>
      <c r="J62" s="1">
        <f>IF($D62="","",IFERROR(INDEX(tblAccounts[Account Type],ROW()-1),""))</f>
      </c>
      <c r="K62" s="1">
        <f>IF($D62="","",IFERROR(INDEX(tblAccounts[Include in Dashboard],ROW()-1),""))</f>
      </c>
      <c r="L62" s="1">
        <f>IF($D62="","",IFERROR(INDEX(tblAccounts[Status],ROW()-1),""))</f>
      </c>
    </row>
    <row r="63">
      <c r="A63" s="1" t="s">
        <v>275</v>
      </c>
      <c r="B63" s="1">
        <f>$B$29</f>
      </c>
      <c r="D63" s="1">
        <f>IFERROR(IF(INDEX(tblAccounts[Account Name],ROW()-1)="","",INDEX(tblAccounts[Account Name],ROW()-1)),"")</f>
      </c>
      <c r="E63" s="1">
        <f>IF($D63="","",IFERROR(INDEX(tblAccounts[Opening Balance],ROW()-1),0))</f>
      </c>
      <c r="F63" s="1">
        <f>IF($D63="","",IFERROR(SUMIFS(tblTransactions[Amount],tblTransactions[Transaction Type],"Income",tblTransactions[Source Account],$D63,tblTransactions[Transaction Status],"Completed")+SUMIFS(tblTransactions[Amount],tblTransactions[Transaction Type],"Income",tblTransactions[Source Account],$D63,tblTransactions[Transaction Status],"Reconciled")+SUMIFS(tblTransactions[Amount],tblTransactions[Transaction Type],"Transfer",tblTransactions[Destination Type],"Account",tblTransactions[Destination Name],$D63,tblTransactions[Transaction Status],"Completed")+SUMIFS(tblTransactions[Amount],tblTransactions[Transaction Type],"Transfer",tblTransactions[Destination Type],"Account",tblTransactions[Destination Name],$D63,tblTransactions[Transaction Status],"Reconciled")+SUMIFS(tblTransactions[Amount],tblTransactions[Transaction Type],"Adjustment",tblTransactions[Source Account],$D63,tblTransactions[Transaction Status],"Completed",tblTransactions[Amount],"&gt;0")+SUMIFS(tblTransactions[Amount],tblTransactions[Transaction Type],"Adjustment",tblTransactions[Source Account],$D63,tblTransactions[Transaction Status],"Reconciled",tblTransactions[Amount],"&gt;0"),0))</f>
      </c>
      <c r="G63" s="1">
        <f>IF($D63="","",IFERROR(SUMIFS(tblTransactions[Amount],tblTransactions[Transaction Type],"Expense",tblTransactions[Source Account],$D63,tblTransactions[Transaction Status],"Completed")+SUMIFS(tblTransactions[Amount],tblTransactions[Transaction Type],"Expense",tblTransactions[Source Account],$D63,tblTransactions[Transaction Status],"Reconciled")+SUMIFS(tblTransactions[Amount],tblTransactions[Transaction Type],"Transfer",tblTransactions[Source Account],$D63,tblTransactions[Transaction Status],"Completed")+SUMIFS(tblTransactions[Amount],tblTransactions[Transaction Type],"Transfer",tblTransactions[Source Account],$D63,tblTransactions[Transaction Status],"Reconciled")-SUMIFS(tblTransactions[Amount],tblTransactions[Transaction Type],"Adjustment",tblTransactions[Source Account],$D63,tblTransactions[Transaction Status],"Completed",tblTransactions[Amount],"&lt;0")-SUMIFS(tblTransactions[Amount],tblTransactions[Transaction Type],"Adjustment",tblTransactions[Source Account],$D63,tblTransactions[Transaction Status],"Reconciled",tblTransactions[Amount],"&lt;0"),0))</f>
      </c>
      <c r="H63" s="1">
        <f>IF($D63="","",$E63+$F63-$G63)</f>
      </c>
      <c r="I63" s="4">
        <f>IF($D63="","",IFERROR(1/(1/AGGREGATE(14,6,tblTransactions[Transaction Date]/(((tblTransactions[Source Account]=$D63)+((tblTransactions[Transaction Type]="Transfer")*(tblTransactions[Destination Type]="Account")*(tblTransactions[Destination Name]=$D63)))*((tblTransactions[Transaction Status]="Completed")+(tblTransactions[Transaction Status]="Reconciled"))),1)),""))</f>
      </c>
      <c r="J63" s="1">
        <f>IF($D63="","",IFERROR(INDEX(tblAccounts[Account Type],ROW()-1),""))</f>
      </c>
      <c r="K63" s="1">
        <f>IF($D63="","",IFERROR(INDEX(tblAccounts[Include in Dashboard],ROW()-1),""))</f>
      </c>
      <c r="L63" s="1">
        <f>IF($D63="","",IFERROR(INDEX(tblAccounts[Status],ROW()-1),""))</f>
      </c>
    </row>
    <row r="64">
      <c r="A64" s="1" t="s">
        <v>276</v>
      </c>
      <c r="B64" s="1">
        <f>$B$30</f>
      </c>
      <c r="D64" s="1">
        <f>IFERROR(IF(INDEX(tblAccounts[Account Name],ROW()-1)="","",INDEX(tblAccounts[Account Name],ROW()-1)),"")</f>
      </c>
      <c r="E64" s="1">
        <f>IF($D64="","",IFERROR(INDEX(tblAccounts[Opening Balance],ROW()-1),0))</f>
      </c>
      <c r="F64" s="1">
        <f>IF($D64="","",IFERROR(SUMIFS(tblTransactions[Amount],tblTransactions[Transaction Type],"Income",tblTransactions[Source Account],$D64,tblTransactions[Transaction Status],"Completed")+SUMIFS(tblTransactions[Amount],tblTransactions[Transaction Type],"Income",tblTransactions[Source Account],$D64,tblTransactions[Transaction Status],"Reconciled")+SUMIFS(tblTransactions[Amount],tblTransactions[Transaction Type],"Transfer",tblTransactions[Destination Type],"Account",tblTransactions[Destination Name],$D64,tblTransactions[Transaction Status],"Completed")+SUMIFS(tblTransactions[Amount],tblTransactions[Transaction Type],"Transfer",tblTransactions[Destination Type],"Account",tblTransactions[Destination Name],$D64,tblTransactions[Transaction Status],"Reconciled")+SUMIFS(tblTransactions[Amount],tblTransactions[Transaction Type],"Adjustment",tblTransactions[Source Account],$D64,tblTransactions[Transaction Status],"Completed",tblTransactions[Amount],"&gt;0")+SUMIFS(tblTransactions[Amount],tblTransactions[Transaction Type],"Adjustment",tblTransactions[Source Account],$D64,tblTransactions[Transaction Status],"Reconciled",tblTransactions[Amount],"&gt;0"),0))</f>
      </c>
      <c r="G64" s="1">
        <f>IF($D64="","",IFERROR(SUMIFS(tblTransactions[Amount],tblTransactions[Transaction Type],"Expense",tblTransactions[Source Account],$D64,tblTransactions[Transaction Status],"Completed")+SUMIFS(tblTransactions[Amount],tblTransactions[Transaction Type],"Expense",tblTransactions[Source Account],$D64,tblTransactions[Transaction Status],"Reconciled")+SUMIFS(tblTransactions[Amount],tblTransactions[Transaction Type],"Transfer",tblTransactions[Source Account],$D64,tblTransactions[Transaction Status],"Completed")+SUMIFS(tblTransactions[Amount],tblTransactions[Transaction Type],"Transfer",tblTransactions[Source Account],$D64,tblTransactions[Transaction Status],"Reconciled")-SUMIFS(tblTransactions[Amount],tblTransactions[Transaction Type],"Adjustment",tblTransactions[Source Account],$D64,tblTransactions[Transaction Status],"Completed",tblTransactions[Amount],"&lt;0")-SUMIFS(tblTransactions[Amount],tblTransactions[Transaction Type],"Adjustment",tblTransactions[Source Account],$D64,tblTransactions[Transaction Status],"Reconciled",tblTransactions[Amount],"&lt;0"),0))</f>
      </c>
      <c r="H64" s="1">
        <f>IF($D64="","",$E64+$F64-$G64)</f>
      </c>
      <c r="I64" s="4">
        <f>IF($D64="","",IFERROR(1/(1/AGGREGATE(14,6,tblTransactions[Transaction Date]/(((tblTransactions[Source Account]=$D64)+((tblTransactions[Transaction Type]="Transfer")*(tblTransactions[Destination Type]="Account")*(tblTransactions[Destination Name]=$D64)))*((tblTransactions[Transaction Status]="Completed")+(tblTransactions[Transaction Status]="Reconciled"))),1)),""))</f>
      </c>
      <c r="J64" s="1">
        <f>IF($D64="","",IFERROR(INDEX(tblAccounts[Account Type],ROW()-1),""))</f>
      </c>
      <c r="K64" s="1">
        <f>IF($D64="","",IFERROR(INDEX(tblAccounts[Include in Dashboard],ROW()-1),""))</f>
      </c>
      <c r="L64" s="1">
        <f>IF($D64="","",IFERROR(INDEX(tblAccounts[Status],ROW()-1),""))</f>
      </c>
    </row>
    <row r="65">
      <c r="A65" s="1" t="s">
        <v>263</v>
      </c>
      <c r="B65" s="1">
        <f>$B$48</f>
      </c>
      <c r="D65" s="1">
        <f>IFERROR(IF(INDEX(tblAccounts[Account Name],ROW()-1)="","",INDEX(tblAccounts[Account Name],ROW()-1)),"")</f>
      </c>
      <c r="E65" s="1">
        <f>IF($D65="","",IFERROR(INDEX(tblAccounts[Opening Balance],ROW()-1),0))</f>
      </c>
      <c r="F65" s="1">
        <f>IF($D65="","",IFERROR(SUMIFS(tblTransactions[Amount],tblTransactions[Transaction Type],"Income",tblTransactions[Source Account],$D65,tblTransactions[Transaction Status],"Completed")+SUMIFS(tblTransactions[Amount],tblTransactions[Transaction Type],"Income",tblTransactions[Source Account],$D65,tblTransactions[Transaction Status],"Reconciled")+SUMIFS(tblTransactions[Amount],tblTransactions[Transaction Type],"Transfer",tblTransactions[Destination Type],"Account",tblTransactions[Destination Name],$D65,tblTransactions[Transaction Status],"Completed")+SUMIFS(tblTransactions[Amount],tblTransactions[Transaction Type],"Transfer",tblTransactions[Destination Type],"Account",tblTransactions[Destination Name],$D65,tblTransactions[Transaction Status],"Reconciled")+SUMIFS(tblTransactions[Amount],tblTransactions[Transaction Type],"Adjustment",tblTransactions[Source Account],$D65,tblTransactions[Transaction Status],"Completed",tblTransactions[Amount],"&gt;0")+SUMIFS(tblTransactions[Amount],tblTransactions[Transaction Type],"Adjustment",tblTransactions[Source Account],$D65,tblTransactions[Transaction Status],"Reconciled",tblTransactions[Amount],"&gt;0"),0))</f>
      </c>
      <c r="G65" s="1">
        <f>IF($D65="","",IFERROR(SUMIFS(tblTransactions[Amount],tblTransactions[Transaction Type],"Expense",tblTransactions[Source Account],$D65,tblTransactions[Transaction Status],"Completed")+SUMIFS(tblTransactions[Amount],tblTransactions[Transaction Type],"Expense",tblTransactions[Source Account],$D65,tblTransactions[Transaction Status],"Reconciled")+SUMIFS(tblTransactions[Amount],tblTransactions[Transaction Type],"Transfer",tblTransactions[Source Account],$D65,tblTransactions[Transaction Status],"Completed")+SUMIFS(tblTransactions[Amount],tblTransactions[Transaction Type],"Transfer",tblTransactions[Source Account],$D65,tblTransactions[Transaction Status],"Reconciled")-SUMIFS(tblTransactions[Amount],tblTransactions[Transaction Type],"Adjustment",tblTransactions[Source Account],$D65,tblTransactions[Transaction Status],"Completed",tblTransactions[Amount],"&lt;0")-SUMIFS(tblTransactions[Amount],tblTransactions[Transaction Type],"Adjustment",tblTransactions[Source Account],$D65,tblTransactions[Transaction Status],"Reconciled",tblTransactions[Amount],"&lt;0"),0))</f>
      </c>
      <c r="H65" s="1">
        <f>IF($D65="","",$E65+$F65-$G65)</f>
      </c>
      <c r="I65" s="4">
        <f>IF($D65="","",IFERROR(1/(1/AGGREGATE(14,6,tblTransactions[Transaction Date]/(((tblTransactions[Source Account]=$D65)+((tblTransactions[Transaction Type]="Transfer")*(tblTransactions[Destination Type]="Account")*(tblTransactions[Destination Name]=$D65)))*((tblTransactions[Transaction Status]="Completed")+(tblTransactions[Transaction Status]="Reconciled"))),1)),""))</f>
      </c>
      <c r="J65" s="1">
        <f>IF($D65="","",IFERROR(INDEX(tblAccounts[Account Type],ROW()-1),""))</f>
      </c>
      <c r="K65" s="1">
        <f>IF($D65="","",IFERROR(INDEX(tblAccounts[Include in Dashboard],ROW()-1),""))</f>
      </c>
      <c r="L65" s="1">
        <f>IF($D65="","",IFERROR(INDEX(tblAccounts[Status],ROW()-1),""))</f>
      </c>
    </row>
    <row r="66">
      <c r="A66" s="1" t="s">
        <v>277</v>
      </c>
      <c r="B66" s="1">
        <f>IFERROR($B$43/$B$16,0)</f>
      </c>
      <c r="D66" s="1">
        <f>IFERROR(IF(INDEX(tblAccounts[Account Name],ROW()-1)="","",INDEX(tblAccounts[Account Name],ROW()-1)),"")</f>
      </c>
      <c r="E66" s="1">
        <f>IF($D66="","",IFERROR(INDEX(tblAccounts[Opening Balance],ROW()-1),0))</f>
      </c>
      <c r="F66" s="1">
        <f>IF($D66="","",IFERROR(SUMIFS(tblTransactions[Amount],tblTransactions[Transaction Type],"Income",tblTransactions[Source Account],$D66,tblTransactions[Transaction Status],"Completed")+SUMIFS(tblTransactions[Amount],tblTransactions[Transaction Type],"Income",tblTransactions[Source Account],$D66,tblTransactions[Transaction Status],"Reconciled")+SUMIFS(tblTransactions[Amount],tblTransactions[Transaction Type],"Transfer",tblTransactions[Destination Type],"Account",tblTransactions[Destination Name],$D66,tblTransactions[Transaction Status],"Completed")+SUMIFS(tblTransactions[Amount],tblTransactions[Transaction Type],"Transfer",tblTransactions[Destination Type],"Account",tblTransactions[Destination Name],$D66,tblTransactions[Transaction Status],"Reconciled")+SUMIFS(tblTransactions[Amount],tblTransactions[Transaction Type],"Adjustment",tblTransactions[Source Account],$D66,tblTransactions[Transaction Status],"Completed",tblTransactions[Amount],"&gt;0")+SUMIFS(tblTransactions[Amount],tblTransactions[Transaction Type],"Adjustment",tblTransactions[Source Account],$D66,tblTransactions[Transaction Status],"Reconciled",tblTransactions[Amount],"&gt;0"),0))</f>
      </c>
      <c r="G66" s="1">
        <f>IF($D66="","",IFERROR(SUMIFS(tblTransactions[Amount],tblTransactions[Transaction Type],"Expense",tblTransactions[Source Account],$D66,tblTransactions[Transaction Status],"Completed")+SUMIFS(tblTransactions[Amount],tblTransactions[Transaction Type],"Expense",tblTransactions[Source Account],$D66,tblTransactions[Transaction Status],"Reconciled")+SUMIFS(tblTransactions[Amount],tblTransactions[Transaction Type],"Transfer",tblTransactions[Source Account],$D66,tblTransactions[Transaction Status],"Completed")+SUMIFS(tblTransactions[Amount],tblTransactions[Transaction Type],"Transfer",tblTransactions[Source Account],$D66,tblTransactions[Transaction Status],"Reconciled")-SUMIFS(tblTransactions[Amount],tblTransactions[Transaction Type],"Adjustment",tblTransactions[Source Account],$D66,tblTransactions[Transaction Status],"Completed",tblTransactions[Amount],"&lt;0")-SUMIFS(tblTransactions[Amount],tblTransactions[Transaction Type],"Adjustment",tblTransactions[Source Account],$D66,tblTransactions[Transaction Status],"Reconciled",tblTransactions[Amount],"&lt;0"),0))</f>
      </c>
      <c r="H66" s="1">
        <f>IF($D66="","",$E66+$F66-$G66)</f>
      </c>
      <c r="I66" s="4">
        <f>IF($D66="","",IFERROR(1/(1/AGGREGATE(14,6,tblTransactions[Transaction Date]/(((tblTransactions[Source Account]=$D66)+((tblTransactions[Transaction Type]="Transfer")*(tblTransactions[Destination Type]="Account")*(tblTransactions[Destination Name]=$D66)))*((tblTransactions[Transaction Status]="Completed")+(tblTransactions[Transaction Status]="Reconciled"))),1)),""))</f>
      </c>
      <c r="J66" s="1">
        <f>IF($D66="","",IFERROR(INDEX(tblAccounts[Account Type],ROW()-1),""))</f>
      </c>
      <c r="K66" s="1">
        <f>IF($D66="","",IFERROR(INDEX(tblAccounts[Include in Dashboard],ROW()-1),""))</f>
      </c>
      <c r="L66" s="1">
        <f>IF($D66="","",IFERROR(INDEX(tblAccounts[Status],ROW()-1),""))</f>
      </c>
    </row>
    <row r="67">
      <c r="A67" s="1" t="s">
        <v>278</v>
      </c>
      <c r="B67" s="1">
        <f>IFERROR($B$35/$B$48,0)</f>
      </c>
      <c r="D67" s="1">
        <f>IFERROR(IF(INDEX(tblAccounts[Account Name],ROW()-1)="","",INDEX(tblAccounts[Account Name],ROW()-1)),"")</f>
      </c>
      <c r="E67" s="1">
        <f>IF($D67="","",IFERROR(INDEX(tblAccounts[Opening Balance],ROW()-1),0))</f>
      </c>
      <c r="F67" s="1">
        <f>IF($D67="","",IFERROR(SUMIFS(tblTransactions[Amount],tblTransactions[Transaction Type],"Income",tblTransactions[Source Account],$D67,tblTransactions[Transaction Status],"Completed")+SUMIFS(tblTransactions[Amount],tblTransactions[Transaction Type],"Income",tblTransactions[Source Account],$D67,tblTransactions[Transaction Status],"Reconciled")+SUMIFS(tblTransactions[Amount],tblTransactions[Transaction Type],"Transfer",tblTransactions[Destination Type],"Account",tblTransactions[Destination Name],$D67,tblTransactions[Transaction Status],"Completed")+SUMIFS(tblTransactions[Amount],tblTransactions[Transaction Type],"Transfer",tblTransactions[Destination Type],"Account",tblTransactions[Destination Name],$D67,tblTransactions[Transaction Status],"Reconciled")+SUMIFS(tblTransactions[Amount],tblTransactions[Transaction Type],"Adjustment",tblTransactions[Source Account],$D67,tblTransactions[Transaction Status],"Completed",tblTransactions[Amount],"&gt;0")+SUMIFS(tblTransactions[Amount],tblTransactions[Transaction Type],"Adjustment",tblTransactions[Source Account],$D67,tblTransactions[Transaction Status],"Reconciled",tblTransactions[Amount],"&gt;0"),0))</f>
      </c>
      <c r="G67" s="1">
        <f>IF($D67="","",IFERROR(SUMIFS(tblTransactions[Amount],tblTransactions[Transaction Type],"Expense",tblTransactions[Source Account],$D67,tblTransactions[Transaction Status],"Completed")+SUMIFS(tblTransactions[Amount],tblTransactions[Transaction Type],"Expense",tblTransactions[Source Account],$D67,tblTransactions[Transaction Status],"Reconciled")+SUMIFS(tblTransactions[Amount],tblTransactions[Transaction Type],"Transfer",tblTransactions[Source Account],$D67,tblTransactions[Transaction Status],"Completed")+SUMIFS(tblTransactions[Amount],tblTransactions[Transaction Type],"Transfer",tblTransactions[Source Account],$D67,tblTransactions[Transaction Status],"Reconciled")-SUMIFS(tblTransactions[Amount],tblTransactions[Transaction Type],"Adjustment",tblTransactions[Source Account],$D67,tblTransactions[Transaction Status],"Completed",tblTransactions[Amount],"&lt;0")-SUMIFS(tblTransactions[Amount],tblTransactions[Transaction Type],"Adjustment",tblTransactions[Source Account],$D67,tblTransactions[Transaction Status],"Reconciled",tblTransactions[Amount],"&lt;0"),0))</f>
      </c>
      <c r="H67" s="1">
        <f>IF($D67="","",$E67+$F67-$G67)</f>
      </c>
      <c r="I67" s="4">
        <f>IF($D67="","",IFERROR(1/(1/AGGREGATE(14,6,tblTransactions[Transaction Date]/(((tblTransactions[Source Account]=$D67)+((tblTransactions[Transaction Type]="Transfer")*(tblTransactions[Destination Type]="Account")*(tblTransactions[Destination Name]=$D67)))*((tblTransactions[Transaction Status]="Completed")+(tblTransactions[Transaction Status]="Reconciled"))),1)),""))</f>
      </c>
      <c r="J67" s="1">
        <f>IF($D67="","",IFERROR(INDEX(tblAccounts[Account Type],ROW()-1),""))</f>
      </c>
      <c r="K67" s="1">
        <f>IF($D67="","",IFERROR(INDEX(tblAccounts[Include in Dashboard],ROW()-1),""))</f>
      </c>
      <c r="L67" s="1">
        <f>IF($D67="","",IFERROR(INDEX(tblAccounts[Status],ROW()-1),""))</f>
      </c>
    </row>
    <row r="68">
      <c r="A68" s="1" t="s">
        <v>279</v>
      </c>
      <c r="B68" s="1">
        <f>IFERROR($B$42/($B$42+$B$35),0)</f>
      </c>
      <c r="D68" s="1">
        <f>IFERROR(IF(INDEX(tblAccounts[Account Name],ROW()-1)="","",INDEX(tblAccounts[Account Name],ROW()-1)),"")</f>
      </c>
      <c r="E68" s="1">
        <f>IF($D68="","",IFERROR(INDEX(tblAccounts[Opening Balance],ROW()-1),0))</f>
      </c>
      <c r="F68" s="1">
        <f>IF($D68="","",IFERROR(SUMIFS(tblTransactions[Amount],tblTransactions[Transaction Type],"Income",tblTransactions[Source Account],$D68,tblTransactions[Transaction Status],"Completed")+SUMIFS(tblTransactions[Amount],tblTransactions[Transaction Type],"Income",tblTransactions[Source Account],$D68,tblTransactions[Transaction Status],"Reconciled")+SUMIFS(tblTransactions[Amount],tblTransactions[Transaction Type],"Transfer",tblTransactions[Destination Type],"Account",tblTransactions[Destination Name],$D68,tblTransactions[Transaction Status],"Completed")+SUMIFS(tblTransactions[Amount],tblTransactions[Transaction Type],"Transfer",tblTransactions[Destination Type],"Account",tblTransactions[Destination Name],$D68,tblTransactions[Transaction Status],"Reconciled")+SUMIFS(tblTransactions[Amount],tblTransactions[Transaction Type],"Adjustment",tblTransactions[Source Account],$D68,tblTransactions[Transaction Status],"Completed",tblTransactions[Amount],"&gt;0")+SUMIFS(tblTransactions[Amount],tblTransactions[Transaction Type],"Adjustment",tblTransactions[Source Account],$D68,tblTransactions[Transaction Status],"Reconciled",tblTransactions[Amount],"&gt;0"),0))</f>
      </c>
      <c r="G68" s="1">
        <f>IF($D68="","",IFERROR(SUMIFS(tblTransactions[Amount],tblTransactions[Transaction Type],"Expense",tblTransactions[Source Account],$D68,tblTransactions[Transaction Status],"Completed")+SUMIFS(tblTransactions[Amount],tblTransactions[Transaction Type],"Expense",tblTransactions[Source Account],$D68,tblTransactions[Transaction Status],"Reconciled")+SUMIFS(tblTransactions[Amount],tblTransactions[Transaction Type],"Transfer",tblTransactions[Source Account],$D68,tblTransactions[Transaction Status],"Completed")+SUMIFS(tblTransactions[Amount],tblTransactions[Transaction Type],"Transfer",tblTransactions[Source Account],$D68,tblTransactions[Transaction Status],"Reconciled")-SUMIFS(tblTransactions[Amount],tblTransactions[Transaction Type],"Adjustment",tblTransactions[Source Account],$D68,tblTransactions[Transaction Status],"Completed",tblTransactions[Amount],"&lt;0")-SUMIFS(tblTransactions[Amount],tblTransactions[Transaction Type],"Adjustment",tblTransactions[Source Account],$D68,tblTransactions[Transaction Status],"Reconciled",tblTransactions[Amount],"&lt;0"),0))</f>
      </c>
      <c r="H68" s="1">
        <f>IF($D68="","",$E68+$F68-$G68)</f>
      </c>
      <c r="I68" s="4">
        <f>IF($D68="","",IFERROR(1/(1/AGGREGATE(14,6,tblTransactions[Transaction Date]/(((tblTransactions[Source Account]=$D68)+((tblTransactions[Transaction Type]="Transfer")*(tblTransactions[Destination Type]="Account")*(tblTransactions[Destination Name]=$D68)))*((tblTransactions[Transaction Status]="Completed")+(tblTransactions[Transaction Status]="Reconciled"))),1)),""))</f>
      </c>
      <c r="J68" s="1">
        <f>IF($D68="","",IFERROR(INDEX(tblAccounts[Account Type],ROW()-1),""))</f>
      </c>
      <c r="K68" s="1">
        <f>IF($D68="","",IFERROR(INDEX(tblAccounts[Include in Dashboard],ROW()-1),""))</f>
      </c>
      <c r="L68" s="1">
        <f>IF($D68="","",IFERROR(INDEX(tblAccounts[Status],ROW()-1),""))</f>
      </c>
    </row>
    <row r="69">
      <c r="D69" s="1">
        <f>IFERROR(IF(INDEX(tblAccounts[Account Name],ROW()-1)="","",INDEX(tblAccounts[Account Name],ROW()-1)),"")</f>
      </c>
      <c r="E69" s="1">
        <f>IF($D69="","",IFERROR(INDEX(tblAccounts[Opening Balance],ROW()-1),0))</f>
      </c>
      <c r="F69" s="1">
        <f>IF($D69="","",IFERROR(SUMIFS(tblTransactions[Amount],tblTransactions[Transaction Type],"Income",tblTransactions[Source Account],$D69,tblTransactions[Transaction Status],"Completed")+SUMIFS(tblTransactions[Amount],tblTransactions[Transaction Type],"Income",tblTransactions[Source Account],$D69,tblTransactions[Transaction Status],"Reconciled")+SUMIFS(tblTransactions[Amount],tblTransactions[Transaction Type],"Transfer",tblTransactions[Destination Type],"Account",tblTransactions[Destination Name],$D69,tblTransactions[Transaction Status],"Completed")+SUMIFS(tblTransactions[Amount],tblTransactions[Transaction Type],"Transfer",tblTransactions[Destination Type],"Account",tblTransactions[Destination Name],$D69,tblTransactions[Transaction Status],"Reconciled")+SUMIFS(tblTransactions[Amount],tblTransactions[Transaction Type],"Adjustment",tblTransactions[Source Account],$D69,tblTransactions[Transaction Status],"Completed",tblTransactions[Amount],"&gt;0")+SUMIFS(tblTransactions[Amount],tblTransactions[Transaction Type],"Adjustment",tblTransactions[Source Account],$D69,tblTransactions[Transaction Status],"Reconciled",tblTransactions[Amount],"&gt;0"),0))</f>
      </c>
      <c r="G69" s="1">
        <f>IF($D69="","",IFERROR(SUMIFS(tblTransactions[Amount],tblTransactions[Transaction Type],"Expense",tblTransactions[Source Account],$D69,tblTransactions[Transaction Status],"Completed")+SUMIFS(tblTransactions[Amount],tblTransactions[Transaction Type],"Expense",tblTransactions[Source Account],$D69,tblTransactions[Transaction Status],"Reconciled")+SUMIFS(tblTransactions[Amount],tblTransactions[Transaction Type],"Transfer",tblTransactions[Source Account],$D69,tblTransactions[Transaction Status],"Completed")+SUMIFS(tblTransactions[Amount],tblTransactions[Transaction Type],"Transfer",tblTransactions[Source Account],$D69,tblTransactions[Transaction Status],"Reconciled")-SUMIFS(tblTransactions[Amount],tblTransactions[Transaction Type],"Adjustment",tblTransactions[Source Account],$D69,tblTransactions[Transaction Status],"Completed",tblTransactions[Amount],"&lt;0")-SUMIFS(tblTransactions[Amount],tblTransactions[Transaction Type],"Adjustment",tblTransactions[Source Account],$D69,tblTransactions[Transaction Status],"Reconciled",tblTransactions[Amount],"&lt;0"),0))</f>
      </c>
      <c r="H69" s="1">
        <f>IF($D69="","",$E69+$F69-$G69)</f>
      </c>
      <c r="I69" s="4">
        <f>IF($D69="","",IFERROR(1/(1/AGGREGATE(14,6,tblTransactions[Transaction Date]/(((tblTransactions[Source Account]=$D69)+((tblTransactions[Transaction Type]="Transfer")*(tblTransactions[Destination Type]="Account")*(tblTransactions[Destination Name]=$D69)))*((tblTransactions[Transaction Status]="Completed")+(tblTransactions[Transaction Status]="Reconciled"))),1)),""))</f>
      </c>
      <c r="J69" s="1">
        <f>IF($D69="","",IFERROR(INDEX(tblAccounts[Account Type],ROW()-1),""))</f>
      </c>
      <c r="K69" s="1">
        <f>IF($D69="","",IFERROR(INDEX(tblAccounts[Include in Dashboard],ROW()-1),""))</f>
      </c>
      <c r="L69" s="1">
        <f>IF($D69="","",IFERROR(INDEX(tblAccounts[Status],ROW()-1),""))</f>
      </c>
    </row>
    <row r="70">
      <c r="D70" s="1">
        <f>IFERROR(IF(INDEX(tblAccounts[Account Name],ROW()-1)="","",INDEX(tblAccounts[Account Name],ROW()-1)),"")</f>
      </c>
      <c r="E70" s="1">
        <f>IF($D70="","",IFERROR(INDEX(tblAccounts[Opening Balance],ROW()-1),0))</f>
      </c>
      <c r="F70" s="1">
        <f>IF($D70="","",IFERROR(SUMIFS(tblTransactions[Amount],tblTransactions[Transaction Type],"Income",tblTransactions[Source Account],$D70,tblTransactions[Transaction Status],"Completed")+SUMIFS(tblTransactions[Amount],tblTransactions[Transaction Type],"Income",tblTransactions[Source Account],$D70,tblTransactions[Transaction Status],"Reconciled")+SUMIFS(tblTransactions[Amount],tblTransactions[Transaction Type],"Transfer",tblTransactions[Destination Type],"Account",tblTransactions[Destination Name],$D70,tblTransactions[Transaction Status],"Completed")+SUMIFS(tblTransactions[Amount],tblTransactions[Transaction Type],"Transfer",tblTransactions[Destination Type],"Account",tblTransactions[Destination Name],$D70,tblTransactions[Transaction Status],"Reconciled")+SUMIFS(tblTransactions[Amount],tblTransactions[Transaction Type],"Adjustment",tblTransactions[Source Account],$D70,tblTransactions[Transaction Status],"Completed",tblTransactions[Amount],"&gt;0")+SUMIFS(tblTransactions[Amount],tblTransactions[Transaction Type],"Adjustment",tblTransactions[Source Account],$D70,tblTransactions[Transaction Status],"Reconciled",tblTransactions[Amount],"&gt;0"),0))</f>
      </c>
      <c r="G70" s="1">
        <f>IF($D70="","",IFERROR(SUMIFS(tblTransactions[Amount],tblTransactions[Transaction Type],"Expense",tblTransactions[Source Account],$D70,tblTransactions[Transaction Status],"Completed")+SUMIFS(tblTransactions[Amount],tblTransactions[Transaction Type],"Expense",tblTransactions[Source Account],$D70,tblTransactions[Transaction Status],"Reconciled")+SUMIFS(tblTransactions[Amount],tblTransactions[Transaction Type],"Transfer",tblTransactions[Source Account],$D70,tblTransactions[Transaction Status],"Completed")+SUMIFS(tblTransactions[Amount],tblTransactions[Transaction Type],"Transfer",tblTransactions[Source Account],$D70,tblTransactions[Transaction Status],"Reconciled")-SUMIFS(tblTransactions[Amount],tblTransactions[Transaction Type],"Adjustment",tblTransactions[Source Account],$D70,tblTransactions[Transaction Status],"Completed",tblTransactions[Amount],"&lt;0")-SUMIFS(tblTransactions[Amount],tblTransactions[Transaction Type],"Adjustment",tblTransactions[Source Account],$D70,tblTransactions[Transaction Status],"Reconciled",tblTransactions[Amount],"&lt;0"),0))</f>
      </c>
      <c r="H70" s="1">
        <f>IF($D70="","",$E70+$F70-$G70)</f>
      </c>
      <c r="I70" s="4">
        <f>IF($D70="","",IFERROR(1/(1/AGGREGATE(14,6,tblTransactions[Transaction Date]/(((tblTransactions[Source Account]=$D70)+((tblTransactions[Transaction Type]="Transfer")*(tblTransactions[Destination Type]="Account")*(tblTransactions[Destination Name]=$D70)))*((tblTransactions[Transaction Status]="Completed")+(tblTransactions[Transaction Status]="Reconciled"))),1)),""))</f>
      </c>
      <c r="J70" s="1">
        <f>IF($D70="","",IFERROR(INDEX(tblAccounts[Account Type],ROW()-1),""))</f>
      </c>
      <c r="K70" s="1">
        <f>IF($D70="","",IFERROR(INDEX(tblAccounts[Include in Dashboard],ROW()-1),""))</f>
      </c>
      <c r="L70" s="1">
        <f>IF($D70="","",IFERROR(INDEX(tblAccounts[Status],ROW()-1),""))</f>
      </c>
    </row>
    <row r="71">
      <c r="D71" s="1">
        <f>IFERROR(IF(INDEX(tblAccounts[Account Name],ROW()-1)="","",INDEX(tblAccounts[Account Name],ROW()-1)),"")</f>
      </c>
      <c r="E71" s="1">
        <f>IF($D71="","",IFERROR(INDEX(tblAccounts[Opening Balance],ROW()-1),0))</f>
      </c>
      <c r="F71" s="1">
        <f>IF($D71="","",IFERROR(SUMIFS(tblTransactions[Amount],tblTransactions[Transaction Type],"Income",tblTransactions[Source Account],$D71,tblTransactions[Transaction Status],"Completed")+SUMIFS(tblTransactions[Amount],tblTransactions[Transaction Type],"Income",tblTransactions[Source Account],$D71,tblTransactions[Transaction Status],"Reconciled")+SUMIFS(tblTransactions[Amount],tblTransactions[Transaction Type],"Transfer",tblTransactions[Destination Type],"Account",tblTransactions[Destination Name],$D71,tblTransactions[Transaction Status],"Completed")+SUMIFS(tblTransactions[Amount],tblTransactions[Transaction Type],"Transfer",tblTransactions[Destination Type],"Account",tblTransactions[Destination Name],$D71,tblTransactions[Transaction Status],"Reconciled")+SUMIFS(tblTransactions[Amount],tblTransactions[Transaction Type],"Adjustment",tblTransactions[Source Account],$D71,tblTransactions[Transaction Status],"Completed",tblTransactions[Amount],"&gt;0")+SUMIFS(tblTransactions[Amount],tblTransactions[Transaction Type],"Adjustment",tblTransactions[Source Account],$D71,tblTransactions[Transaction Status],"Reconciled",tblTransactions[Amount],"&gt;0"),0))</f>
      </c>
      <c r="G71" s="1">
        <f>IF($D71="","",IFERROR(SUMIFS(tblTransactions[Amount],tblTransactions[Transaction Type],"Expense",tblTransactions[Source Account],$D71,tblTransactions[Transaction Status],"Completed")+SUMIFS(tblTransactions[Amount],tblTransactions[Transaction Type],"Expense",tblTransactions[Source Account],$D71,tblTransactions[Transaction Status],"Reconciled")+SUMIFS(tblTransactions[Amount],tblTransactions[Transaction Type],"Transfer",tblTransactions[Source Account],$D71,tblTransactions[Transaction Status],"Completed")+SUMIFS(tblTransactions[Amount],tblTransactions[Transaction Type],"Transfer",tblTransactions[Source Account],$D71,tblTransactions[Transaction Status],"Reconciled")-SUMIFS(tblTransactions[Amount],tblTransactions[Transaction Type],"Adjustment",tblTransactions[Source Account],$D71,tblTransactions[Transaction Status],"Completed",tblTransactions[Amount],"&lt;0")-SUMIFS(tblTransactions[Amount],tblTransactions[Transaction Type],"Adjustment",tblTransactions[Source Account],$D71,tblTransactions[Transaction Status],"Reconciled",tblTransactions[Amount],"&lt;0"),0))</f>
      </c>
      <c r="H71" s="1">
        <f>IF($D71="","",$E71+$F71-$G71)</f>
      </c>
      <c r="I71" s="4">
        <f>IF($D71="","",IFERROR(1/(1/AGGREGATE(14,6,tblTransactions[Transaction Date]/(((tblTransactions[Source Account]=$D71)+((tblTransactions[Transaction Type]="Transfer")*(tblTransactions[Destination Type]="Account")*(tblTransactions[Destination Name]=$D71)))*((tblTransactions[Transaction Status]="Completed")+(tblTransactions[Transaction Status]="Reconciled"))),1)),""))</f>
      </c>
      <c r="J71" s="1">
        <f>IF($D71="","",IFERROR(INDEX(tblAccounts[Account Type],ROW()-1),""))</f>
      </c>
      <c r="K71" s="1">
        <f>IF($D71="","",IFERROR(INDEX(tblAccounts[Include in Dashboard],ROW()-1),""))</f>
      </c>
      <c r="L71" s="1">
        <f>IF($D71="","",IFERROR(INDEX(tblAccounts[Status],ROW()-1),""))</f>
      </c>
    </row>
    <row r="72">
      <c r="D72" s="1">
        <f>IFERROR(IF(INDEX(tblAccounts[Account Name],ROW()-1)="","",INDEX(tblAccounts[Account Name],ROW()-1)),"")</f>
      </c>
      <c r="E72" s="1">
        <f>IF($D72="","",IFERROR(INDEX(tblAccounts[Opening Balance],ROW()-1),0))</f>
      </c>
      <c r="F72" s="1">
        <f>IF($D72="","",IFERROR(SUMIFS(tblTransactions[Amount],tblTransactions[Transaction Type],"Income",tblTransactions[Source Account],$D72,tblTransactions[Transaction Status],"Completed")+SUMIFS(tblTransactions[Amount],tblTransactions[Transaction Type],"Income",tblTransactions[Source Account],$D72,tblTransactions[Transaction Status],"Reconciled")+SUMIFS(tblTransactions[Amount],tblTransactions[Transaction Type],"Transfer",tblTransactions[Destination Type],"Account",tblTransactions[Destination Name],$D72,tblTransactions[Transaction Status],"Completed")+SUMIFS(tblTransactions[Amount],tblTransactions[Transaction Type],"Transfer",tblTransactions[Destination Type],"Account",tblTransactions[Destination Name],$D72,tblTransactions[Transaction Status],"Reconciled")+SUMIFS(tblTransactions[Amount],tblTransactions[Transaction Type],"Adjustment",tblTransactions[Source Account],$D72,tblTransactions[Transaction Status],"Completed",tblTransactions[Amount],"&gt;0")+SUMIFS(tblTransactions[Amount],tblTransactions[Transaction Type],"Adjustment",tblTransactions[Source Account],$D72,tblTransactions[Transaction Status],"Reconciled",tblTransactions[Amount],"&gt;0"),0))</f>
      </c>
      <c r="G72" s="1">
        <f>IF($D72="","",IFERROR(SUMIFS(tblTransactions[Amount],tblTransactions[Transaction Type],"Expense",tblTransactions[Source Account],$D72,tblTransactions[Transaction Status],"Completed")+SUMIFS(tblTransactions[Amount],tblTransactions[Transaction Type],"Expense",tblTransactions[Source Account],$D72,tblTransactions[Transaction Status],"Reconciled")+SUMIFS(tblTransactions[Amount],tblTransactions[Transaction Type],"Transfer",tblTransactions[Source Account],$D72,tblTransactions[Transaction Status],"Completed")+SUMIFS(tblTransactions[Amount],tblTransactions[Transaction Type],"Transfer",tblTransactions[Source Account],$D72,tblTransactions[Transaction Status],"Reconciled")-SUMIFS(tblTransactions[Amount],tblTransactions[Transaction Type],"Adjustment",tblTransactions[Source Account],$D72,tblTransactions[Transaction Status],"Completed",tblTransactions[Amount],"&lt;0")-SUMIFS(tblTransactions[Amount],tblTransactions[Transaction Type],"Adjustment",tblTransactions[Source Account],$D72,tblTransactions[Transaction Status],"Reconciled",tblTransactions[Amount],"&lt;0"),0))</f>
      </c>
      <c r="H72" s="1">
        <f>IF($D72="","",$E72+$F72-$G72)</f>
      </c>
      <c r="I72" s="4">
        <f>IF($D72="","",IFERROR(1/(1/AGGREGATE(14,6,tblTransactions[Transaction Date]/(((tblTransactions[Source Account]=$D72)+((tblTransactions[Transaction Type]="Transfer")*(tblTransactions[Destination Type]="Account")*(tblTransactions[Destination Name]=$D72)))*((tblTransactions[Transaction Status]="Completed")+(tblTransactions[Transaction Status]="Reconciled"))),1)),""))</f>
      </c>
      <c r="J72" s="1">
        <f>IF($D72="","",IFERROR(INDEX(tblAccounts[Account Type],ROW()-1),""))</f>
      </c>
      <c r="K72" s="1">
        <f>IF($D72="","",IFERROR(INDEX(tblAccounts[Include in Dashboard],ROW()-1),""))</f>
      </c>
      <c r="L72" s="1">
        <f>IF($D72="","",IFERROR(INDEX(tblAccounts[Status],ROW()-1),""))</f>
      </c>
    </row>
    <row r="73">
      <c r="D73" s="1">
        <f>IFERROR(IF(INDEX(tblAccounts[Account Name],ROW()-1)="","",INDEX(tblAccounts[Account Name],ROW()-1)),"")</f>
      </c>
      <c r="E73" s="1">
        <f>IF($D73="","",IFERROR(INDEX(tblAccounts[Opening Balance],ROW()-1),0))</f>
      </c>
      <c r="F73" s="1">
        <f>IF($D73="","",IFERROR(SUMIFS(tblTransactions[Amount],tblTransactions[Transaction Type],"Income",tblTransactions[Source Account],$D73,tblTransactions[Transaction Status],"Completed")+SUMIFS(tblTransactions[Amount],tblTransactions[Transaction Type],"Income",tblTransactions[Source Account],$D73,tblTransactions[Transaction Status],"Reconciled")+SUMIFS(tblTransactions[Amount],tblTransactions[Transaction Type],"Transfer",tblTransactions[Destination Type],"Account",tblTransactions[Destination Name],$D73,tblTransactions[Transaction Status],"Completed")+SUMIFS(tblTransactions[Amount],tblTransactions[Transaction Type],"Transfer",tblTransactions[Destination Type],"Account",tblTransactions[Destination Name],$D73,tblTransactions[Transaction Status],"Reconciled")+SUMIFS(tblTransactions[Amount],tblTransactions[Transaction Type],"Adjustment",tblTransactions[Source Account],$D73,tblTransactions[Transaction Status],"Completed",tblTransactions[Amount],"&gt;0")+SUMIFS(tblTransactions[Amount],tblTransactions[Transaction Type],"Adjustment",tblTransactions[Source Account],$D73,tblTransactions[Transaction Status],"Reconciled",tblTransactions[Amount],"&gt;0"),0))</f>
      </c>
      <c r="G73" s="1">
        <f>IF($D73="","",IFERROR(SUMIFS(tblTransactions[Amount],tblTransactions[Transaction Type],"Expense",tblTransactions[Source Account],$D73,tblTransactions[Transaction Status],"Completed")+SUMIFS(tblTransactions[Amount],tblTransactions[Transaction Type],"Expense",tblTransactions[Source Account],$D73,tblTransactions[Transaction Status],"Reconciled")+SUMIFS(tblTransactions[Amount],tblTransactions[Transaction Type],"Transfer",tblTransactions[Source Account],$D73,tblTransactions[Transaction Status],"Completed")+SUMIFS(tblTransactions[Amount],tblTransactions[Transaction Type],"Transfer",tblTransactions[Source Account],$D73,tblTransactions[Transaction Status],"Reconciled")-SUMIFS(tblTransactions[Amount],tblTransactions[Transaction Type],"Adjustment",tblTransactions[Source Account],$D73,tblTransactions[Transaction Status],"Completed",tblTransactions[Amount],"&lt;0")-SUMIFS(tblTransactions[Amount],tblTransactions[Transaction Type],"Adjustment",tblTransactions[Source Account],$D73,tblTransactions[Transaction Status],"Reconciled",tblTransactions[Amount],"&lt;0"),0))</f>
      </c>
      <c r="H73" s="1">
        <f>IF($D73="","",$E73+$F73-$G73)</f>
      </c>
      <c r="I73" s="4">
        <f>IF($D73="","",IFERROR(1/(1/AGGREGATE(14,6,tblTransactions[Transaction Date]/(((tblTransactions[Source Account]=$D73)+((tblTransactions[Transaction Type]="Transfer")*(tblTransactions[Destination Type]="Account")*(tblTransactions[Destination Name]=$D73)))*((tblTransactions[Transaction Status]="Completed")+(tblTransactions[Transaction Status]="Reconciled"))),1)),""))</f>
      </c>
      <c r="J73" s="1">
        <f>IF($D73="","",IFERROR(INDEX(tblAccounts[Account Type],ROW()-1),""))</f>
      </c>
      <c r="K73" s="1">
        <f>IF($D73="","",IFERROR(INDEX(tblAccounts[Include in Dashboard],ROW()-1),""))</f>
      </c>
      <c r="L73" s="1">
        <f>IF($D73="","",IFERROR(INDEX(tblAccounts[Status],ROW()-1),""))</f>
      </c>
    </row>
    <row r="74">
      <c r="D74" s="1">
        <f>IFERROR(IF(INDEX(tblAccounts[Account Name],ROW()-1)="","",INDEX(tblAccounts[Account Name],ROW()-1)),"")</f>
      </c>
      <c r="E74" s="1">
        <f>IF($D74="","",IFERROR(INDEX(tblAccounts[Opening Balance],ROW()-1),0))</f>
      </c>
      <c r="F74" s="1">
        <f>IF($D74="","",IFERROR(SUMIFS(tblTransactions[Amount],tblTransactions[Transaction Type],"Income",tblTransactions[Source Account],$D74,tblTransactions[Transaction Status],"Completed")+SUMIFS(tblTransactions[Amount],tblTransactions[Transaction Type],"Income",tblTransactions[Source Account],$D74,tblTransactions[Transaction Status],"Reconciled")+SUMIFS(tblTransactions[Amount],tblTransactions[Transaction Type],"Transfer",tblTransactions[Destination Type],"Account",tblTransactions[Destination Name],$D74,tblTransactions[Transaction Status],"Completed")+SUMIFS(tblTransactions[Amount],tblTransactions[Transaction Type],"Transfer",tblTransactions[Destination Type],"Account",tblTransactions[Destination Name],$D74,tblTransactions[Transaction Status],"Reconciled")+SUMIFS(tblTransactions[Amount],tblTransactions[Transaction Type],"Adjustment",tblTransactions[Source Account],$D74,tblTransactions[Transaction Status],"Completed",tblTransactions[Amount],"&gt;0")+SUMIFS(tblTransactions[Amount],tblTransactions[Transaction Type],"Adjustment",tblTransactions[Source Account],$D74,tblTransactions[Transaction Status],"Reconciled",tblTransactions[Amount],"&gt;0"),0))</f>
      </c>
      <c r="G74" s="1">
        <f>IF($D74="","",IFERROR(SUMIFS(tblTransactions[Amount],tblTransactions[Transaction Type],"Expense",tblTransactions[Source Account],$D74,tblTransactions[Transaction Status],"Completed")+SUMIFS(tblTransactions[Amount],tblTransactions[Transaction Type],"Expense",tblTransactions[Source Account],$D74,tblTransactions[Transaction Status],"Reconciled")+SUMIFS(tblTransactions[Amount],tblTransactions[Transaction Type],"Transfer",tblTransactions[Source Account],$D74,tblTransactions[Transaction Status],"Completed")+SUMIFS(tblTransactions[Amount],tblTransactions[Transaction Type],"Transfer",tblTransactions[Source Account],$D74,tblTransactions[Transaction Status],"Reconciled")-SUMIFS(tblTransactions[Amount],tblTransactions[Transaction Type],"Adjustment",tblTransactions[Source Account],$D74,tblTransactions[Transaction Status],"Completed",tblTransactions[Amount],"&lt;0")-SUMIFS(tblTransactions[Amount],tblTransactions[Transaction Type],"Adjustment",tblTransactions[Source Account],$D74,tblTransactions[Transaction Status],"Reconciled",tblTransactions[Amount],"&lt;0"),0))</f>
      </c>
      <c r="H74" s="1">
        <f>IF($D74="","",$E74+$F74-$G74)</f>
      </c>
      <c r="I74" s="4">
        <f>IF($D74="","",IFERROR(1/(1/AGGREGATE(14,6,tblTransactions[Transaction Date]/(((tblTransactions[Source Account]=$D74)+((tblTransactions[Transaction Type]="Transfer")*(tblTransactions[Destination Type]="Account")*(tblTransactions[Destination Name]=$D74)))*((tblTransactions[Transaction Status]="Completed")+(tblTransactions[Transaction Status]="Reconciled"))),1)),""))</f>
      </c>
      <c r="J74" s="1">
        <f>IF($D74="","",IFERROR(INDEX(tblAccounts[Account Type],ROW()-1),""))</f>
      </c>
      <c r="K74" s="1">
        <f>IF($D74="","",IFERROR(INDEX(tblAccounts[Include in Dashboard],ROW()-1),""))</f>
      </c>
      <c r="L74" s="1">
        <f>IF($D74="","",IFERROR(INDEX(tblAccounts[Status],ROW()-1),""))</f>
      </c>
    </row>
    <row r="75">
      <c r="D75" s="1">
        <f>IFERROR(IF(INDEX(tblAccounts[Account Name],ROW()-1)="","",INDEX(tblAccounts[Account Name],ROW()-1)),"")</f>
      </c>
      <c r="E75" s="1">
        <f>IF($D75="","",IFERROR(INDEX(tblAccounts[Opening Balance],ROW()-1),0))</f>
      </c>
      <c r="F75" s="1">
        <f>IF($D75="","",IFERROR(SUMIFS(tblTransactions[Amount],tblTransactions[Transaction Type],"Income",tblTransactions[Source Account],$D75,tblTransactions[Transaction Status],"Completed")+SUMIFS(tblTransactions[Amount],tblTransactions[Transaction Type],"Income",tblTransactions[Source Account],$D75,tblTransactions[Transaction Status],"Reconciled")+SUMIFS(tblTransactions[Amount],tblTransactions[Transaction Type],"Transfer",tblTransactions[Destination Type],"Account",tblTransactions[Destination Name],$D75,tblTransactions[Transaction Status],"Completed")+SUMIFS(tblTransactions[Amount],tblTransactions[Transaction Type],"Transfer",tblTransactions[Destination Type],"Account",tblTransactions[Destination Name],$D75,tblTransactions[Transaction Status],"Reconciled")+SUMIFS(tblTransactions[Amount],tblTransactions[Transaction Type],"Adjustment",tblTransactions[Source Account],$D75,tblTransactions[Transaction Status],"Completed",tblTransactions[Amount],"&gt;0")+SUMIFS(tblTransactions[Amount],tblTransactions[Transaction Type],"Adjustment",tblTransactions[Source Account],$D75,tblTransactions[Transaction Status],"Reconciled",tblTransactions[Amount],"&gt;0"),0))</f>
      </c>
      <c r="G75" s="1">
        <f>IF($D75="","",IFERROR(SUMIFS(tblTransactions[Amount],tblTransactions[Transaction Type],"Expense",tblTransactions[Source Account],$D75,tblTransactions[Transaction Status],"Completed")+SUMIFS(tblTransactions[Amount],tblTransactions[Transaction Type],"Expense",tblTransactions[Source Account],$D75,tblTransactions[Transaction Status],"Reconciled")+SUMIFS(tblTransactions[Amount],tblTransactions[Transaction Type],"Transfer",tblTransactions[Source Account],$D75,tblTransactions[Transaction Status],"Completed")+SUMIFS(tblTransactions[Amount],tblTransactions[Transaction Type],"Transfer",tblTransactions[Source Account],$D75,tblTransactions[Transaction Status],"Reconciled")-SUMIFS(tblTransactions[Amount],tblTransactions[Transaction Type],"Adjustment",tblTransactions[Source Account],$D75,tblTransactions[Transaction Status],"Completed",tblTransactions[Amount],"&lt;0")-SUMIFS(tblTransactions[Amount],tblTransactions[Transaction Type],"Adjustment",tblTransactions[Source Account],$D75,tblTransactions[Transaction Status],"Reconciled",tblTransactions[Amount],"&lt;0"),0))</f>
      </c>
      <c r="H75" s="1">
        <f>IF($D75="","",$E75+$F75-$G75)</f>
      </c>
      <c r="I75" s="4">
        <f>IF($D75="","",IFERROR(1/(1/AGGREGATE(14,6,tblTransactions[Transaction Date]/(((tblTransactions[Source Account]=$D75)+((tblTransactions[Transaction Type]="Transfer")*(tblTransactions[Destination Type]="Account")*(tblTransactions[Destination Name]=$D75)))*((tblTransactions[Transaction Status]="Completed")+(tblTransactions[Transaction Status]="Reconciled"))),1)),""))</f>
      </c>
      <c r="J75" s="1">
        <f>IF($D75="","",IFERROR(INDEX(tblAccounts[Account Type],ROW()-1),""))</f>
      </c>
      <c r="K75" s="1">
        <f>IF($D75="","",IFERROR(INDEX(tblAccounts[Include in Dashboard],ROW()-1),""))</f>
      </c>
      <c r="L75" s="1">
        <f>IF($D75="","",IFERROR(INDEX(tblAccounts[Status],ROW()-1),""))</f>
      </c>
    </row>
    <row r="76">
      <c r="D76" s="1">
        <f>IFERROR(IF(INDEX(tblAccounts[Account Name],ROW()-1)="","",INDEX(tblAccounts[Account Name],ROW()-1)),"")</f>
      </c>
      <c r="E76" s="1">
        <f>IF($D76="","",IFERROR(INDEX(tblAccounts[Opening Balance],ROW()-1),0))</f>
      </c>
      <c r="F76" s="1">
        <f>IF($D76="","",IFERROR(SUMIFS(tblTransactions[Amount],tblTransactions[Transaction Type],"Income",tblTransactions[Source Account],$D76,tblTransactions[Transaction Status],"Completed")+SUMIFS(tblTransactions[Amount],tblTransactions[Transaction Type],"Income",tblTransactions[Source Account],$D76,tblTransactions[Transaction Status],"Reconciled")+SUMIFS(tblTransactions[Amount],tblTransactions[Transaction Type],"Transfer",tblTransactions[Destination Type],"Account",tblTransactions[Destination Name],$D76,tblTransactions[Transaction Status],"Completed")+SUMIFS(tblTransactions[Amount],tblTransactions[Transaction Type],"Transfer",tblTransactions[Destination Type],"Account",tblTransactions[Destination Name],$D76,tblTransactions[Transaction Status],"Reconciled")+SUMIFS(tblTransactions[Amount],tblTransactions[Transaction Type],"Adjustment",tblTransactions[Source Account],$D76,tblTransactions[Transaction Status],"Completed",tblTransactions[Amount],"&gt;0")+SUMIFS(tblTransactions[Amount],tblTransactions[Transaction Type],"Adjustment",tblTransactions[Source Account],$D76,tblTransactions[Transaction Status],"Reconciled",tblTransactions[Amount],"&gt;0"),0))</f>
      </c>
      <c r="G76" s="1">
        <f>IF($D76="","",IFERROR(SUMIFS(tblTransactions[Amount],tblTransactions[Transaction Type],"Expense",tblTransactions[Source Account],$D76,tblTransactions[Transaction Status],"Completed")+SUMIFS(tblTransactions[Amount],tblTransactions[Transaction Type],"Expense",tblTransactions[Source Account],$D76,tblTransactions[Transaction Status],"Reconciled")+SUMIFS(tblTransactions[Amount],tblTransactions[Transaction Type],"Transfer",tblTransactions[Source Account],$D76,tblTransactions[Transaction Status],"Completed")+SUMIFS(tblTransactions[Amount],tblTransactions[Transaction Type],"Transfer",tblTransactions[Source Account],$D76,tblTransactions[Transaction Status],"Reconciled")-SUMIFS(tblTransactions[Amount],tblTransactions[Transaction Type],"Adjustment",tblTransactions[Source Account],$D76,tblTransactions[Transaction Status],"Completed",tblTransactions[Amount],"&lt;0")-SUMIFS(tblTransactions[Amount],tblTransactions[Transaction Type],"Adjustment",tblTransactions[Source Account],$D76,tblTransactions[Transaction Status],"Reconciled",tblTransactions[Amount],"&lt;0"),0))</f>
      </c>
      <c r="H76" s="1">
        <f>IF($D76="","",$E76+$F76-$G76)</f>
      </c>
      <c r="I76" s="4">
        <f>IF($D76="","",IFERROR(1/(1/AGGREGATE(14,6,tblTransactions[Transaction Date]/(((tblTransactions[Source Account]=$D76)+((tblTransactions[Transaction Type]="Transfer")*(tblTransactions[Destination Type]="Account")*(tblTransactions[Destination Name]=$D76)))*((tblTransactions[Transaction Status]="Completed")+(tblTransactions[Transaction Status]="Reconciled"))),1)),""))</f>
      </c>
      <c r="J76" s="1">
        <f>IF($D76="","",IFERROR(INDEX(tblAccounts[Account Type],ROW()-1),""))</f>
      </c>
      <c r="K76" s="1">
        <f>IF($D76="","",IFERROR(INDEX(tblAccounts[Include in Dashboard],ROW()-1),""))</f>
      </c>
      <c r="L76" s="1">
        <f>IF($D76="","",IFERROR(INDEX(tblAccounts[Status],ROW()-1),""))</f>
      </c>
    </row>
    <row r="77">
      <c r="D77" s="1">
        <f>IFERROR(IF(INDEX(tblAccounts[Account Name],ROW()-1)="","",INDEX(tblAccounts[Account Name],ROW()-1)),"")</f>
      </c>
      <c r="E77" s="1">
        <f>IF($D77="","",IFERROR(INDEX(tblAccounts[Opening Balance],ROW()-1),0))</f>
      </c>
      <c r="F77" s="1">
        <f>IF($D77="","",IFERROR(SUMIFS(tblTransactions[Amount],tblTransactions[Transaction Type],"Income",tblTransactions[Source Account],$D77,tblTransactions[Transaction Status],"Completed")+SUMIFS(tblTransactions[Amount],tblTransactions[Transaction Type],"Income",tblTransactions[Source Account],$D77,tblTransactions[Transaction Status],"Reconciled")+SUMIFS(tblTransactions[Amount],tblTransactions[Transaction Type],"Transfer",tblTransactions[Destination Type],"Account",tblTransactions[Destination Name],$D77,tblTransactions[Transaction Status],"Completed")+SUMIFS(tblTransactions[Amount],tblTransactions[Transaction Type],"Transfer",tblTransactions[Destination Type],"Account",tblTransactions[Destination Name],$D77,tblTransactions[Transaction Status],"Reconciled")+SUMIFS(tblTransactions[Amount],tblTransactions[Transaction Type],"Adjustment",tblTransactions[Source Account],$D77,tblTransactions[Transaction Status],"Completed",tblTransactions[Amount],"&gt;0")+SUMIFS(tblTransactions[Amount],tblTransactions[Transaction Type],"Adjustment",tblTransactions[Source Account],$D77,tblTransactions[Transaction Status],"Reconciled",tblTransactions[Amount],"&gt;0"),0))</f>
      </c>
      <c r="G77" s="1">
        <f>IF($D77="","",IFERROR(SUMIFS(tblTransactions[Amount],tblTransactions[Transaction Type],"Expense",tblTransactions[Source Account],$D77,tblTransactions[Transaction Status],"Completed")+SUMIFS(tblTransactions[Amount],tblTransactions[Transaction Type],"Expense",tblTransactions[Source Account],$D77,tblTransactions[Transaction Status],"Reconciled")+SUMIFS(tblTransactions[Amount],tblTransactions[Transaction Type],"Transfer",tblTransactions[Source Account],$D77,tblTransactions[Transaction Status],"Completed")+SUMIFS(tblTransactions[Amount],tblTransactions[Transaction Type],"Transfer",tblTransactions[Source Account],$D77,tblTransactions[Transaction Status],"Reconciled")-SUMIFS(tblTransactions[Amount],tblTransactions[Transaction Type],"Adjustment",tblTransactions[Source Account],$D77,tblTransactions[Transaction Status],"Completed",tblTransactions[Amount],"&lt;0")-SUMIFS(tblTransactions[Amount],tblTransactions[Transaction Type],"Adjustment",tblTransactions[Source Account],$D77,tblTransactions[Transaction Status],"Reconciled",tblTransactions[Amount],"&lt;0"),0))</f>
      </c>
      <c r="H77" s="1">
        <f>IF($D77="","",$E77+$F77-$G77)</f>
      </c>
      <c r="I77" s="4">
        <f>IF($D77="","",IFERROR(1/(1/AGGREGATE(14,6,tblTransactions[Transaction Date]/(((tblTransactions[Source Account]=$D77)+((tblTransactions[Transaction Type]="Transfer")*(tblTransactions[Destination Type]="Account")*(tblTransactions[Destination Name]=$D77)))*((tblTransactions[Transaction Status]="Completed")+(tblTransactions[Transaction Status]="Reconciled"))),1)),""))</f>
      </c>
      <c r="J77" s="1">
        <f>IF($D77="","",IFERROR(INDEX(tblAccounts[Account Type],ROW()-1),""))</f>
      </c>
      <c r="K77" s="1">
        <f>IF($D77="","",IFERROR(INDEX(tblAccounts[Include in Dashboard],ROW()-1),""))</f>
      </c>
      <c r="L77" s="1">
        <f>IF($D77="","",IFERROR(INDEX(tblAccounts[Status],ROW()-1),""))</f>
      </c>
    </row>
    <row r="78">
      <c r="D78" s="1">
        <f>IFERROR(IF(INDEX(tblAccounts[Account Name],ROW()-1)="","",INDEX(tblAccounts[Account Name],ROW()-1)),"")</f>
      </c>
      <c r="E78" s="1">
        <f>IF($D78="","",IFERROR(INDEX(tblAccounts[Opening Balance],ROW()-1),0))</f>
      </c>
      <c r="F78" s="1">
        <f>IF($D78="","",IFERROR(SUMIFS(tblTransactions[Amount],tblTransactions[Transaction Type],"Income",tblTransactions[Source Account],$D78,tblTransactions[Transaction Status],"Completed")+SUMIFS(tblTransactions[Amount],tblTransactions[Transaction Type],"Income",tblTransactions[Source Account],$D78,tblTransactions[Transaction Status],"Reconciled")+SUMIFS(tblTransactions[Amount],tblTransactions[Transaction Type],"Transfer",tblTransactions[Destination Type],"Account",tblTransactions[Destination Name],$D78,tblTransactions[Transaction Status],"Completed")+SUMIFS(tblTransactions[Amount],tblTransactions[Transaction Type],"Transfer",tblTransactions[Destination Type],"Account",tblTransactions[Destination Name],$D78,tblTransactions[Transaction Status],"Reconciled")+SUMIFS(tblTransactions[Amount],tblTransactions[Transaction Type],"Adjustment",tblTransactions[Source Account],$D78,tblTransactions[Transaction Status],"Completed",tblTransactions[Amount],"&gt;0")+SUMIFS(tblTransactions[Amount],tblTransactions[Transaction Type],"Adjustment",tblTransactions[Source Account],$D78,tblTransactions[Transaction Status],"Reconciled",tblTransactions[Amount],"&gt;0"),0))</f>
      </c>
      <c r="G78" s="1">
        <f>IF($D78="","",IFERROR(SUMIFS(tblTransactions[Amount],tblTransactions[Transaction Type],"Expense",tblTransactions[Source Account],$D78,tblTransactions[Transaction Status],"Completed")+SUMIFS(tblTransactions[Amount],tblTransactions[Transaction Type],"Expense",tblTransactions[Source Account],$D78,tblTransactions[Transaction Status],"Reconciled")+SUMIFS(tblTransactions[Amount],tblTransactions[Transaction Type],"Transfer",tblTransactions[Source Account],$D78,tblTransactions[Transaction Status],"Completed")+SUMIFS(tblTransactions[Amount],tblTransactions[Transaction Type],"Transfer",tblTransactions[Source Account],$D78,tblTransactions[Transaction Status],"Reconciled")-SUMIFS(tblTransactions[Amount],tblTransactions[Transaction Type],"Adjustment",tblTransactions[Source Account],$D78,tblTransactions[Transaction Status],"Completed",tblTransactions[Amount],"&lt;0")-SUMIFS(tblTransactions[Amount],tblTransactions[Transaction Type],"Adjustment",tblTransactions[Source Account],$D78,tblTransactions[Transaction Status],"Reconciled",tblTransactions[Amount],"&lt;0"),0))</f>
      </c>
      <c r="H78" s="1">
        <f>IF($D78="","",$E78+$F78-$G78)</f>
      </c>
      <c r="I78" s="4">
        <f>IF($D78="","",IFERROR(1/(1/AGGREGATE(14,6,tblTransactions[Transaction Date]/(((tblTransactions[Source Account]=$D78)+((tblTransactions[Transaction Type]="Transfer")*(tblTransactions[Destination Type]="Account")*(tblTransactions[Destination Name]=$D78)))*((tblTransactions[Transaction Status]="Completed")+(tblTransactions[Transaction Status]="Reconciled"))),1)),""))</f>
      </c>
      <c r="J78" s="1">
        <f>IF($D78="","",IFERROR(INDEX(tblAccounts[Account Type],ROW()-1),""))</f>
      </c>
      <c r="K78" s="1">
        <f>IF($D78="","",IFERROR(INDEX(tblAccounts[Include in Dashboard],ROW()-1),""))</f>
      </c>
      <c r="L78" s="1">
        <f>IF($D78="","",IFERROR(INDEX(tblAccounts[Status],ROW()-1),""))</f>
      </c>
    </row>
    <row r="79">
      <c r="D79" s="1">
        <f>IFERROR(IF(INDEX(tblAccounts[Account Name],ROW()-1)="","",INDEX(tblAccounts[Account Name],ROW()-1)),"")</f>
      </c>
      <c r="E79" s="1">
        <f>IF($D79="","",IFERROR(INDEX(tblAccounts[Opening Balance],ROW()-1),0))</f>
      </c>
      <c r="F79" s="1">
        <f>IF($D79="","",IFERROR(SUMIFS(tblTransactions[Amount],tblTransactions[Transaction Type],"Income",tblTransactions[Source Account],$D79,tblTransactions[Transaction Status],"Completed")+SUMIFS(tblTransactions[Amount],tblTransactions[Transaction Type],"Income",tblTransactions[Source Account],$D79,tblTransactions[Transaction Status],"Reconciled")+SUMIFS(tblTransactions[Amount],tblTransactions[Transaction Type],"Transfer",tblTransactions[Destination Type],"Account",tblTransactions[Destination Name],$D79,tblTransactions[Transaction Status],"Completed")+SUMIFS(tblTransactions[Amount],tblTransactions[Transaction Type],"Transfer",tblTransactions[Destination Type],"Account",tblTransactions[Destination Name],$D79,tblTransactions[Transaction Status],"Reconciled")+SUMIFS(tblTransactions[Amount],tblTransactions[Transaction Type],"Adjustment",tblTransactions[Source Account],$D79,tblTransactions[Transaction Status],"Completed",tblTransactions[Amount],"&gt;0")+SUMIFS(tblTransactions[Amount],tblTransactions[Transaction Type],"Adjustment",tblTransactions[Source Account],$D79,tblTransactions[Transaction Status],"Reconciled",tblTransactions[Amount],"&gt;0"),0))</f>
      </c>
      <c r="G79" s="1">
        <f>IF($D79="","",IFERROR(SUMIFS(tblTransactions[Amount],tblTransactions[Transaction Type],"Expense",tblTransactions[Source Account],$D79,tblTransactions[Transaction Status],"Completed")+SUMIFS(tblTransactions[Amount],tblTransactions[Transaction Type],"Expense",tblTransactions[Source Account],$D79,tblTransactions[Transaction Status],"Reconciled")+SUMIFS(tblTransactions[Amount],tblTransactions[Transaction Type],"Transfer",tblTransactions[Source Account],$D79,tblTransactions[Transaction Status],"Completed")+SUMIFS(tblTransactions[Amount],tblTransactions[Transaction Type],"Transfer",tblTransactions[Source Account],$D79,tblTransactions[Transaction Status],"Reconciled")-SUMIFS(tblTransactions[Amount],tblTransactions[Transaction Type],"Adjustment",tblTransactions[Source Account],$D79,tblTransactions[Transaction Status],"Completed",tblTransactions[Amount],"&lt;0")-SUMIFS(tblTransactions[Amount],tblTransactions[Transaction Type],"Adjustment",tblTransactions[Source Account],$D79,tblTransactions[Transaction Status],"Reconciled",tblTransactions[Amount],"&lt;0"),0))</f>
      </c>
      <c r="H79" s="1">
        <f>IF($D79="","",$E79+$F79-$G79)</f>
      </c>
      <c r="I79" s="4">
        <f>IF($D79="","",IFERROR(1/(1/AGGREGATE(14,6,tblTransactions[Transaction Date]/(((tblTransactions[Source Account]=$D79)+((tblTransactions[Transaction Type]="Transfer")*(tblTransactions[Destination Type]="Account")*(tblTransactions[Destination Name]=$D79)))*((tblTransactions[Transaction Status]="Completed")+(tblTransactions[Transaction Status]="Reconciled"))),1)),""))</f>
      </c>
      <c r="J79" s="1">
        <f>IF($D79="","",IFERROR(INDEX(tblAccounts[Account Type],ROW()-1),""))</f>
      </c>
      <c r="K79" s="1">
        <f>IF($D79="","",IFERROR(INDEX(tblAccounts[Include in Dashboard],ROW()-1),""))</f>
      </c>
      <c r="L79" s="1">
        <f>IF($D79="","",IFERROR(INDEX(tblAccounts[Status],ROW()-1),""))</f>
      </c>
    </row>
    <row r="80">
      <c r="D80" s="1">
        <f>IFERROR(IF(INDEX(tblAccounts[Account Name],ROW()-1)="","",INDEX(tblAccounts[Account Name],ROW()-1)),"")</f>
      </c>
      <c r="E80" s="1">
        <f>IF($D80="","",IFERROR(INDEX(tblAccounts[Opening Balance],ROW()-1),0))</f>
      </c>
      <c r="F80" s="1">
        <f>IF($D80="","",IFERROR(SUMIFS(tblTransactions[Amount],tblTransactions[Transaction Type],"Income",tblTransactions[Source Account],$D80,tblTransactions[Transaction Status],"Completed")+SUMIFS(tblTransactions[Amount],tblTransactions[Transaction Type],"Income",tblTransactions[Source Account],$D80,tblTransactions[Transaction Status],"Reconciled")+SUMIFS(tblTransactions[Amount],tblTransactions[Transaction Type],"Transfer",tblTransactions[Destination Type],"Account",tblTransactions[Destination Name],$D80,tblTransactions[Transaction Status],"Completed")+SUMIFS(tblTransactions[Amount],tblTransactions[Transaction Type],"Transfer",tblTransactions[Destination Type],"Account",tblTransactions[Destination Name],$D80,tblTransactions[Transaction Status],"Reconciled")+SUMIFS(tblTransactions[Amount],tblTransactions[Transaction Type],"Adjustment",tblTransactions[Source Account],$D80,tblTransactions[Transaction Status],"Completed",tblTransactions[Amount],"&gt;0")+SUMIFS(tblTransactions[Amount],tblTransactions[Transaction Type],"Adjustment",tblTransactions[Source Account],$D80,tblTransactions[Transaction Status],"Reconciled",tblTransactions[Amount],"&gt;0"),0))</f>
      </c>
      <c r="G80" s="1">
        <f>IF($D80="","",IFERROR(SUMIFS(tblTransactions[Amount],tblTransactions[Transaction Type],"Expense",tblTransactions[Source Account],$D80,tblTransactions[Transaction Status],"Completed")+SUMIFS(tblTransactions[Amount],tblTransactions[Transaction Type],"Expense",tblTransactions[Source Account],$D80,tblTransactions[Transaction Status],"Reconciled")+SUMIFS(tblTransactions[Amount],tblTransactions[Transaction Type],"Transfer",tblTransactions[Source Account],$D80,tblTransactions[Transaction Status],"Completed")+SUMIFS(tblTransactions[Amount],tblTransactions[Transaction Type],"Transfer",tblTransactions[Source Account],$D80,tblTransactions[Transaction Status],"Reconciled")-SUMIFS(tblTransactions[Amount],tblTransactions[Transaction Type],"Adjustment",tblTransactions[Source Account],$D80,tblTransactions[Transaction Status],"Completed",tblTransactions[Amount],"&lt;0")-SUMIFS(tblTransactions[Amount],tblTransactions[Transaction Type],"Adjustment",tblTransactions[Source Account],$D80,tblTransactions[Transaction Status],"Reconciled",tblTransactions[Amount],"&lt;0"),0))</f>
      </c>
      <c r="H80" s="1">
        <f>IF($D80="","",$E80+$F80-$G80)</f>
      </c>
      <c r="I80" s="4">
        <f>IF($D80="","",IFERROR(1/(1/AGGREGATE(14,6,tblTransactions[Transaction Date]/(((tblTransactions[Source Account]=$D80)+((tblTransactions[Transaction Type]="Transfer")*(tblTransactions[Destination Type]="Account")*(tblTransactions[Destination Name]=$D80)))*((tblTransactions[Transaction Status]="Completed")+(tblTransactions[Transaction Status]="Reconciled"))),1)),""))</f>
      </c>
      <c r="J80" s="1">
        <f>IF($D80="","",IFERROR(INDEX(tblAccounts[Account Type],ROW()-1),""))</f>
      </c>
      <c r="K80" s="1">
        <f>IF($D80="","",IFERROR(INDEX(tblAccounts[Include in Dashboard],ROW()-1),""))</f>
      </c>
      <c r="L80" s="1">
        <f>IF($D80="","",IFERROR(INDEX(tblAccounts[Status],ROW()-1),""))</f>
      </c>
    </row>
    <row r="81">
      <c r="D81" s="1">
        <f>IFERROR(IF(INDEX(tblAccounts[Account Name],ROW()-1)="","",INDEX(tblAccounts[Account Name],ROW()-1)),"")</f>
      </c>
      <c r="E81" s="1">
        <f>IF($D81="","",IFERROR(INDEX(tblAccounts[Opening Balance],ROW()-1),0))</f>
      </c>
      <c r="F81" s="1">
        <f>IF($D81="","",IFERROR(SUMIFS(tblTransactions[Amount],tblTransactions[Transaction Type],"Income",tblTransactions[Source Account],$D81,tblTransactions[Transaction Status],"Completed")+SUMIFS(tblTransactions[Amount],tblTransactions[Transaction Type],"Income",tblTransactions[Source Account],$D81,tblTransactions[Transaction Status],"Reconciled")+SUMIFS(tblTransactions[Amount],tblTransactions[Transaction Type],"Transfer",tblTransactions[Destination Type],"Account",tblTransactions[Destination Name],$D81,tblTransactions[Transaction Status],"Completed")+SUMIFS(tblTransactions[Amount],tblTransactions[Transaction Type],"Transfer",tblTransactions[Destination Type],"Account",tblTransactions[Destination Name],$D81,tblTransactions[Transaction Status],"Reconciled")+SUMIFS(tblTransactions[Amount],tblTransactions[Transaction Type],"Adjustment",tblTransactions[Source Account],$D81,tblTransactions[Transaction Status],"Completed",tblTransactions[Amount],"&gt;0")+SUMIFS(tblTransactions[Amount],tblTransactions[Transaction Type],"Adjustment",tblTransactions[Source Account],$D81,tblTransactions[Transaction Status],"Reconciled",tblTransactions[Amount],"&gt;0"),0))</f>
      </c>
      <c r="G81" s="1">
        <f>IF($D81="","",IFERROR(SUMIFS(tblTransactions[Amount],tblTransactions[Transaction Type],"Expense",tblTransactions[Source Account],$D81,tblTransactions[Transaction Status],"Completed")+SUMIFS(tblTransactions[Amount],tblTransactions[Transaction Type],"Expense",tblTransactions[Source Account],$D81,tblTransactions[Transaction Status],"Reconciled")+SUMIFS(tblTransactions[Amount],tblTransactions[Transaction Type],"Transfer",tblTransactions[Source Account],$D81,tblTransactions[Transaction Status],"Completed")+SUMIFS(tblTransactions[Amount],tblTransactions[Transaction Type],"Transfer",tblTransactions[Source Account],$D81,tblTransactions[Transaction Status],"Reconciled")-SUMIFS(tblTransactions[Amount],tblTransactions[Transaction Type],"Adjustment",tblTransactions[Source Account],$D81,tblTransactions[Transaction Status],"Completed",tblTransactions[Amount],"&lt;0")-SUMIFS(tblTransactions[Amount],tblTransactions[Transaction Type],"Adjustment",tblTransactions[Source Account],$D81,tblTransactions[Transaction Status],"Reconciled",tblTransactions[Amount],"&lt;0"),0))</f>
      </c>
      <c r="H81" s="1">
        <f>IF($D81="","",$E81+$F81-$G81)</f>
      </c>
      <c r="I81" s="4">
        <f>IF($D81="","",IFERROR(1/(1/AGGREGATE(14,6,tblTransactions[Transaction Date]/(((tblTransactions[Source Account]=$D81)+((tblTransactions[Transaction Type]="Transfer")*(tblTransactions[Destination Type]="Account")*(tblTransactions[Destination Name]=$D81)))*((tblTransactions[Transaction Status]="Completed")+(tblTransactions[Transaction Status]="Reconciled"))),1)),""))</f>
      </c>
      <c r="J81" s="1">
        <f>IF($D81="","",IFERROR(INDEX(tblAccounts[Account Type],ROW()-1),""))</f>
      </c>
      <c r="K81" s="1">
        <f>IF($D81="","",IFERROR(INDEX(tblAccounts[Include in Dashboard],ROW()-1),""))</f>
      </c>
      <c r="L81" s="1">
        <f>IF($D81="","",IFERROR(INDEX(tblAccounts[Status],ROW()-1),""))</f>
      </c>
    </row>
    <row r="82">
      <c r="D82" s="1">
        <f>IFERROR(IF(INDEX(tblAccounts[Account Name],ROW()-1)="","",INDEX(tblAccounts[Account Name],ROW()-1)),"")</f>
      </c>
      <c r="E82" s="1">
        <f>IF($D82="","",IFERROR(INDEX(tblAccounts[Opening Balance],ROW()-1),0))</f>
      </c>
      <c r="F82" s="1">
        <f>IF($D82="","",IFERROR(SUMIFS(tblTransactions[Amount],tblTransactions[Transaction Type],"Income",tblTransactions[Source Account],$D82,tblTransactions[Transaction Status],"Completed")+SUMIFS(tblTransactions[Amount],tblTransactions[Transaction Type],"Income",tblTransactions[Source Account],$D82,tblTransactions[Transaction Status],"Reconciled")+SUMIFS(tblTransactions[Amount],tblTransactions[Transaction Type],"Transfer",tblTransactions[Destination Type],"Account",tblTransactions[Destination Name],$D82,tblTransactions[Transaction Status],"Completed")+SUMIFS(tblTransactions[Amount],tblTransactions[Transaction Type],"Transfer",tblTransactions[Destination Type],"Account",tblTransactions[Destination Name],$D82,tblTransactions[Transaction Status],"Reconciled")+SUMIFS(tblTransactions[Amount],tblTransactions[Transaction Type],"Adjustment",tblTransactions[Source Account],$D82,tblTransactions[Transaction Status],"Completed",tblTransactions[Amount],"&gt;0")+SUMIFS(tblTransactions[Amount],tblTransactions[Transaction Type],"Adjustment",tblTransactions[Source Account],$D82,tblTransactions[Transaction Status],"Reconciled",tblTransactions[Amount],"&gt;0"),0))</f>
      </c>
      <c r="G82" s="1">
        <f>IF($D82="","",IFERROR(SUMIFS(tblTransactions[Amount],tblTransactions[Transaction Type],"Expense",tblTransactions[Source Account],$D82,tblTransactions[Transaction Status],"Completed")+SUMIFS(tblTransactions[Amount],tblTransactions[Transaction Type],"Expense",tblTransactions[Source Account],$D82,tblTransactions[Transaction Status],"Reconciled")+SUMIFS(tblTransactions[Amount],tblTransactions[Transaction Type],"Transfer",tblTransactions[Source Account],$D82,tblTransactions[Transaction Status],"Completed")+SUMIFS(tblTransactions[Amount],tblTransactions[Transaction Type],"Transfer",tblTransactions[Source Account],$D82,tblTransactions[Transaction Status],"Reconciled")-SUMIFS(tblTransactions[Amount],tblTransactions[Transaction Type],"Adjustment",tblTransactions[Source Account],$D82,tblTransactions[Transaction Status],"Completed",tblTransactions[Amount],"&lt;0")-SUMIFS(tblTransactions[Amount],tblTransactions[Transaction Type],"Adjustment",tblTransactions[Source Account],$D82,tblTransactions[Transaction Status],"Reconciled",tblTransactions[Amount],"&lt;0"),0))</f>
      </c>
      <c r="H82" s="1">
        <f>IF($D82="","",$E82+$F82-$G82)</f>
      </c>
      <c r="I82" s="4">
        <f>IF($D82="","",IFERROR(1/(1/AGGREGATE(14,6,tblTransactions[Transaction Date]/(((tblTransactions[Source Account]=$D82)+((tblTransactions[Transaction Type]="Transfer")*(tblTransactions[Destination Type]="Account")*(tblTransactions[Destination Name]=$D82)))*((tblTransactions[Transaction Status]="Completed")+(tblTransactions[Transaction Status]="Reconciled"))),1)),""))</f>
      </c>
      <c r="J82" s="1">
        <f>IF($D82="","",IFERROR(INDEX(tblAccounts[Account Type],ROW()-1),""))</f>
      </c>
      <c r="K82" s="1">
        <f>IF($D82="","",IFERROR(INDEX(tblAccounts[Include in Dashboard],ROW()-1),""))</f>
      </c>
      <c r="L82" s="1">
        <f>IF($D82="","",IFERROR(INDEX(tblAccounts[Status],ROW()-1),""))</f>
      </c>
    </row>
    <row r="83">
      <c r="D83" s="1">
        <f>IFERROR(IF(INDEX(tblAccounts[Account Name],ROW()-1)="","",INDEX(tblAccounts[Account Name],ROW()-1)),"")</f>
      </c>
      <c r="E83" s="1">
        <f>IF($D83="","",IFERROR(INDEX(tblAccounts[Opening Balance],ROW()-1),0))</f>
      </c>
      <c r="F83" s="1">
        <f>IF($D83="","",IFERROR(SUMIFS(tblTransactions[Amount],tblTransactions[Transaction Type],"Income",tblTransactions[Source Account],$D83,tblTransactions[Transaction Status],"Completed")+SUMIFS(tblTransactions[Amount],tblTransactions[Transaction Type],"Income",tblTransactions[Source Account],$D83,tblTransactions[Transaction Status],"Reconciled")+SUMIFS(tblTransactions[Amount],tblTransactions[Transaction Type],"Transfer",tblTransactions[Destination Type],"Account",tblTransactions[Destination Name],$D83,tblTransactions[Transaction Status],"Completed")+SUMIFS(tblTransactions[Amount],tblTransactions[Transaction Type],"Transfer",tblTransactions[Destination Type],"Account",tblTransactions[Destination Name],$D83,tblTransactions[Transaction Status],"Reconciled")+SUMIFS(tblTransactions[Amount],tblTransactions[Transaction Type],"Adjustment",tblTransactions[Source Account],$D83,tblTransactions[Transaction Status],"Completed",tblTransactions[Amount],"&gt;0")+SUMIFS(tblTransactions[Amount],tblTransactions[Transaction Type],"Adjustment",tblTransactions[Source Account],$D83,tblTransactions[Transaction Status],"Reconciled",tblTransactions[Amount],"&gt;0"),0))</f>
      </c>
      <c r="G83" s="1">
        <f>IF($D83="","",IFERROR(SUMIFS(tblTransactions[Amount],tblTransactions[Transaction Type],"Expense",tblTransactions[Source Account],$D83,tblTransactions[Transaction Status],"Completed")+SUMIFS(tblTransactions[Amount],tblTransactions[Transaction Type],"Expense",tblTransactions[Source Account],$D83,tblTransactions[Transaction Status],"Reconciled")+SUMIFS(tblTransactions[Amount],tblTransactions[Transaction Type],"Transfer",tblTransactions[Source Account],$D83,tblTransactions[Transaction Status],"Completed")+SUMIFS(tblTransactions[Amount],tblTransactions[Transaction Type],"Transfer",tblTransactions[Source Account],$D83,tblTransactions[Transaction Status],"Reconciled")-SUMIFS(tblTransactions[Amount],tblTransactions[Transaction Type],"Adjustment",tblTransactions[Source Account],$D83,tblTransactions[Transaction Status],"Completed",tblTransactions[Amount],"&lt;0")-SUMIFS(tblTransactions[Amount],tblTransactions[Transaction Type],"Adjustment",tblTransactions[Source Account],$D83,tblTransactions[Transaction Status],"Reconciled",tblTransactions[Amount],"&lt;0"),0))</f>
      </c>
      <c r="H83" s="1">
        <f>IF($D83="","",$E83+$F83-$G83)</f>
      </c>
      <c r="I83" s="4">
        <f>IF($D83="","",IFERROR(1/(1/AGGREGATE(14,6,tblTransactions[Transaction Date]/(((tblTransactions[Source Account]=$D83)+((tblTransactions[Transaction Type]="Transfer")*(tblTransactions[Destination Type]="Account")*(tblTransactions[Destination Name]=$D83)))*((tblTransactions[Transaction Status]="Completed")+(tblTransactions[Transaction Status]="Reconciled"))),1)),""))</f>
      </c>
      <c r="J83" s="1">
        <f>IF($D83="","",IFERROR(INDEX(tblAccounts[Account Type],ROW()-1),""))</f>
      </c>
      <c r="K83" s="1">
        <f>IF($D83="","",IFERROR(INDEX(tblAccounts[Include in Dashboard],ROW()-1),""))</f>
      </c>
      <c r="L83" s="1">
        <f>IF($D83="","",IFERROR(INDEX(tblAccounts[Status],ROW()-1),""))</f>
      </c>
    </row>
    <row r="84">
      <c r="D84" s="1">
        <f>IFERROR(IF(INDEX(tblAccounts[Account Name],ROW()-1)="","",INDEX(tblAccounts[Account Name],ROW()-1)),"")</f>
      </c>
      <c r="E84" s="1">
        <f>IF($D84="","",IFERROR(INDEX(tblAccounts[Opening Balance],ROW()-1),0))</f>
      </c>
      <c r="F84" s="1">
        <f>IF($D84="","",IFERROR(SUMIFS(tblTransactions[Amount],tblTransactions[Transaction Type],"Income",tblTransactions[Source Account],$D84,tblTransactions[Transaction Status],"Completed")+SUMIFS(tblTransactions[Amount],tblTransactions[Transaction Type],"Income",tblTransactions[Source Account],$D84,tblTransactions[Transaction Status],"Reconciled")+SUMIFS(tblTransactions[Amount],tblTransactions[Transaction Type],"Transfer",tblTransactions[Destination Type],"Account",tblTransactions[Destination Name],$D84,tblTransactions[Transaction Status],"Completed")+SUMIFS(tblTransactions[Amount],tblTransactions[Transaction Type],"Transfer",tblTransactions[Destination Type],"Account",tblTransactions[Destination Name],$D84,tblTransactions[Transaction Status],"Reconciled")+SUMIFS(tblTransactions[Amount],tblTransactions[Transaction Type],"Adjustment",tblTransactions[Source Account],$D84,tblTransactions[Transaction Status],"Completed",tblTransactions[Amount],"&gt;0")+SUMIFS(tblTransactions[Amount],tblTransactions[Transaction Type],"Adjustment",tblTransactions[Source Account],$D84,tblTransactions[Transaction Status],"Reconciled",tblTransactions[Amount],"&gt;0"),0))</f>
      </c>
      <c r="G84" s="1">
        <f>IF($D84="","",IFERROR(SUMIFS(tblTransactions[Amount],tblTransactions[Transaction Type],"Expense",tblTransactions[Source Account],$D84,tblTransactions[Transaction Status],"Completed")+SUMIFS(tblTransactions[Amount],tblTransactions[Transaction Type],"Expense",tblTransactions[Source Account],$D84,tblTransactions[Transaction Status],"Reconciled")+SUMIFS(tblTransactions[Amount],tblTransactions[Transaction Type],"Transfer",tblTransactions[Source Account],$D84,tblTransactions[Transaction Status],"Completed")+SUMIFS(tblTransactions[Amount],tblTransactions[Transaction Type],"Transfer",tblTransactions[Source Account],$D84,tblTransactions[Transaction Status],"Reconciled")-SUMIFS(tblTransactions[Amount],tblTransactions[Transaction Type],"Adjustment",tblTransactions[Source Account],$D84,tblTransactions[Transaction Status],"Completed",tblTransactions[Amount],"&lt;0")-SUMIFS(tblTransactions[Amount],tblTransactions[Transaction Type],"Adjustment",tblTransactions[Source Account],$D84,tblTransactions[Transaction Status],"Reconciled",tblTransactions[Amount],"&lt;0"),0))</f>
      </c>
      <c r="H84" s="1">
        <f>IF($D84="","",$E84+$F84-$G84)</f>
      </c>
      <c r="I84" s="4">
        <f>IF($D84="","",IFERROR(1/(1/AGGREGATE(14,6,tblTransactions[Transaction Date]/(((tblTransactions[Source Account]=$D84)+((tblTransactions[Transaction Type]="Transfer")*(tblTransactions[Destination Type]="Account")*(tblTransactions[Destination Name]=$D84)))*((tblTransactions[Transaction Status]="Completed")+(tblTransactions[Transaction Status]="Reconciled"))),1)),""))</f>
      </c>
      <c r="J84" s="1">
        <f>IF($D84="","",IFERROR(INDEX(tblAccounts[Account Type],ROW()-1),""))</f>
      </c>
      <c r="K84" s="1">
        <f>IF($D84="","",IFERROR(INDEX(tblAccounts[Include in Dashboard],ROW()-1),""))</f>
      </c>
      <c r="L84" s="1">
        <f>IF($D84="","",IFERROR(INDEX(tblAccounts[Status],ROW()-1),""))</f>
      </c>
    </row>
    <row r="85">
      <c r="D85" s="1">
        <f>IFERROR(IF(INDEX(tblAccounts[Account Name],ROW()-1)="","",INDEX(tblAccounts[Account Name],ROW()-1)),"")</f>
      </c>
      <c r="E85" s="1">
        <f>IF($D85="","",IFERROR(INDEX(tblAccounts[Opening Balance],ROW()-1),0))</f>
      </c>
      <c r="F85" s="1">
        <f>IF($D85="","",IFERROR(SUMIFS(tblTransactions[Amount],tblTransactions[Transaction Type],"Income",tblTransactions[Source Account],$D85,tblTransactions[Transaction Status],"Completed")+SUMIFS(tblTransactions[Amount],tblTransactions[Transaction Type],"Income",tblTransactions[Source Account],$D85,tblTransactions[Transaction Status],"Reconciled")+SUMIFS(tblTransactions[Amount],tblTransactions[Transaction Type],"Transfer",tblTransactions[Destination Type],"Account",tblTransactions[Destination Name],$D85,tblTransactions[Transaction Status],"Completed")+SUMIFS(tblTransactions[Amount],tblTransactions[Transaction Type],"Transfer",tblTransactions[Destination Type],"Account",tblTransactions[Destination Name],$D85,tblTransactions[Transaction Status],"Reconciled")+SUMIFS(tblTransactions[Amount],tblTransactions[Transaction Type],"Adjustment",tblTransactions[Source Account],$D85,tblTransactions[Transaction Status],"Completed",tblTransactions[Amount],"&gt;0")+SUMIFS(tblTransactions[Amount],tblTransactions[Transaction Type],"Adjustment",tblTransactions[Source Account],$D85,tblTransactions[Transaction Status],"Reconciled",tblTransactions[Amount],"&gt;0"),0))</f>
      </c>
      <c r="G85" s="1">
        <f>IF($D85="","",IFERROR(SUMIFS(tblTransactions[Amount],tblTransactions[Transaction Type],"Expense",tblTransactions[Source Account],$D85,tblTransactions[Transaction Status],"Completed")+SUMIFS(tblTransactions[Amount],tblTransactions[Transaction Type],"Expense",tblTransactions[Source Account],$D85,tblTransactions[Transaction Status],"Reconciled")+SUMIFS(tblTransactions[Amount],tblTransactions[Transaction Type],"Transfer",tblTransactions[Source Account],$D85,tblTransactions[Transaction Status],"Completed")+SUMIFS(tblTransactions[Amount],tblTransactions[Transaction Type],"Transfer",tblTransactions[Source Account],$D85,tblTransactions[Transaction Status],"Reconciled")-SUMIFS(tblTransactions[Amount],tblTransactions[Transaction Type],"Adjustment",tblTransactions[Source Account],$D85,tblTransactions[Transaction Status],"Completed",tblTransactions[Amount],"&lt;0")-SUMIFS(tblTransactions[Amount],tblTransactions[Transaction Type],"Adjustment",tblTransactions[Source Account],$D85,tblTransactions[Transaction Status],"Reconciled",tblTransactions[Amount],"&lt;0"),0))</f>
      </c>
      <c r="H85" s="1">
        <f>IF($D85="","",$E85+$F85-$G85)</f>
      </c>
      <c r="I85" s="4">
        <f>IF($D85="","",IFERROR(1/(1/AGGREGATE(14,6,tblTransactions[Transaction Date]/(((tblTransactions[Source Account]=$D85)+((tblTransactions[Transaction Type]="Transfer")*(tblTransactions[Destination Type]="Account")*(tblTransactions[Destination Name]=$D85)))*((tblTransactions[Transaction Status]="Completed")+(tblTransactions[Transaction Status]="Reconciled"))),1)),""))</f>
      </c>
      <c r="J85" s="1">
        <f>IF($D85="","",IFERROR(INDEX(tblAccounts[Account Type],ROW()-1),""))</f>
      </c>
      <c r="K85" s="1">
        <f>IF($D85="","",IFERROR(INDEX(tblAccounts[Include in Dashboard],ROW()-1),""))</f>
      </c>
      <c r="L85" s="1">
        <f>IF($D85="","",IFERROR(INDEX(tblAccounts[Status],ROW()-1),""))</f>
      </c>
    </row>
    <row r="86">
      <c r="D86" s="1">
        <f>IFERROR(IF(INDEX(tblAccounts[Account Name],ROW()-1)="","",INDEX(tblAccounts[Account Name],ROW()-1)),"")</f>
      </c>
      <c r="E86" s="1">
        <f>IF($D86="","",IFERROR(INDEX(tblAccounts[Opening Balance],ROW()-1),0))</f>
      </c>
      <c r="F86" s="1">
        <f>IF($D86="","",IFERROR(SUMIFS(tblTransactions[Amount],tblTransactions[Transaction Type],"Income",tblTransactions[Source Account],$D86,tblTransactions[Transaction Status],"Completed")+SUMIFS(tblTransactions[Amount],tblTransactions[Transaction Type],"Income",tblTransactions[Source Account],$D86,tblTransactions[Transaction Status],"Reconciled")+SUMIFS(tblTransactions[Amount],tblTransactions[Transaction Type],"Transfer",tblTransactions[Destination Type],"Account",tblTransactions[Destination Name],$D86,tblTransactions[Transaction Status],"Completed")+SUMIFS(tblTransactions[Amount],tblTransactions[Transaction Type],"Transfer",tblTransactions[Destination Type],"Account",tblTransactions[Destination Name],$D86,tblTransactions[Transaction Status],"Reconciled")+SUMIFS(tblTransactions[Amount],tblTransactions[Transaction Type],"Adjustment",tblTransactions[Source Account],$D86,tblTransactions[Transaction Status],"Completed",tblTransactions[Amount],"&gt;0")+SUMIFS(tblTransactions[Amount],tblTransactions[Transaction Type],"Adjustment",tblTransactions[Source Account],$D86,tblTransactions[Transaction Status],"Reconciled",tblTransactions[Amount],"&gt;0"),0))</f>
      </c>
      <c r="G86" s="1">
        <f>IF($D86="","",IFERROR(SUMIFS(tblTransactions[Amount],tblTransactions[Transaction Type],"Expense",tblTransactions[Source Account],$D86,tblTransactions[Transaction Status],"Completed")+SUMIFS(tblTransactions[Amount],tblTransactions[Transaction Type],"Expense",tblTransactions[Source Account],$D86,tblTransactions[Transaction Status],"Reconciled")+SUMIFS(tblTransactions[Amount],tblTransactions[Transaction Type],"Transfer",tblTransactions[Source Account],$D86,tblTransactions[Transaction Status],"Completed")+SUMIFS(tblTransactions[Amount],tblTransactions[Transaction Type],"Transfer",tblTransactions[Source Account],$D86,tblTransactions[Transaction Status],"Reconciled")-SUMIFS(tblTransactions[Amount],tblTransactions[Transaction Type],"Adjustment",tblTransactions[Source Account],$D86,tblTransactions[Transaction Status],"Completed",tblTransactions[Amount],"&lt;0")-SUMIFS(tblTransactions[Amount],tblTransactions[Transaction Type],"Adjustment",tblTransactions[Source Account],$D86,tblTransactions[Transaction Status],"Reconciled",tblTransactions[Amount],"&lt;0"),0))</f>
      </c>
      <c r="H86" s="1">
        <f>IF($D86="","",$E86+$F86-$G86)</f>
      </c>
      <c r="I86" s="4">
        <f>IF($D86="","",IFERROR(1/(1/AGGREGATE(14,6,tblTransactions[Transaction Date]/(((tblTransactions[Source Account]=$D86)+((tblTransactions[Transaction Type]="Transfer")*(tblTransactions[Destination Type]="Account")*(tblTransactions[Destination Name]=$D86)))*((tblTransactions[Transaction Status]="Completed")+(tblTransactions[Transaction Status]="Reconciled"))),1)),""))</f>
      </c>
      <c r="J86" s="1">
        <f>IF($D86="","",IFERROR(INDEX(tblAccounts[Account Type],ROW()-1),""))</f>
      </c>
      <c r="K86" s="1">
        <f>IF($D86="","",IFERROR(INDEX(tblAccounts[Include in Dashboard],ROW()-1),""))</f>
      </c>
      <c r="L86" s="1">
        <f>IF($D86="","",IFERROR(INDEX(tblAccounts[Status],ROW()-1),""))</f>
      </c>
    </row>
    <row r="87">
      <c r="D87" s="1">
        <f>IFERROR(IF(INDEX(tblAccounts[Account Name],ROW()-1)="","",INDEX(tblAccounts[Account Name],ROW()-1)),"")</f>
      </c>
      <c r="E87" s="1">
        <f>IF($D87="","",IFERROR(INDEX(tblAccounts[Opening Balance],ROW()-1),0))</f>
      </c>
      <c r="F87" s="1">
        <f>IF($D87="","",IFERROR(SUMIFS(tblTransactions[Amount],tblTransactions[Transaction Type],"Income",tblTransactions[Source Account],$D87,tblTransactions[Transaction Status],"Completed")+SUMIFS(tblTransactions[Amount],tblTransactions[Transaction Type],"Income",tblTransactions[Source Account],$D87,tblTransactions[Transaction Status],"Reconciled")+SUMIFS(tblTransactions[Amount],tblTransactions[Transaction Type],"Transfer",tblTransactions[Destination Type],"Account",tblTransactions[Destination Name],$D87,tblTransactions[Transaction Status],"Completed")+SUMIFS(tblTransactions[Amount],tblTransactions[Transaction Type],"Transfer",tblTransactions[Destination Type],"Account",tblTransactions[Destination Name],$D87,tblTransactions[Transaction Status],"Reconciled")+SUMIFS(tblTransactions[Amount],tblTransactions[Transaction Type],"Adjustment",tblTransactions[Source Account],$D87,tblTransactions[Transaction Status],"Completed",tblTransactions[Amount],"&gt;0")+SUMIFS(tblTransactions[Amount],tblTransactions[Transaction Type],"Adjustment",tblTransactions[Source Account],$D87,tblTransactions[Transaction Status],"Reconciled",tblTransactions[Amount],"&gt;0"),0))</f>
      </c>
      <c r="G87" s="1">
        <f>IF($D87="","",IFERROR(SUMIFS(tblTransactions[Amount],tblTransactions[Transaction Type],"Expense",tblTransactions[Source Account],$D87,tblTransactions[Transaction Status],"Completed")+SUMIFS(tblTransactions[Amount],tblTransactions[Transaction Type],"Expense",tblTransactions[Source Account],$D87,tblTransactions[Transaction Status],"Reconciled")+SUMIFS(tblTransactions[Amount],tblTransactions[Transaction Type],"Transfer",tblTransactions[Source Account],$D87,tblTransactions[Transaction Status],"Completed")+SUMIFS(tblTransactions[Amount],tblTransactions[Transaction Type],"Transfer",tblTransactions[Source Account],$D87,tblTransactions[Transaction Status],"Reconciled")-SUMIFS(tblTransactions[Amount],tblTransactions[Transaction Type],"Adjustment",tblTransactions[Source Account],$D87,tblTransactions[Transaction Status],"Completed",tblTransactions[Amount],"&lt;0")-SUMIFS(tblTransactions[Amount],tblTransactions[Transaction Type],"Adjustment",tblTransactions[Source Account],$D87,tblTransactions[Transaction Status],"Reconciled",tblTransactions[Amount],"&lt;0"),0))</f>
      </c>
      <c r="H87" s="1">
        <f>IF($D87="","",$E87+$F87-$G87)</f>
      </c>
      <c r="I87" s="4">
        <f>IF($D87="","",IFERROR(1/(1/AGGREGATE(14,6,tblTransactions[Transaction Date]/(((tblTransactions[Source Account]=$D87)+((tblTransactions[Transaction Type]="Transfer")*(tblTransactions[Destination Type]="Account")*(tblTransactions[Destination Name]=$D87)))*((tblTransactions[Transaction Status]="Completed")+(tblTransactions[Transaction Status]="Reconciled"))),1)),""))</f>
      </c>
      <c r="J87" s="1">
        <f>IF($D87="","",IFERROR(INDEX(tblAccounts[Account Type],ROW()-1),""))</f>
      </c>
      <c r="K87" s="1">
        <f>IF($D87="","",IFERROR(INDEX(tblAccounts[Include in Dashboard],ROW()-1),""))</f>
      </c>
      <c r="L87" s="1">
        <f>IF($D87="","",IFERROR(INDEX(tblAccounts[Status],ROW()-1),""))</f>
      </c>
    </row>
    <row r="88">
      <c r="D88" s="1">
        <f>IFERROR(IF(INDEX(tblAccounts[Account Name],ROW()-1)="","",INDEX(tblAccounts[Account Name],ROW()-1)),"")</f>
      </c>
      <c r="E88" s="1">
        <f>IF($D88="","",IFERROR(INDEX(tblAccounts[Opening Balance],ROW()-1),0))</f>
      </c>
      <c r="F88" s="1">
        <f>IF($D88="","",IFERROR(SUMIFS(tblTransactions[Amount],tblTransactions[Transaction Type],"Income",tblTransactions[Source Account],$D88,tblTransactions[Transaction Status],"Completed")+SUMIFS(tblTransactions[Amount],tblTransactions[Transaction Type],"Income",tblTransactions[Source Account],$D88,tblTransactions[Transaction Status],"Reconciled")+SUMIFS(tblTransactions[Amount],tblTransactions[Transaction Type],"Transfer",tblTransactions[Destination Type],"Account",tblTransactions[Destination Name],$D88,tblTransactions[Transaction Status],"Completed")+SUMIFS(tblTransactions[Amount],tblTransactions[Transaction Type],"Transfer",tblTransactions[Destination Type],"Account",tblTransactions[Destination Name],$D88,tblTransactions[Transaction Status],"Reconciled")+SUMIFS(tblTransactions[Amount],tblTransactions[Transaction Type],"Adjustment",tblTransactions[Source Account],$D88,tblTransactions[Transaction Status],"Completed",tblTransactions[Amount],"&gt;0")+SUMIFS(tblTransactions[Amount],tblTransactions[Transaction Type],"Adjustment",tblTransactions[Source Account],$D88,tblTransactions[Transaction Status],"Reconciled",tblTransactions[Amount],"&gt;0"),0))</f>
      </c>
      <c r="G88" s="1">
        <f>IF($D88="","",IFERROR(SUMIFS(tblTransactions[Amount],tblTransactions[Transaction Type],"Expense",tblTransactions[Source Account],$D88,tblTransactions[Transaction Status],"Completed")+SUMIFS(tblTransactions[Amount],tblTransactions[Transaction Type],"Expense",tblTransactions[Source Account],$D88,tblTransactions[Transaction Status],"Reconciled")+SUMIFS(tblTransactions[Amount],tblTransactions[Transaction Type],"Transfer",tblTransactions[Source Account],$D88,tblTransactions[Transaction Status],"Completed")+SUMIFS(tblTransactions[Amount],tblTransactions[Transaction Type],"Transfer",tblTransactions[Source Account],$D88,tblTransactions[Transaction Status],"Reconciled")-SUMIFS(tblTransactions[Amount],tblTransactions[Transaction Type],"Adjustment",tblTransactions[Source Account],$D88,tblTransactions[Transaction Status],"Completed",tblTransactions[Amount],"&lt;0")-SUMIFS(tblTransactions[Amount],tblTransactions[Transaction Type],"Adjustment",tblTransactions[Source Account],$D88,tblTransactions[Transaction Status],"Reconciled",tblTransactions[Amount],"&lt;0"),0))</f>
      </c>
      <c r="H88" s="1">
        <f>IF($D88="","",$E88+$F88-$G88)</f>
      </c>
      <c r="I88" s="4">
        <f>IF($D88="","",IFERROR(1/(1/AGGREGATE(14,6,tblTransactions[Transaction Date]/(((tblTransactions[Source Account]=$D88)+((tblTransactions[Transaction Type]="Transfer")*(tblTransactions[Destination Type]="Account")*(tblTransactions[Destination Name]=$D88)))*((tblTransactions[Transaction Status]="Completed")+(tblTransactions[Transaction Status]="Reconciled"))),1)),""))</f>
      </c>
      <c r="J88" s="1">
        <f>IF($D88="","",IFERROR(INDEX(tblAccounts[Account Type],ROW()-1),""))</f>
      </c>
      <c r="K88" s="1">
        <f>IF($D88="","",IFERROR(INDEX(tblAccounts[Include in Dashboard],ROW()-1),""))</f>
      </c>
      <c r="L88" s="1">
        <f>IF($D88="","",IFERROR(INDEX(tblAccounts[Status],ROW()-1),""))</f>
      </c>
    </row>
    <row r="89">
      <c r="D89" s="1">
        <f>IFERROR(IF(INDEX(tblAccounts[Account Name],ROW()-1)="","",INDEX(tblAccounts[Account Name],ROW()-1)),"")</f>
      </c>
      <c r="E89" s="1">
        <f>IF($D89="","",IFERROR(INDEX(tblAccounts[Opening Balance],ROW()-1),0))</f>
      </c>
      <c r="F89" s="1">
        <f>IF($D89="","",IFERROR(SUMIFS(tblTransactions[Amount],tblTransactions[Transaction Type],"Income",tblTransactions[Source Account],$D89,tblTransactions[Transaction Status],"Completed")+SUMIFS(tblTransactions[Amount],tblTransactions[Transaction Type],"Income",tblTransactions[Source Account],$D89,tblTransactions[Transaction Status],"Reconciled")+SUMIFS(tblTransactions[Amount],tblTransactions[Transaction Type],"Transfer",tblTransactions[Destination Type],"Account",tblTransactions[Destination Name],$D89,tblTransactions[Transaction Status],"Completed")+SUMIFS(tblTransactions[Amount],tblTransactions[Transaction Type],"Transfer",tblTransactions[Destination Type],"Account",tblTransactions[Destination Name],$D89,tblTransactions[Transaction Status],"Reconciled")+SUMIFS(tblTransactions[Amount],tblTransactions[Transaction Type],"Adjustment",tblTransactions[Source Account],$D89,tblTransactions[Transaction Status],"Completed",tblTransactions[Amount],"&gt;0")+SUMIFS(tblTransactions[Amount],tblTransactions[Transaction Type],"Adjustment",tblTransactions[Source Account],$D89,tblTransactions[Transaction Status],"Reconciled",tblTransactions[Amount],"&gt;0"),0))</f>
      </c>
      <c r="G89" s="1">
        <f>IF($D89="","",IFERROR(SUMIFS(tblTransactions[Amount],tblTransactions[Transaction Type],"Expense",tblTransactions[Source Account],$D89,tblTransactions[Transaction Status],"Completed")+SUMIFS(tblTransactions[Amount],tblTransactions[Transaction Type],"Expense",tblTransactions[Source Account],$D89,tblTransactions[Transaction Status],"Reconciled")+SUMIFS(tblTransactions[Amount],tblTransactions[Transaction Type],"Transfer",tblTransactions[Source Account],$D89,tblTransactions[Transaction Status],"Completed")+SUMIFS(tblTransactions[Amount],tblTransactions[Transaction Type],"Transfer",tblTransactions[Source Account],$D89,tblTransactions[Transaction Status],"Reconciled")-SUMIFS(tblTransactions[Amount],tblTransactions[Transaction Type],"Adjustment",tblTransactions[Source Account],$D89,tblTransactions[Transaction Status],"Completed",tblTransactions[Amount],"&lt;0")-SUMIFS(tblTransactions[Amount],tblTransactions[Transaction Type],"Adjustment",tblTransactions[Source Account],$D89,tblTransactions[Transaction Status],"Reconciled",tblTransactions[Amount],"&lt;0"),0))</f>
      </c>
      <c r="H89" s="1">
        <f>IF($D89="","",$E89+$F89-$G89)</f>
      </c>
      <c r="I89" s="4">
        <f>IF($D89="","",IFERROR(1/(1/AGGREGATE(14,6,tblTransactions[Transaction Date]/(((tblTransactions[Source Account]=$D89)+((tblTransactions[Transaction Type]="Transfer")*(tblTransactions[Destination Type]="Account")*(tblTransactions[Destination Name]=$D89)))*((tblTransactions[Transaction Status]="Completed")+(tblTransactions[Transaction Status]="Reconciled"))),1)),""))</f>
      </c>
      <c r="J89" s="1">
        <f>IF($D89="","",IFERROR(INDEX(tblAccounts[Account Type],ROW()-1),""))</f>
      </c>
      <c r="K89" s="1">
        <f>IF($D89="","",IFERROR(INDEX(tblAccounts[Include in Dashboard],ROW()-1),""))</f>
      </c>
      <c r="L89" s="1">
        <f>IF($D89="","",IFERROR(INDEX(tblAccounts[Status],ROW()-1),""))</f>
      </c>
    </row>
    <row r="90">
      <c r="D90" s="1">
        <f>IFERROR(IF(INDEX(tblAccounts[Account Name],ROW()-1)="","",INDEX(tblAccounts[Account Name],ROW()-1)),"")</f>
      </c>
      <c r="E90" s="1">
        <f>IF($D90="","",IFERROR(INDEX(tblAccounts[Opening Balance],ROW()-1),0))</f>
      </c>
      <c r="F90" s="1">
        <f>IF($D90="","",IFERROR(SUMIFS(tblTransactions[Amount],tblTransactions[Transaction Type],"Income",tblTransactions[Source Account],$D90,tblTransactions[Transaction Status],"Completed")+SUMIFS(tblTransactions[Amount],tblTransactions[Transaction Type],"Income",tblTransactions[Source Account],$D90,tblTransactions[Transaction Status],"Reconciled")+SUMIFS(tblTransactions[Amount],tblTransactions[Transaction Type],"Transfer",tblTransactions[Destination Type],"Account",tblTransactions[Destination Name],$D90,tblTransactions[Transaction Status],"Completed")+SUMIFS(tblTransactions[Amount],tblTransactions[Transaction Type],"Transfer",tblTransactions[Destination Type],"Account",tblTransactions[Destination Name],$D90,tblTransactions[Transaction Status],"Reconciled")+SUMIFS(tblTransactions[Amount],tblTransactions[Transaction Type],"Adjustment",tblTransactions[Source Account],$D90,tblTransactions[Transaction Status],"Completed",tblTransactions[Amount],"&gt;0")+SUMIFS(tblTransactions[Amount],tblTransactions[Transaction Type],"Adjustment",tblTransactions[Source Account],$D90,tblTransactions[Transaction Status],"Reconciled",tblTransactions[Amount],"&gt;0"),0))</f>
      </c>
      <c r="G90" s="1">
        <f>IF($D90="","",IFERROR(SUMIFS(tblTransactions[Amount],tblTransactions[Transaction Type],"Expense",tblTransactions[Source Account],$D90,tblTransactions[Transaction Status],"Completed")+SUMIFS(tblTransactions[Amount],tblTransactions[Transaction Type],"Expense",tblTransactions[Source Account],$D90,tblTransactions[Transaction Status],"Reconciled")+SUMIFS(tblTransactions[Amount],tblTransactions[Transaction Type],"Transfer",tblTransactions[Source Account],$D90,tblTransactions[Transaction Status],"Completed")+SUMIFS(tblTransactions[Amount],tblTransactions[Transaction Type],"Transfer",tblTransactions[Source Account],$D90,tblTransactions[Transaction Status],"Reconciled")-SUMIFS(tblTransactions[Amount],tblTransactions[Transaction Type],"Adjustment",tblTransactions[Source Account],$D90,tblTransactions[Transaction Status],"Completed",tblTransactions[Amount],"&lt;0")-SUMIFS(tblTransactions[Amount],tblTransactions[Transaction Type],"Adjustment",tblTransactions[Source Account],$D90,tblTransactions[Transaction Status],"Reconciled",tblTransactions[Amount],"&lt;0"),0))</f>
      </c>
      <c r="H90" s="1">
        <f>IF($D90="","",$E90+$F90-$G90)</f>
      </c>
      <c r="I90" s="4">
        <f>IF($D90="","",IFERROR(1/(1/AGGREGATE(14,6,tblTransactions[Transaction Date]/(((tblTransactions[Source Account]=$D90)+((tblTransactions[Transaction Type]="Transfer")*(tblTransactions[Destination Type]="Account")*(tblTransactions[Destination Name]=$D90)))*((tblTransactions[Transaction Status]="Completed")+(tblTransactions[Transaction Status]="Reconciled"))),1)),""))</f>
      </c>
      <c r="J90" s="1">
        <f>IF($D90="","",IFERROR(INDEX(tblAccounts[Account Type],ROW()-1),""))</f>
      </c>
      <c r="K90" s="1">
        <f>IF($D90="","",IFERROR(INDEX(tblAccounts[Include in Dashboard],ROW()-1),""))</f>
      </c>
      <c r="L90" s="1">
        <f>IF($D90="","",IFERROR(INDEX(tblAccounts[Status],ROW()-1),""))</f>
      </c>
    </row>
    <row r="91">
      <c r="D91" s="1">
        <f>IFERROR(IF(INDEX(tblAccounts[Account Name],ROW()-1)="","",INDEX(tblAccounts[Account Name],ROW()-1)),"")</f>
      </c>
      <c r="E91" s="1">
        <f>IF($D91="","",IFERROR(INDEX(tblAccounts[Opening Balance],ROW()-1),0))</f>
      </c>
      <c r="F91" s="1">
        <f>IF($D91="","",IFERROR(SUMIFS(tblTransactions[Amount],tblTransactions[Transaction Type],"Income",tblTransactions[Source Account],$D91,tblTransactions[Transaction Status],"Completed")+SUMIFS(tblTransactions[Amount],tblTransactions[Transaction Type],"Income",tblTransactions[Source Account],$D91,tblTransactions[Transaction Status],"Reconciled")+SUMIFS(tblTransactions[Amount],tblTransactions[Transaction Type],"Transfer",tblTransactions[Destination Type],"Account",tblTransactions[Destination Name],$D91,tblTransactions[Transaction Status],"Completed")+SUMIFS(tblTransactions[Amount],tblTransactions[Transaction Type],"Transfer",tblTransactions[Destination Type],"Account",tblTransactions[Destination Name],$D91,tblTransactions[Transaction Status],"Reconciled")+SUMIFS(tblTransactions[Amount],tblTransactions[Transaction Type],"Adjustment",tblTransactions[Source Account],$D91,tblTransactions[Transaction Status],"Completed",tblTransactions[Amount],"&gt;0")+SUMIFS(tblTransactions[Amount],tblTransactions[Transaction Type],"Adjustment",tblTransactions[Source Account],$D91,tblTransactions[Transaction Status],"Reconciled",tblTransactions[Amount],"&gt;0"),0))</f>
      </c>
      <c r="G91" s="1">
        <f>IF($D91="","",IFERROR(SUMIFS(tblTransactions[Amount],tblTransactions[Transaction Type],"Expense",tblTransactions[Source Account],$D91,tblTransactions[Transaction Status],"Completed")+SUMIFS(tblTransactions[Amount],tblTransactions[Transaction Type],"Expense",tblTransactions[Source Account],$D91,tblTransactions[Transaction Status],"Reconciled")+SUMIFS(tblTransactions[Amount],tblTransactions[Transaction Type],"Transfer",tblTransactions[Source Account],$D91,tblTransactions[Transaction Status],"Completed")+SUMIFS(tblTransactions[Amount],tblTransactions[Transaction Type],"Transfer",tblTransactions[Source Account],$D91,tblTransactions[Transaction Status],"Reconciled")-SUMIFS(tblTransactions[Amount],tblTransactions[Transaction Type],"Adjustment",tblTransactions[Source Account],$D91,tblTransactions[Transaction Status],"Completed",tblTransactions[Amount],"&lt;0")-SUMIFS(tblTransactions[Amount],tblTransactions[Transaction Type],"Adjustment",tblTransactions[Source Account],$D91,tblTransactions[Transaction Status],"Reconciled",tblTransactions[Amount],"&lt;0"),0))</f>
      </c>
      <c r="H91" s="1">
        <f>IF($D91="","",$E91+$F91-$G91)</f>
      </c>
      <c r="I91" s="4">
        <f>IF($D91="","",IFERROR(1/(1/AGGREGATE(14,6,tblTransactions[Transaction Date]/(((tblTransactions[Source Account]=$D91)+((tblTransactions[Transaction Type]="Transfer")*(tblTransactions[Destination Type]="Account")*(tblTransactions[Destination Name]=$D91)))*((tblTransactions[Transaction Status]="Completed")+(tblTransactions[Transaction Status]="Reconciled"))),1)),""))</f>
      </c>
      <c r="J91" s="1">
        <f>IF($D91="","",IFERROR(INDEX(tblAccounts[Account Type],ROW()-1),""))</f>
      </c>
      <c r="K91" s="1">
        <f>IF($D91="","",IFERROR(INDEX(tblAccounts[Include in Dashboard],ROW()-1),""))</f>
      </c>
      <c r="L91" s="1">
        <f>IF($D91="","",IFERROR(INDEX(tblAccounts[Status],ROW()-1),""))</f>
      </c>
    </row>
    <row r="92">
      <c r="D92" s="1">
        <f>IFERROR(IF(INDEX(tblAccounts[Account Name],ROW()-1)="","",INDEX(tblAccounts[Account Name],ROW()-1)),"")</f>
      </c>
      <c r="E92" s="1">
        <f>IF($D92="","",IFERROR(INDEX(tblAccounts[Opening Balance],ROW()-1),0))</f>
      </c>
      <c r="F92" s="1">
        <f>IF($D92="","",IFERROR(SUMIFS(tblTransactions[Amount],tblTransactions[Transaction Type],"Income",tblTransactions[Source Account],$D92,tblTransactions[Transaction Status],"Completed")+SUMIFS(tblTransactions[Amount],tblTransactions[Transaction Type],"Income",tblTransactions[Source Account],$D92,tblTransactions[Transaction Status],"Reconciled")+SUMIFS(tblTransactions[Amount],tblTransactions[Transaction Type],"Transfer",tblTransactions[Destination Type],"Account",tblTransactions[Destination Name],$D92,tblTransactions[Transaction Status],"Completed")+SUMIFS(tblTransactions[Amount],tblTransactions[Transaction Type],"Transfer",tblTransactions[Destination Type],"Account",tblTransactions[Destination Name],$D92,tblTransactions[Transaction Status],"Reconciled")+SUMIFS(tblTransactions[Amount],tblTransactions[Transaction Type],"Adjustment",tblTransactions[Source Account],$D92,tblTransactions[Transaction Status],"Completed",tblTransactions[Amount],"&gt;0")+SUMIFS(tblTransactions[Amount],tblTransactions[Transaction Type],"Adjustment",tblTransactions[Source Account],$D92,tblTransactions[Transaction Status],"Reconciled",tblTransactions[Amount],"&gt;0"),0))</f>
      </c>
      <c r="G92" s="1">
        <f>IF($D92="","",IFERROR(SUMIFS(tblTransactions[Amount],tblTransactions[Transaction Type],"Expense",tblTransactions[Source Account],$D92,tblTransactions[Transaction Status],"Completed")+SUMIFS(tblTransactions[Amount],tblTransactions[Transaction Type],"Expense",tblTransactions[Source Account],$D92,tblTransactions[Transaction Status],"Reconciled")+SUMIFS(tblTransactions[Amount],tblTransactions[Transaction Type],"Transfer",tblTransactions[Source Account],$D92,tblTransactions[Transaction Status],"Completed")+SUMIFS(tblTransactions[Amount],tblTransactions[Transaction Type],"Transfer",tblTransactions[Source Account],$D92,tblTransactions[Transaction Status],"Reconciled")-SUMIFS(tblTransactions[Amount],tblTransactions[Transaction Type],"Adjustment",tblTransactions[Source Account],$D92,tblTransactions[Transaction Status],"Completed",tblTransactions[Amount],"&lt;0")-SUMIFS(tblTransactions[Amount],tblTransactions[Transaction Type],"Adjustment",tblTransactions[Source Account],$D92,tblTransactions[Transaction Status],"Reconciled",tblTransactions[Amount],"&lt;0"),0))</f>
      </c>
      <c r="H92" s="1">
        <f>IF($D92="","",$E92+$F92-$G92)</f>
      </c>
      <c r="I92" s="4">
        <f>IF($D92="","",IFERROR(1/(1/AGGREGATE(14,6,tblTransactions[Transaction Date]/(((tblTransactions[Source Account]=$D92)+((tblTransactions[Transaction Type]="Transfer")*(tblTransactions[Destination Type]="Account")*(tblTransactions[Destination Name]=$D92)))*((tblTransactions[Transaction Status]="Completed")+(tblTransactions[Transaction Status]="Reconciled"))),1)),""))</f>
      </c>
      <c r="J92" s="1">
        <f>IF($D92="","",IFERROR(INDEX(tblAccounts[Account Type],ROW()-1),""))</f>
      </c>
      <c r="K92" s="1">
        <f>IF($D92="","",IFERROR(INDEX(tblAccounts[Include in Dashboard],ROW()-1),""))</f>
      </c>
      <c r="L92" s="1">
        <f>IF($D92="","",IFERROR(INDEX(tblAccounts[Status],ROW()-1),""))</f>
      </c>
    </row>
    <row r="93">
      <c r="D93" s="1">
        <f>IFERROR(IF(INDEX(tblAccounts[Account Name],ROW()-1)="","",INDEX(tblAccounts[Account Name],ROW()-1)),"")</f>
      </c>
      <c r="E93" s="1">
        <f>IF($D93="","",IFERROR(INDEX(tblAccounts[Opening Balance],ROW()-1),0))</f>
      </c>
      <c r="F93" s="1">
        <f>IF($D93="","",IFERROR(SUMIFS(tblTransactions[Amount],tblTransactions[Transaction Type],"Income",tblTransactions[Source Account],$D93,tblTransactions[Transaction Status],"Completed")+SUMIFS(tblTransactions[Amount],tblTransactions[Transaction Type],"Income",tblTransactions[Source Account],$D93,tblTransactions[Transaction Status],"Reconciled")+SUMIFS(tblTransactions[Amount],tblTransactions[Transaction Type],"Transfer",tblTransactions[Destination Type],"Account",tblTransactions[Destination Name],$D93,tblTransactions[Transaction Status],"Completed")+SUMIFS(tblTransactions[Amount],tblTransactions[Transaction Type],"Transfer",tblTransactions[Destination Type],"Account",tblTransactions[Destination Name],$D93,tblTransactions[Transaction Status],"Reconciled")+SUMIFS(tblTransactions[Amount],tblTransactions[Transaction Type],"Adjustment",tblTransactions[Source Account],$D93,tblTransactions[Transaction Status],"Completed",tblTransactions[Amount],"&gt;0")+SUMIFS(tblTransactions[Amount],tblTransactions[Transaction Type],"Adjustment",tblTransactions[Source Account],$D93,tblTransactions[Transaction Status],"Reconciled",tblTransactions[Amount],"&gt;0"),0))</f>
      </c>
      <c r="G93" s="1">
        <f>IF($D93="","",IFERROR(SUMIFS(tblTransactions[Amount],tblTransactions[Transaction Type],"Expense",tblTransactions[Source Account],$D93,tblTransactions[Transaction Status],"Completed")+SUMIFS(tblTransactions[Amount],tblTransactions[Transaction Type],"Expense",tblTransactions[Source Account],$D93,tblTransactions[Transaction Status],"Reconciled")+SUMIFS(tblTransactions[Amount],tblTransactions[Transaction Type],"Transfer",tblTransactions[Source Account],$D93,tblTransactions[Transaction Status],"Completed")+SUMIFS(tblTransactions[Amount],tblTransactions[Transaction Type],"Transfer",tblTransactions[Source Account],$D93,tblTransactions[Transaction Status],"Reconciled")-SUMIFS(tblTransactions[Amount],tblTransactions[Transaction Type],"Adjustment",tblTransactions[Source Account],$D93,tblTransactions[Transaction Status],"Completed",tblTransactions[Amount],"&lt;0")-SUMIFS(tblTransactions[Amount],tblTransactions[Transaction Type],"Adjustment",tblTransactions[Source Account],$D93,tblTransactions[Transaction Status],"Reconciled",tblTransactions[Amount],"&lt;0"),0))</f>
      </c>
      <c r="H93" s="1">
        <f>IF($D93="","",$E93+$F93-$G93)</f>
      </c>
      <c r="I93" s="4">
        <f>IF($D93="","",IFERROR(1/(1/AGGREGATE(14,6,tblTransactions[Transaction Date]/(((tblTransactions[Source Account]=$D93)+((tblTransactions[Transaction Type]="Transfer")*(tblTransactions[Destination Type]="Account")*(tblTransactions[Destination Name]=$D93)))*((tblTransactions[Transaction Status]="Completed")+(tblTransactions[Transaction Status]="Reconciled"))),1)),""))</f>
      </c>
      <c r="J93" s="1">
        <f>IF($D93="","",IFERROR(INDEX(tblAccounts[Account Type],ROW()-1),""))</f>
      </c>
      <c r="K93" s="1">
        <f>IF($D93="","",IFERROR(INDEX(tblAccounts[Include in Dashboard],ROW()-1),""))</f>
      </c>
      <c r="L93" s="1">
        <f>IF($D93="","",IFERROR(INDEX(tblAccounts[Status],ROW()-1),""))</f>
      </c>
    </row>
    <row r="94">
      <c r="D94" s="1">
        <f>IFERROR(IF(INDEX(tblAccounts[Account Name],ROW()-1)="","",INDEX(tblAccounts[Account Name],ROW()-1)),"")</f>
      </c>
      <c r="E94" s="1">
        <f>IF($D94="","",IFERROR(INDEX(tblAccounts[Opening Balance],ROW()-1),0))</f>
      </c>
      <c r="F94" s="1">
        <f>IF($D94="","",IFERROR(SUMIFS(tblTransactions[Amount],tblTransactions[Transaction Type],"Income",tblTransactions[Source Account],$D94,tblTransactions[Transaction Status],"Completed")+SUMIFS(tblTransactions[Amount],tblTransactions[Transaction Type],"Income",tblTransactions[Source Account],$D94,tblTransactions[Transaction Status],"Reconciled")+SUMIFS(tblTransactions[Amount],tblTransactions[Transaction Type],"Transfer",tblTransactions[Destination Type],"Account",tblTransactions[Destination Name],$D94,tblTransactions[Transaction Status],"Completed")+SUMIFS(tblTransactions[Amount],tblTransactions[Transaction Type],"Transfer",tblTransactions[Destination Type],"Account",tblTransactions[Destination Name],$D94,tblTransactions[Transaction Status],"Reconciled")+SUMIFS(tblTransactions[Amount],tblTransactions[Transaction Type],"Adjustment",tblTransactions[Source Account],$D94,tblTransactions[Transaction Status],"Completed",tblTransactions[Amount],"&gt;0")+SUMIFS(tblTransactions[Amount],tblTransactions[Transaction Type],"Adjustment",tblTransactions[Source Account],$D94,tblTransactions[Transaction Status],"Reconciled",tblTransactions[Amount],"&gt;0"),0))</f>
      </c>
      <c r="G94" s="1">
        <f>IF($D94="","",IFERROR(SUMIFS(tblTransactions[Amount],tblTransactions[Transaction Type],"Expense",tblTransactions[Source Account],$D94,tblTransactions[Transaction Status],"Completed")+SUMIFS(tblTransactions[Amount],tblTransactions[Transaction Type],"Expense",tblTransactions[Source Account],$D94,tblTransactions[Transaction Status],"Reconciled")+SUMIFS(tblTransactions[Amount],tblTransactions[Transaction Type],"Transfer",tblTransactions[Source Account],$D94,tblTransactions[Transaction Status],"Completed")+SUMIFS(tblTransactions[Amount],tblTransactions[Transaction Type],"Transfer",tblTransactions[Source Account],$D94,tblTransactions[Transaction Status],"Reconciled")-SUMIFS(tblTransactions[Amount],tblTransactions[Transaction Type],"Adjustment",tblTransactions[Source Account],$D94,tblTransactions[Transaction Status],"Completed",tblTransactions[Amount],"&lt;0")-SUMIFS(tblTransactions[Amount],tblTransactions[Transaction Type],"Adjustment",tblTransactions[Source Account],$D94,tblTransactions[Transaction Status],"Reconciled",tblTransactions[Amount],"&lt;0"),0))</f>
      </c>
      <c r="H94" s="1">
        <f>IF($D94="","",$E94+$F94-$G94)</f>
      </c>
      <c r="I94" s="4">
        <f>IF($D94="","",IFERROR(1/(1/AGGREGATE(14,6,tblTransactions[Transaction Date]/(((tblTransactions[Source Account]=$D94)+((tblTransactions[Transaction Type]="Transfer")*(tblTransactions[Destination Type]="Account")*(tblTransactions[Destination Name]=$D94)))*((tblTransactions[Transaction Status]="Completed")+(tblTransactions[Transaction Status]="Reconciled"))),1)),""))</f>
      </c>
      <c r="J94" s="1">
        <f>IF($D94="","",IFERROR(INDEX(tblAccounts[Account Type],ROW()-1),""))</f>
      </c>
      <c r="K94" s="1">
        <f>IF($D94="","",IFERROR(INDEX(tblAccounts[Include in Dashboard],ROW()-1),""))</f>
      </c>
      <c r="L94" s="1">
        <f>IF($D94="","",IFERROR(INDEX(tblAccounts[Status],ROW()-1),""))</f>
      </c>
    </row>
    <row r="95">
      <c r="D95" s="1">
        <f>IFERROR(IF(INDEX(tblAccounts[Account Name],ROW()-1)="","",INDEX(tblAccounts[Account Name],ROW()-1)),"")</f>
      </c>
      <c r="E95" s="1">
        <f>IF($D95="","",IFERROR(INDEX(tblAccounts[Opening Balance],ROW()-1),0))</f>
      </c>
      <c r="F95" s="1">
        <f>IF($D95="","",IFERROR(SUMIFS(tblTransactions[Amount],tblTransactions[Transaction Type],"Income",tblTransactions[Source Account],$D95,tblTransactions[Transaction Status],"Completed")+SUMIFS(tblTransactions[Amount],tblTransactions[Transaction Type],"Income",tblTransactions[Source Account],$D95,tblTransactions[Transaction Status],"Reconciled")+SUMIFS(tblTransactions[Amount],tblTransactions[Transaction Type],"Transfer",tblTransactions[Destination Type],"Account",tblTransactions[Destination Name],$D95,tblTransactions[Transaction Status],"Completed")+SUMIFS(tblTransactions[Amount],tblTransactions[Transaction Type],"Transfer",tblTransactions[Destination Type],"Account",tblTransactions[Destination Name],$D95,tblTransactions[Transaction Status],"Reconciled")+SUMIFS(tblTransactions[Amount],tblTransactions[Transaction Type],"Adjustment",tblTransactions[Source Account],$D95,tblTransactions[Transaction Status],"Completed",tblTransactions[Amount],"&gt;0")+SUMIFS(tblTransactions[Amount],tblTransactions[Transaction Type],"Adjustment",tblTransactions[Source Account],$D95,tblTransactions[Transaction Status],"Reconciled",tblTransactions[Amount],"&gt;0"),0))</f>
      </c>
      <c r="G95" s="1">
        <f>IF($D95="","",IFERROR(SUMIFS(tblTransactions[Amount],tblTransactions[Transaction Type],"Expense",tblTransactions[Source Account],$D95,tblTransactions[Transaction Status],"Completed")+SUMIFS(tblTransactions[Amount],tblTransactions[Transaction Type],"Expense",tblTransactions[Source Account],$D95,tblTransactions[Transaction Status],"Reconciled")+SUMIFS(tblTransactions[Amount],tblTransactions[Transaction Type],"Transfer",tblTransactions[Source Account],$D95,tblTransactions[Transaction Status],"Completed")+SUMIFS(tblTransactions[Amount],tblTransactions[Transaction Type],"Transfer",tblTransactions[Source Account],$D95,tblTransactions[Transaction Status],"Reconciled")-SUMIFS(tblTransactions[Amount],tblTransactions[Transaction Type],"Adjustment",tblTransactions[Source Account],$D95,tblTransactions[Transaction Status],"Completed",tblTransactions[Amount],"&lt;0")-SUMIFS(tblTransactions[Amount],tblTransactions[Transaction Type],"Adjustment",tblTransactions[Source Account],$D95,tblTransactions[Transaction Status],"Reconciled",tblTransactions[Amount],"&lt;0"),0))</f>
      </c>
      <c r="H95" s="1">
        <f>IF($D95="","",$E95+$F95-$G95)</f>
      </c>
      <c r="I95" s="4">
        <f>IF($D95="","",IFERROR(1/(1/AGGREGATE(14,6,tblTransactions[Transaction Date]/(((tblTransactions[Source Account]=$D95)+((tblTransactions[Transaction Type]="Transfer")*(tblTransactions[Destination Type]="Account")*(tblTransactions[Destination Name]=$D95)))*((tblTransactions[Transaction Status]="Completed")+(tblTransactions[Transaction Status]="Reconciled"))),1)),""))</f>
      </c>
      <c r="J95" s="1">
        <f>IF($D95="","",IFERROR(INDEX(tblAccounts[Account Type],ROW()-1),""))</f>
      </c>
      <c r="K95" s="1">
        <f>IF($D95="","",IFERROR(INDEX(tblAccounts[Include in Dashboard],ROW()-1),""))</f>
      </c>
      <c r="L95" s="1">
        <f>IF($D95="","",IFERROR(INDEX(tblAccounts[Status],ROW()-1),""))</f>
      </c>
    </row>
    <row r="96">
      <c r="D96" s="1">
        <f>IFERROR(IF(INDEX(tblAccounts[Account Name],ROW()-1)="","",INDEX(tblAccounts[Account Name],ROW()-1)),"")</f>
      </c>
      <c r="E96" s="1">
        <f>IF($D96="","",IFERROR(INDEX(tblAccounts[Opening Balance],ROW()-1),0))</f>
      </c>
      <c r="F96" s="1">
        <f>IF($D96="","",IFERROR(SUMIFS(tblTransactions[Amount],tblTransactions[Transaction Type],"Income",tblTransactions[Source Account],$D96,tblTransactions[Transaction Status],"Completed")+SUMIFS(tblTransactions[Amount],tblTransactions[Transaction Type],"Income",tblTransactions[Source Account],$D96,tblTransactions[Transaction Status],"Reconciled")+SUMIFS(tblTransactions[Amount],tblTransactions[Transaction Type],"Transfer",tblTransactions[Destination Type],"Account",tblTransactions[Destination Name],$D96,tblTransactions[Transaction Status],"Completed")+SUMIFS(tblTransactions[Amount],tblTransactions[Transaction Type],"Transfer",tblTransactions[Destination Type],"Account",tblTransactions[Destination Name],$D96,tblTransactions[Transaction Status],"Reconciled")+SUMIFS(tblTransactions[Amount],tblTransactions[Transaction Type],"Adjustment",tblTransactions[Source Account],$D96,tblTransactions[Transaction Status],"Completed",tblTransactions[Amount],"&gt;0")+SUMIFS(tblTransactions[Amount],tblTransactions[Transaction Type],"Adjustment",tblTransactions[Source Account],$D96,tblTransactions[Transaction Status],"Reconciled",tblTransactions[Amount],"&gt;0"),0))</f>
      </c>
      <c r="G96" s="1">
        <f>IF($D96="","",IFERROR(SUMIFS(tblTransactions[Amount],tblTransactions[Transaction Type],"Expense",tblTransactions[Source Account],$D96,tblTransactions[Transaction Status],"Completed")+SUMIFS(tblTransactions[Amount],tblTransactions[Transaction Type],"Expense",tblTransactions[Source Account],$D96,tblTransactions[Transaction Status],"Reconciled")+SUMIFS(tblTransactions[Amount],tblTransactions[Transaction Type],"Transfer",tblTransactions[Source Account],$D96,tblTransactions[Transaction Status],"Completed")+SUMIFS(tblTransactions[Amount],tblTransactions[Transaction Type],"Transfer",tblTransactions[Source Account],$D96,tblTransactions[Transaction Status],"Reconciled")-SUMIFS(tblTransactions[Amount],tblTransactions[Transaction Type],"Adjustment",tblTransactions[Source Account],$D96,tblTransactions[Transaction Status],"Completed",tblTransactions[Amount],"&lt;0")-SUMIFS(tblTransactions[Amount],tblTransactions[Transaction Type],"Adjustment",tblTransactions[Source Account],$D96,tblTransactions[Transaction Status],"Reconciled",tblTransactions[Amount],"&lt;0"),0))</f>
      </c>
      <c r="H96" s="1">
        <f>IF($D96="","",$E96+$F96-$G96)</f>
      </c>
      <c r="I96" s="4">
        <f>IF($D96="","",IFERROR(1/(1/AGGREGATE(14,6,tblTransactions[Transaction Date]/(((tblTransactions[Source Account]=$D96)+((tblTransactions[Transaction Type]="Transfer")*(tblTransactions[Destination Type]="Account")*(tblTransactions[Destination Name]=$D96)))*((tblTransactions[Transaction Status]="Completed")+(tblTransactions[Transaction Status]="Reconciled"))),1)),""))</f>
      </c>
      <c r="J96" s="1">
        <f>IF($D96="","",IFERROR(INDEX(tblAccounts[Account Type],ROW()-1),""))</f>
      </c>
      <c r="K96" s="1">
        <f>IF($D96="","",IFERROR(INDEX(tblAccounts[Include in Dashboard],ROW()-1),""))</f>
      </c>
      <c r="L96" s="1">
        <f>IF($D96="","",IFERROR(INDEX(tblAccounts[Status],ROW()-1),""))</f>
      </c>
    </row>
    <row r="97">
      <c r="D97" s="1">
        <f>IFERROR(IF(INDEX(tblAccounts[Account Name],ROW()-1)="","",INDEX(tblAccounts[Account Name],ROW()-1)),"")</f>
      </c>
      <c r="E97" s="1">
        <f>IF($D97="","",IFERROR(INDEX(tblAccounts[Opening Balance],ROW()-1),0))</f>
      </c>
      <c r="F97" s="1">
        <f>IF($D97="","",IFERROR(SUMIFS(tblTransactions[Amount],tblTransactions[Transaction Type],"Income",tblTransactions[Source Account],$D97,tblTransactions[Transaction Status],"Completed")+SUMIFS(tblTransactions[Amount],tblTransactions[Transaction Type],"Income",tblTransactions[Source Account],$D97,tblTransactions[Transaction Status],"Reconciled")+SUMIFS(tblTransactions[Amount],tblTransactions[Transaction Type],"Transfer",tblTransactions[Destination Type],"Account",tblTransactions[Destination Name],$D97,tblTransactions[Transaction Status],"Completed")+SUMIFS(tblTransactions[Amount],tblTransactions[Transaction Type],"Transfer",tblTransactions[Destination Type],"Account",tblTransactions[Destination Name],$D97,tblTransactions[Transaction Status],"Reconciled")+SUMIFS(tblTransactions[Amount],tblTransactions[Transaction Type],"Adjustment",tblTransactions[Source Account],$D97,tblTransactions[Transaction Status],"Completed",tblTransactions[Amount],"&gt;0")+SUMIFS(tblTransactions[Amount],tblTransactions[Transaction Type],"Adjustment",tblTransactions[Source Account],$D97,tblTransactions[Transaction Status],"Reconciled",tblTransactions[Amount],"&gt;0"),0))</f>
      </c>
      <c r="G97" s="1">
        <f>IF($D97="","",IFERROR(SUMIFS(tblTransactions[Amount],tblTransactions[Transaction Type],"Expense",tblTransactions[Source Account],$D97,tblTransactions[Transaction Status],"Completed")+SUMIFS(tblTransactions[Amount],tblTransactions[Transaction Type],"Expense",tblTransactions[Source Account],$D97,tblTransactions[Transaction Status],"Reconciled")+SUMIFS(tblTransactions[Amount],tblTransactions[Transaction Type],"Transfer",tblTransactions[Source Account],$D97,tblTransactions[Transaction Status],"Completed")+SUMIFS(tblTransactions[Amount],tblTransactions[Transaction Type],"Transfer",tblTransactions[Source Account],$D97,tblTransactions[Transaction Status],"Reconciled")-SUMIFS(tblTransactions[Amount],tblTransactions[Transaction Type],"Adjustment",tblTransactions[Source Account],$D97,tblTransactions[Transaction Status],"Completed",tblTransactions[Amount],"&lt;0")-SUMIFS(tblTransactions[Amount],tblTransactions[Transaction Type],"Adjustment",tblTransactions[Source Account],$D97,tblTransactions[Transaction Status],"Reconciled",tblTransactions[Amount],"&lt;0"),0))</f>
      </c>
      <c r="H97" s="1">
        <f>IF($D97="","",$E97+$F97-$G97)</f>
      </c>
      <c r="I97" s="4">
        <f>IF($D97="","",IFERROR(1/(1/AGGREGATE(14,6,tblTransactions[Transaction Date]/(((tblTransactions[Source Account]=$D97)+((tblTransactions[Transaction Type]="Transfer")*(tblTransactions[Destination Type]="Account")*(tblTransactions[Destination Name]=$D97)))*((tblTransactions[Transaction Status]="Completed")+(tblTransactions[Transaction Status]="Reconciled"))),1)),""))</f>
      </c>
      <c r="J97" s="1">
        <f>IF($D97="","",IFERROR(INDEX(tblAccounts[Account Type],ROW()-1),""))</f>
      </c>
      <c r="K97" s="1">
        <f>IF($D97="","",IFERROR(INDEX(tblAccounts[Include in Dashboard],ROW()-1),""))</f>
      </c>
      <c r="L97" s="1">
        <f>IF($D97="","",IFERROR(INDEX(tblAccounts[Status],ROW()-1),""))</f>
      </c>
    </row>
    <row r="98">
      <c r="D98" s="1">
        <f>IFERROR(IF(INDEX(tblAccounts[Account Name],ROW()-1)="","",INDEX(tblAccounts[Account Name],ROW()-1)),"")</f>
      </c>
      <c r="E98" s="1">
        <f>IF($D98="","",IFERROR(INDEX(tblAccounts[Opening Balance],ROW()-1),0))</f>
      </c>
      <c r="F98" s="1">
        <f>IF($D98="","",IFERROR(SUMIFS(tblTransactions[Amount],tblTransactions[Transaction Type],"Income",tblTransactions[Source Account],$D98,tblTransactions[Transaction Status],"Completed")+SUMIFS(tblTransactions[Amount],tblTransactions[Transaction Type],"Income",tblTransactions[Source Account],$D98,tblTransactions[Transaction Status],"Reconciled")+SUMIFS(tblTransactions[Amount],tblTransactions[Transaction Type],"Transfer",tblTransactions[Destination Type],"Account",tblTransactions[Destination Name],$D98,tblTransactions[Transaction Status],"Completed")+SUMIFS(tblTransactions[Amount],tblTransactions[Transaction Type],"Transfer",tblTransactions[Destination Type],"Account",tblTransactions[Destination Name],$D98,tblTransactions[Transaction Status],"Reconciled")+SUMIFS(tblTransactions[Amount],tblTransactions[Transaction Type],"Adjustment",tblTransactions[Source Account],$D98,tblTransactions[Transaction Status],"Completed",tblTransactions[Amount],"&gt;0")+SUMIFS(tblTransactions[Amount],tblTransactions[Transaction Type],"Adjustment",tblTransactions[Source Account],$D98,tblTransactions[Transaction Status],"Reconciled",tblTransactions[Amount],"&gt;0"),0))</f>
      </c>
      <c r="G98" s="1">
        <f>IF($D98="","",IFERROR(SUMIFS(tblTransactions[Amount],tblTransactions[Transaction Type],"Expense",tblTransactions[Source Account],$D98,tblTransactions[Transaction Status],"Completed")+SUMIFS(tblTransactions[Amount],tblTransactions[Transaction Type],"Expense",tblTransactions[Source Account],$D98,tblTransactions[Transaction Status],"Reconciled")+SUMIFS(tblTransactions[Amount],tblTransactions[Transaction Type],"Transfer",tblTransactions[Source Account],$D98,tblTransactions[Transaction Status],"Completed")+SUMIFS(tblTransactions[Amount],tblTransactions[Transaction Type],"Transfer",tblTransactions[Source Account],$D98,tblTransactions[Transaction Status],"Reconciled")-SUMIFS(tblTransactions[Amount],tblTransactions[Transaction Type],"Adjustment",tblTransactions[Source Account],$D98,tblTransactions[Transaction Status],"Completed",tblTransactions[Amount],"&lt;0")-SUMIFS(tblTransactions[Amount],tblTransactions[Transaction Type],"Adjustment",tblTransactions[Source Account],$D98,tblTransactions[Transaction Status],"Reconciled",tblTransactions[Amount],"&lt;0"),0))</f>
      </c>
      <c r="H98" s="1">
        <f>IF($D98="","",$E98+$F98-$G98)</f>
      </c>
      <c r="I98" s="4">
        <f>IF($D98="","",IFERROR(1/(1/AGGREGATE(14,6,tblTransactions[Transaction Date]/(((tblTransactions[Source Account]=$D98)+((tblTransactions[Transaction Type]="Transfer")*(tblTransactions[Destination Type]="Account")*(tblTransactions[Destination Name]=$D98)))*((tblTransactions[Transaction Status]="Completed")+(tblTransactions[Transaction Status]="Reconciled"))),1)),""))</f>
      </c>
      <c r="J98" s="1">
        <f>IF($D98="","",IFERROR(INDEX(tblAccounts[Account Type],ROW()-1),""))</f>
      </c>
      <c r="K98" s="1">
        <f>IF($D98="","",IFERROR(INDEX(tblAccounts[Include in Dashboard],ROW()-1),""))</f>
      </c>
      <c r="L98" s="1">
        <f>IF($D98="","",IFERROR(INDEX(tblAccounts[Status],ROW()-1),""))</f>
      </c>
    </row>
    <row r="99">
      <c r="D99" s="1">
        <f>IFERROR(IF(INDEX(tblAccounts[Account Name],ROW()-1)="","",INDEX(tblAccounts[Account Name],ROW()-1)),"")</f>
      </c>
      <c r="E99" s="1">
        <f>IF($D99="","",IFERROR(INDEX(tblAccounts[Opening Balance],ROW()-1),0))</f>
      </c>
      <c r="F99" s="1">
        <f>IF($D99="","",IFERROR(SUMIFS(tblTransactions[Amount],tblTransactions[Transaction Type],"Income",tblTransactions[Source Account],$D99,tblTransactions[Transaction Status],"Completed")+SUMIFS(tblTransactions[Amount],tblTransactions[Transaction Type],"Income",tblTransactions[Source Account],$D99,tblTransactions[Transaction Status],"Reconciled")+SUMIFS(tblTransactions[Amount],tblTransactions[Transaction Type],"Transfer",tblTransactions[Destination Type],"Account",tblTransactions[Destination Name],$D99,tblTransactions[Transaction Status],"Completed")+SUMIFS(tblTransactions[Amount],tblTransactions[Transaction Type],"Transfer",tblTransactions[Destination Type],"Account",tblTransactions[Destination Name],$D99,tblTransactions[Transaction Status],"Reconciled")+SUMIFS(tblTransactions[Amount],tblTransactions[Transaction Type],"Adjustment",tblTransactions[Source Account],$D99,tblTransactions[Transaction Status],"Completed",tblTransactions[Amount],"&gt;0")+SUMIFS(tblTransactions[Amount],tblTransactions[Transaction Type],"Adjustment",tblTransactions[Source Account],$D99,tblTransactions[Transaction Status],"Reconciled",tblTransactions[Amount],"&gt;0"),0))</f>
      </c>
      <c r="G99" s="1">
        <f>IF($D99="","",IFERROR(SUMIFS(tblTransactions[Amount],tblTransactions[Transaction Type],"Expense",tblTransactions[Source Account],$D99,tblTransactions[Transaction Status],"Completed")+SUMIFS(tblTransactions[Amount],tblTransactions[Transaction Type],"Expense",tblTransactions[Source Account],$D99,tblTransactions[Transaction Status],"Reconciled")+SUMIFS(tblTransactions[Amount],tblTransactions[Transaction Type],"Transfer",tblTransactions[Source Account],$D99,tblTransactions[Transaction Status],"Completed")+SUMIFS(tblTransactions[Amount],tblTransactions[Transaction Type],"Transfer",tblTransactions[Source Account],$D99,tblTransactions[Transaction Status],"Reconciled")-SUMIFS(tblTransactions[Amount],tblTransactions[Transaction Type],"Adjustment",tblTransactions[Source Account],$D99,tblTransactions[Transaction Status],"Completed",tblTransactions[Amount],"&lt;0")-SUMIFS(tblTransactions[Amount],tblTransactions[Transaction Type],"Adjustment",tblTransactions[Source Account],$D99,tblTransactions[Transaction Status],"Reconciled",tblTransactions[Amount],"&lt;0"),0))</f>
      </c>
      <c r="H99" s="1">
        <f>IF($D99="","",$E99+$F99-$G99)</f>
      </c>
      <c r="I99" s="4">
        <f>IF($D99="","",IFERROR(1/(1/AGGREGATE(14,6,tblTransactions[Transaction Date]/(((tblTransactions[Source Account]=$D99)+((tblTransactions[Transaction Type]="Transfer")*(tblTransactions[Destination Type]="Account")*(tblTransactions[Destination Name]=$D99)))*((tblTransactions[Transaction Status]="Completed")+(tblTransactions[Transaction Status]="Reconciled"))),1)),""))</f>
      </c>
      <c r="J99" s="1">
        <f>IF($D99="","",IFERROR(INDEX(tblAccounts[Account Type],ROW()-1),""))</f>
      </c>
      <c r="K99" s="1">
        <f>IF($D99="","",IFERROR(INDEX(tblAccounts[Include in Dashboard],ROW()-1),""))</f>
      </c>
      <c r="L99" s="1">
        <f>IF($D99="","",IFERROR(INDEX(tblAccounts[Status],ROW()-1),""))</f>
      </c>
    </row>
    <row r="100">
      <c r="D100" s="1">
        <f>IFERROR(IF(INDEX(tblAccounts[Account Name],ROW()-1)="","",INDEX(tblAccounts[Account Name],ROW()-1)),"")</f>
      </c>
      <c r="E100" s="1">
        <f>IF($D100="","",IFERROR(INDEX(tblAccounts[Opening Balance],ROW()-1),0))</f>
      </c>
      <c r="F100" s="1">
        <f>IF($D100="","",IFERROR(SUMIFS(tblTransactions[Amount],tblTransactions[Transaction Type],"Income",tblTransactions[Source Account],$D100,tblTransactions[Transaction Status],"Completed")+SUMIFS(tblTransactions[Amount],tblTransactions[Transaction Type],"Income",tblTransactions[Source Account],$D100,tblTransactions[Transaction Status],"Reconciled")+SUMIFS(tblTransactions[Amount],tblTransactions[Transaction Type],"Transfer",tblTransactions[Destination Type],"Account",tblTransactions[Destination Name],$D100,tblTransactions[Transaction Status],"Completed")+SUMIFS(tblTransactions[Amount],tblTransactions[Transaction Type],"Transfer",tblTransactions[Destination Type],"Account",tblTransactions[Destination Name],$D100,tblTransactions[Transaction Status],"Reconciled")+SUMIFS(tblTransactions[Amount],tblTransactions[Transaction Type],"Adjustment",tblTransactions[Source Account],$D100,tblTransactions[Transaction Status],"Completed",tblTransactions[Amount],"&gt;0")+SUMIFS(tblTransactions[Amount],tblTransactions[Transaction Type],"Adjustment",tblTransactions[Source Account],$D100,tblTransactions[Transaction Status],"Reconciled",tblTransactions[Amount],"&gt;0"),0))</f>
      </c>
      <c r="G100" s="1">
        <f>IF($D100="","",IFERROR(SUMIFS(tblTransactions[Amount],tblTransactions[Transaction Type],"Expense",tblTransactions[Source Account],$D100,tblTransactions[Transaction Status],"Completed")+SUMIFS(tblTransactions[Amount],tblTransactions[Transaction Type],"Expense",tblTransactions[Source Account],$D100,tblTransactions[Transaction Status],"Reconciled")+SUMIFS(tblTransactions[Amount],tblTransactions[Transaction Type],"Transfer",tblTransactions[Source Account],$D100,tblTransactions[Transaction Status],"Completed")+SUMIFS(tblTransactions[Amount],tblTransactions[Transaction Type],"Transfer",tblTransactions[Source Account],$D100,tblTransactions[Transaction Status],"Reconciled")-SUMIFS(tblTransactions[Amount],tblTransactions[Transaction Type],"Adjustment",tblTransactions[Source Account],$D100,tblTransactions[Transaction Status],"Completed",tblTransactions[Amount],"&lt;0")-SUMIFS(tblTransactions[Amount],tblTransactions[Transaction Type],"Adjustment",tblTransactions[Source Account],$D100,tblTransactions[Transaction Status],"Reconciled",tblTransactions[Amount],"&lt;0"),0))</f>
      </c>
      <c r="H100" s="1">
        <f>IF($D100="","",$E100+$F100-$G100)</f>
      </c>
      <c r="I100" s="4">
        <f>IF($D100="","",IFERROR(1/(1/AGGREGATE(14,6,tblTransactions[Transaction Date]/(((tblTransactions[Source Account]=$D100)+((tblTransactions[Transaction Type]="Transfer")*(tblTransactions[Destination Type]="Account")*(tblTransactions[Destination Name]=$D100)))*((tblTransactions[Transaction Status]="Completed")+(tblTransactions[Transaction Status]="Reconciled"))),1)),""))</f>
      </c>
      <c r="J100" s="1">
        <f>IF($D100="","",IFERROR(INDEX(tblAccounts[Account Type],ROW()-1),""))</f>
      </c>
      <c r="K100" s="1">
        <f>IF($D100="","",IFERROR(INDEX(tblAccounts[Include in Dashboard],ROW()-1),""))</f>
      </c>
      <c r="L100" s="1">
        <f>IF($D100="","",IFERROR(INDEX(tblAccounts[Status],ROW()-1),""))</f>
      </c>
    </row>
    <row r="101">
      <c r="D101" s="1">
        <f>IFERROR(IF(INDEX(tblAccounts[Account Name],ROW()-1)="","",INDEX(tblAccounts[Account Name],ROW()-1)),"")</f>
      </c>
      <c r="E101" s="1">
        <f>IF($D101="","",IFERROR(INDEX(tblAccounts[Opening Balance],ROW()-1),0))</f>
      </c>
      <c r="F101" s="1">
        <f>IF($D101="","",IFERROR(SUMIFS(tblTransactions[Amount],tblTransactions[Transaction Type],"Income",tblTransactions[Source Account],$D101,tblTransactions[Transaction Status],"Completed")+SUMIFS(tblTransactions[Amount],tblTransactions[Transaction Type],"Income",tblTransactions[Source Account],$D101,tblTransactions[Transaction Status],"Reconciled")+SUMIFS(tblTransactions[Amount],tblTransactions[Transaction Type],"Transfer",tblTransactions[Destination Type],"Account",tblTransactions[Destination Name],$D101,tblTransactions[Transaction Status],"Completed")+SUMIFS(tblTransactions[Amount],tblTransactions[Transaction Type],"Transfer",tblTransactions[Destination Type],"Account",tblTransactions[Destination Name],$D101,tblTransactions[Transaction Status],"Reconciled")+SUMIFS(tblTransactions[Amount],tblTransactions[Transaction Type],"Adjustment",tblTransactions[Source Account],$D101,tblTransactions[Transaction Status],"Completed",tblTransactions[Amount],"&gt;0")+SUMIFS(tblTransactions[Amount],tblTransactions[Transaction Type],"Adjustment",tblTransactions[Source Account],$D101,tblTransactions[Transaction Status],"Reconciled",tblTransactions[Amount],"&gt;0"),0))</f>
      </c>
      <c r="G101" s="1">
        <f>IF($D101="","",IFERROR(SUMIFS(tblTransactions[Amount],tblTransactions[Transaction Type],"Expense",tblTransactions[Source Account],$D101,tblTransactions[Transaction Status],"Completed")+SUMIFS(tblTransactions[Amount],tblTransactions[Transaction Type],"Expense",tblTransactions[Source Account],$D101,tblTransactions[Transaction Status],"Reconciled")+SUMIFS(tblTransactions[Amount],tblTransactions[Transaction Type],"Transfer",tblTransactions[Source Account],$D101,tblTransactions[Transaction Status],"Completed")+SUMIFS(tblTransactions[Amount],tblTransactions[Transaction Type],"Transfer",tblTransactions[Source Account],$D101,tblTransactions[Transaction Status],"Reconciled")-SUMIFS(tblTransactions[Amount],tblTransactions[Transaction Type],"Adjustment",tblTransactions[Source Account],$D101,tblTransactions[Transaction Status],"Completed",tblTransactions[Amount],"&lt;0")-SUMIFS(tblTransactions[Amount],tblTransactions[Transaction Type],"Adjustment",tblTransactions[Source Account],$D101,tblTransactions[Transaction Status],"Reconciled",tblTransactions[Amount],"&lt;0"),0))</f>
      </c>
      <c r="H101" s="1">
        <f>IF($D101="","",$E101+$F101-$G101)</f>
      </c>
      <c r="I101" s="4">
        <f>IF($D101="","",IFERROR(1/(1/AGGREGATE(14,6,tblTransactions[Transaction Date]/(((tblTransactions[Source Account]=$D101)+((tblTransactions[Transaction Type]="Transfer")*(tblTransactions[Destination Type]="Account")*(tblTransactions[Destination Name]=$D101)))*((tblTransactions[Transaction Status]="Completed")+(tblTransactions[Transaction Status]="Reconciled"))),1)),""))</f>
      </c>
      <c r="J101" s="1">
        <f>IF($D101="","",IFERROR(INDEX(tblAccounts[Account Type],ROW()-1),""))</f>
      </c>
      <c r="K101" s="1">
        <f>IF($D101="","",IFERROR(INDEX(tblAccounts[Include in Dashboard],ROW()-1),""))</f>
      </c>
      <c r="L101" s="1">
        <f>IF($D101="","",IFERROR(INDEX(tblAccounts[Status],ROW()-1),""))</f>
      </c>
    </row>
    <row r="102">
      <c r="D102" s="1">
        <f>IFERROR(IF(INDEX(tblAccounts[Account Name],ROW()-1)="","",INDEX(tblAccounts[Account Name],ROW()-1)),"")</f>
      </c>
      <c r="E102" s="1">
        <f>IF($D102="","",IFERROR(INDEX(tblAccounts[Opening Balance],ROW()-1),0))</f>
      </c>
      <c r="F102" s="1">
        <f>IF($D102="","",IFERROR(SUMIFS(tblTransactions[Amount],tblTransactions[Transaction Type],"Income",tblTransactions[Source Account],$D102,tblTransactions[Transaction Status],"Completed")+SUMIFS(tblTransactions[Amount],tblTransactions[Transaction Type],"Income",tblTransactions[Source Account],$D102,tblTransactions[Transaction Status],"Reconciled")+SUMIFS(tblTransactions[Amount],tblTransactions[Transaction Type],"Transfer",tblTransactions[Destination Type],"Account",tblTransactions[Destination Name],$D102,tblTransactions[Transaction Status],"Completed")+SUMIFS(tblTransactions[Amount],tblTransactions[Transaction Type],"Transfer",tblTransactions[Destination Type],"Account",tblTransactions[Destination Name],$D102,tblTransactions[Transaction Status],"Reconciled")+SUMIFS(tblTransactions[Amount],tblTransactions[Transaction Type],"Adjustment",tblTransactions[Source Account],$D102,tblTransactions[Transaction Status],"Completed",tblTransactions[Amount],"&gt;0")+SUMIFS(tblTransactions[Amount],tblTransactions[Transaction Type],"Adjustment",tblTransactions[Source Account],$D102,tblTransactions[Transaction Status],"Reconciled",tblTransactions[Amount],"&gt;0"),0))</f>
      </c>
      <c r="G102" s="1">
        <f>IF($D102="","",IFERROR(SUMIFS(tblTransactions[Amount],tblTransactions[Transaction Type],"Expense",tblTransactions[Source Account],$D102,tblTransactions[Transaction Status],"Completed")+SUMIFS(tblTransactions[Amount],tblTransactions[Transaction Type],"Expense",tblTransactions[Source Account],$D102,tblTransactions[Transaction Status],"Reconciled")+SUMIFS(tblTransactions[Amount],tblTransactions[Transaction Type],"Transfer",tblTransactions[Source Account],$D102,tblTransactions[Transaction Status],"Completed")+SUMIFS(tblTransactions[Amount],tblTransactions[Transaction Type],"Transfer",tblTransactions[Source Account],$D102,tblTransactions[Transaction Status],"Reconciled")-SUMIFS(tblTransactions[Amount],tblTransactions[Transaction Type],"Adjustment",tblTransactions[Source Account],$D102,tblTransactions[Transaction Status],"Completed",tblTransactions[Amount],"&lt;0")-SUMIFS(tblTransactions[Amount],tblTransactions[Transaction Type],"Adjustment",tblTransactions[Source Account],$D102,tblTransactions[Transaction Status],"Reconciled",tblTransactions[Amount],"&lt;0"),0))</f>
      </c>
      <c r="H102" s="1">
        <f>IF($D102="","",$E102+$F102-$G102)</f>
      </c>
      <c r="I102" s="4">
        <f>IF($D102="","",IFERROR(1/(1/AGGREGATE(14,6,tblTransactions[Transaction Date]/(((tblTransactions[Source Account]=$D102)+((tblTransactions[Transaction Type]="Transfer")*(tblTransactions[Destination Type]="Account")*(tblTransactions[Destination Name]=$D102)))*((tblTransactions[Transaction Status]="Completed")+(tblTransactions[Transaction Status]="Reconciled"))),1)),""))</f>
      </c>
      <c r="J102" s="1">
        <f>IF($D102="","",IFERROR(INDEX(tblAccounts[Account Type],ROW()-1),""))</f>
      </c>
      <c r="K102" s="1">
        <f>IF($D102="","",IFERROR(INDEX(tblAccounts[Include in Dashboard],ROW()-1),""))</f>
      </c>
      <c r="L102" s="1">
        <f>IF($D102="","",IFERROR(INDEX(tblAccounts[Status],ROW()-1),""))</f>
      </c>
    </row>
    <row r="103">
      <c r="D103" s="1">
        <f>IFERROR(IF(INDEX(tblAccounts[Account Name],ROW()-1)="","",INDEX(tblAccounts[Account Name],ROW()-1)),"")</f>
      </c>
      <c r="E103" s="1">
        <f>IF($D103="","",IFERROR(INDEX(tblAccounts[Opening Balance],ROW()-1),0))</f>
      </c>
      <c r="F103" s="1">
        <f>IF($D103="","",IFERROR(SUMIFS(tblTransactions[Amount],tblTransactions[Transaction Type],"Income",tblTransactions[Source Account],$D103,tblTransactions[Transaction Status],"Completed")+SUMIFS(tblTransactions[Amount],tblTransactions[Transaction Type],"Income",tblTransactions[Source Account],$D103,tblTransactions[Transaction Status],"Reconciled")+SUMIFS(tblTransactions[Amount],tblTransactions[Transaction Type],"Transfer",tblTransactions[Destination Type],"Account",tblTransactions[Destination Name],$D103,tblTransactions[Transaction Status],"Completed")+SUMIFS(tblTransactions[Amount],tblTransactions[Transaction Type],"Transfer",tblTransactions[Destination Type],"Account",tblTransactions[Destination Name],$D103,tblTransactions[Transaction Status],"Reconciled")+SUMIFS(tblTransactions[Amount],tblTransactions[Transaction Type],"Adjustment",tblTransactions[Source Account],$D103,tblTransactions[Transaction Status],"Completed",tblTransactions[Amount],"&gt;0")+SUMIFS(tblTransactions[Amount],tblTransactions[Transaction Type],"Adjustment",tblTransactions[Source Account],$D103,tblTransactions[Transaction Status],"Reconciled",tblTransactions[Amount],"&gt;0"),0))</f>
      </c>
      <c r="G103" s="1">
        <f>IF($D103="","",IFERROR(SUMIFS(tblTransactions[Amount],tblTransactions[Transaction Type],"Expense",tblTransactions[Source Account],$D103,tblTransactions[Transaction Status],"Completed")+SUMIFS(tblTransactions[Amount],tblTransactions[Transaction Type],"Expense",tblTransactions[Source Account],$D103,tblTransactions[Transaction Status],"Reconciled")+SUMIFS(tblTransactions[Amount],tblTransactions[Transaction Type],"Transfer",tblTransactions[Source Account],$D103,tblTransactions[Transaction Status],"Completed")+SUMIFS(tblTransactions[Amount],tblTransactions[Transaction Type],"Transfer",tblTransactions[Source Account],$D103,tblTransactions[Transaction Status],"Reconciled")-SUMIFS(tblTransactions[Amount],tblTransactions[Transaction Type],"Adjustment",tblTransactions[Source Account],$D103,tblTransactions[Transaction Status],"Completed",tblTransactions[Amount],"&lt;0")-SUMIFS(tblTransactions[Amount],tblTransactions[Transaction Type],"Adjustment",tblTransactions[Source Account],$D103,tblTransactions[Transaction Status],"Reconciled",tblTransactions[Amount],"&lt;0"),0))</f>
      </c>
      <c r="H103" s="1">
        <f>IF($D103="","",$E103+$F103-$G103)</f>
      </c>
      <c r="I103" s="4">
        <f>IF($D103="","",IFERROR(1/(1/AGGREGATE(14,6,tblTransactions[Transaction Date]/(((tblTransactions[Source Account]=$D103)+((tblTransactions[Transaction Type]="Transfer")*(tblTransactions[Destination Type]="Account")*(tblTransactions[Destination Name]=$D103)))*((tblTransactions[Transaction Status]="Completed")+(tblTransactions[Transaction Status]="Reconciled"))),1)),""))</f>
      </c>
      <c r="J103" s="1">
        <f>IF($D103="","",IFERROR(INDEX(tblAccounts[Account Type],ROW()-1),""))</f>
      </c>
      <c r="K103" s="1">
        <f>IF($D103="","",IFERROR(INDEX(tblAccounts[Include in Dashboard],ROW()-1),""))</f>
      </c>
      <c r="L103" s="1">
        <f>IF($D103="","",IFERROR(INDEX(tblAccounts[Status],ROW()-1),""))</f>
      </c>
    </row>
    <row r="104">
      <c r="D104" s="1">
        <f>IFERROR(IF(INDEX(tblAccounts[Account Name],ROW()-1)="","",INDEX(tblAccounts[Account Name],ROW()-1)),"")</f>
      </c>
      <c r="E104" s="1">
        <f>IF($D104="","",IFERROR(INDEX(tblAccounts[Opening Balance],ROW()-1),0))</f>
      </c>
      <c r="F104" s="1">
        <f>IF($D104="","",IFERROR(SUMIFS(tblTransactions[Amount],tblTransactions[Transaction Type],"Income",tblTransactions[Source Account],$D104,tblTransactions[Transaction Status],"Completed")+SUMIFS(tblTransactions[Amount],tblTransactions[Transaction Type],"Income",tblTransactions[Source Account],$D104,tblTransactions[Transaction Status],"Reconciled")+SUMIFS(tblTransactions[Amount],tblTransactions[Transaction Type],"Transfer",tblTransactions[Destination Type],"Account",tblTransactions[Destination Name],$D104,tblTransactions[Transaction Status],"Completed")+SUMIFS(tblTransactions[Amount],tblTransactions[Transaction Type],"Transfer",tblTransactions[Destination Type],"Account",tblTransactions[Destination Name],$D104,tblTransactions[Transaction Status],"Reconciled")+SUMIFS(tblTransactions[Amount],tblTransactions[Transaction Type],"Adjustment",tblTransactions[Source Account],$D104,tblTransactions[Transaction Status],"Completed",tblTransactions[Amount],"&gt;0")+SUMIFS(tblTransactions[Amount],tblTransactions[Transaction Type],"Adjustment",tblTransactions[Source Account],$D104,tblTransactions[Transaction Status],"Reconciled",tblTransactions[Amount],"&gt;0"),0))</f>
      </c>
      <c r="G104" s="1">
        <f>IF($D104="","",IFERROR(SUMIFS(tblTransactions[Amount],tblTransactions[Transaction Type],"Expense",tblTransactions[Source Account],$D104,tblTransactions[Transaction Status],"Completed")+SUMIFS(tblTransactions[Amount],tblTransactions[Transaction Type],"Expense",tblTransactions[Source Account],$D104,tblTransactions[Transaction Status],"Reconciled")+SUMIFS(tblTransactions[Amount],tblTransactions[Transaction Type],"Transfer",tblTransactions[Source Account],$D104,tblTransactions[Transaction Status],"Completed")+SUMIFS(tblTransactions[Amount],tblTransactions[Transaction Type],"Transfer",tblTransactions[Source Account],$D104,tblTransactions[Transaction Status],"Reconciled")-SUMIFS(tblTransactions[Amount],tblTransactions[Transaction Type],"Adjustment",tblTransactions[Source Account],$D104,tblTransactions[Transaction Status],"Completed",tblTransactions[Amount],"&lt;0")-SUMIFS(tblTransactions[Amount],tblTransactions[Transaction Type],"Adjustment",tblTransactions[Source Account],$D104,tblTransactions[Transaction Status],"Reconciled",tblTransactions[Amount],"&lt;0"),0))</f>
      </c>
      <c r="H104" s="1">
        <f>IF($D104="","",$E104+$F104-$G104)</f>
      </c>
      <c r="I104" s="4">
        <f>IF($D104="","",IFERROR(1/(1/AGGREGATE(14,6,tblTransactions[Transaction Date]/(((tblTransactions[Source Account]=$D104)+((tblTransactions[Transaction Type]="Transfer")*(tblTransactions[Destination Type]="Account")*(tblTransactions[Destination Name]=$D104)))*((tblTransactions[Transaction Status]="Completed")+(tblTransactions[Transaction Status]="Reconciled"))),1)),""))</f>
      </c>
      <c r="J104" s="1">
        <f>IF($D104="","",IFERROR(INDEX(tblAccounts[Account Type],ROW()-1),""))</f>
      </c>
      <c r="K104" s="1">
        <f>IF($D104="","",IFERROR(INDEX(tblAccounts[Include in Dashboard],ROW()-1),""))</f>
      </c>
      <c r="L104" s="1">
        <f>IF($D104="","",IFERROR(INDEX(tblAccounts[Status],ROW()-1),""))</f>
      </c>
    </row>
    <row r="105">
      <c r="D105" s="1">
        <f>IFERROR(IF(INDEX(tblAccounts[Account Name],ROW()-1)="","",INDEX(tblAccounts[Account Name],ROW()-1)),"")</f>
      </c>
      <c r="E105" s="1">
        <f>IF($D105="","",IFERROR(INDEX(tblAccounts[Opening Balance],ROW()-1),0))</f>
      </c>
      <c r="F105" s="1">
        <f>IF($D105="","",IFERROR(SUMIFS(tblTransactions[Amount],tblTransactions[Transaction Type],"Income",tblTransactions[Source Account],$D105,tblTransactions[Transaction Status],"Completed")+SUMIFS(tblTransactions[Amount],tblTransactions[Transaction Type],"Income",tblTransactions[Source Account],$D105,tblTransactions[Transaction Status],"Reconciled")+SUMIFS(tblTransactions[Amount],tblTransactions[Transaction Type],"Transfer",tblTransactions[Destination Type],"Account",tblTransactions[Destination Name],$D105,tblTransactions[Transaction Status],"Completed")+SUMIFS(tblTransactions[Amount],tblTransactions[Transaction Type],"Transfer",tblTransactions[Destination Type],"Account",tblTransactions[Destination Name],$D105,tblTransactions[Transaction Status],"Reconciled")+SUMIFS(tblTransactions[Amount],tblTransactions[Transaction Type],"Adjustment",tblTransactions[Source Account],$D105,tblTransactions[Transaction Status],"Completed",tblTransactions[Amount],"&gt;0")+SUMIFS(tblTransactions[Amount],tblTransactions[Transaction Type],"Adjustment",tblTransactions[Source Account],$D105,tblTransactions[Transaction Status],"Reconciled",tblTransactions[Amount],"&gt;0"),0))</f>
      </c>
      <c r="G105" s="1">
        <f>IF($D105="","",IFERROR(SUMIFS(tblTransactions[Amount],tblTransactions[Transaction Type],"Expense",tblTransactions[Source Account],$D105,tblTransactions[Transaction Status],"Completed")+SUMIFS(tblTransactions[Amount],tblTransactions[Transaction Type],"Expense",tblTransactions[Source Account],$D105,tblTransactions[Transaction Status],"Reconciled")+SUMIFS(tblTransactions[Amount],tblTransactions[Transaction Type],"Transfer",tblTransactions[Source Account],$D105,tblTransactions[Transaction Status],"Completed")+SUMIFS(tblTransactions[Amount],tblTransactions[Transaction Type],"Transfer",tblTransactions[Source Account],$D105,tblTransactions[Transaction Status],"Reconciled")-SUMIFS(tblTransactions[Amount],tblTransactions[Transaction Type],"Adjustment",tblTransactions[Source Account],$D105,tblTransactions[Transaction Status],"Completed",tblTransactions[Amount],"&lt;0")-SUMIFS(tblTransactions[Amount],tblTransactions[Transaction Type],"Adjustment",tblTransactions[Source Account],$D105,tblTransactions[Transaction Status],"Reconciled",tblTransactions[Amount],"&lt;0"),0))</f>
      </c>
      <c r="H105" s="1">
        <f>IF($D105="","",$E105+$F105-$G105)</f>
      </c>
      <c r="I105" s="4">
        <f>IF($D105="","",IFERROR(1/(1/AGGREGATE(14,6,tblTransactions[Transaction Date]/(((tblTransactions[Source Account]=$D105)+((tblTransactions[Transaction Type]="Transfer")*(tblTransactions[Destination Type]="Account")*(tblTransactions[Destination Name]=$D105)))*((tblTransactions[Transaction Status]="Completed")+(tblTransactions[Transaction Status]="Reconciled"))),1)),""))</f>
      </c>
      <c r="J105" s="1">
        <f>IF($D105="","",IFERROR(INDEX(tblAccounts[Account Type],ROW()-1),""))</f>
      </c>
      <c r="K105" s="1">
        <f>IF($D105="","",IFERROR(INDEX(tblAccounts[Include in Dashboard],ROW()-1),""))</f>
      </c>
      <c r="L105" s="1">
        <f>IF($D105="","",IFERROR(INDEX(tblAccounts[Status],ROW()-1),""))</f>
      </c>
    </row>
    <row r="106">
      <c r="D106" s="1">
        <f>IFERROR(IF(INDEX(tblAccounts[Account Name],ROW()-1)="","",INDEX(tblAccounts[Account Name],ROW()-1)),"")</f>
      </c>
      <c r="E106" s="1">
        <f>IF($D106="","",IFERROR(INDEX(tblAccounts[Opening Balance],ROW()-1),0))</f>
      </c>
      <c r="F106" s="1">
        <f>IF($D106="","",IFERROR(SUMIFS(tblTransactions[Amount],tblTransactions[Transaction Type],"Income",tblTransactions[Source Account],$D106,tblTransactions[Transaction Status],"Completed")+SUMIFS(tblTransactions[Amount],tblTransactions[Transaction Type],"Income",tblTransactions[Source Account],$D106,tblTransactions[Transaction Status],"Reconciled")+SUMIFS(tblTransactions[Amount],tblTransactions[Transaction Type],"Transfer",tblTransactions[Destination Type],"Account",tblTransactions[Destination Name],$D106,tblTransactions[Transaction Status],"Completed")+SUMIFS(tblTransactions[Amount],tblTransactions[Transaction Type],"Transfer",tblTransactions[Destination Type],"Account",tblTransactions[Destination Name],$D106,tblTransactions[Transaction Status],"Reconciled")+SUMIFS(tblTransactions[Amount],tblTransactions[Transaction Type],"Adjustment",tblTransactions[Source Account],$D106,tblTransactions[Transaction Status],"Completed",tblTransactions[Amount],"&gt;0")+SUMIFS(tblTransactions[Amount],tblTransactions[Transaction Type],"Adjustment",tblTransactions[Source Account],$D106,tblTransactions[Transaction Status],"Reconciled",tblTransactions[Amount],"&gt;0"),0))</f>
      </c>
      <c r="G106" s="1">
        <f>IF($D106="","",IFERROR(SUMIFS(tblTransactions[Amount],tblTransactions[Transaction Type],"Expense",tblTransactions[Source Account],$D106,tblTransactions[Transaction Status],"Completed")+SUMIFS(tblTransactions[Amount],tblTransactions[Transaction Type],"Expense",tblTransactions[Source Account],$D106,tblTransactions[Transaction Status],"Reconciled")+SUMIFS(tblTransactions[Amount],tblTransactions[Transaction Type],"Transfer",tblTransactions[Source Account],$D106,tblTransactions[Transaction Status],"Completed")+SUMIFS(tblTransactions[Amount],tblTransactions[Transaction Type],"Transfer",tblTransactions[Source Account],$D106,tblTransactions[Transaction Status],"Reconciled")-SUMIFS(tblTransactions[Amount],tblTransactions[Transaction Type],"Adjustment",tblTransactions[Source Account],$D106,tblTransactions[Transaction Status],"Completed",tblTransactions[Amount],"&lt;0")-SUMIFS(tblTransactions[Amount],tblTransactions[Transaction Type],"Adjustment",tblTransactions[Source Account],$D106,tblTransactions[Transaction Status],"Reconciled",tblTransactions[Amount],"&lt;0"),0))</f>
      </c>
      <c r="H106" s="1">
        <f>IF($D106="","",$E106+$F106-$G106)</f>
      </c>
      <c r="I106" s="4">
        <f>IF($D106="","",IFERROR(1/(1/AGGREGATE(14,6,tblTransactions[Transaction Date]/(((tblTransactions[Source Account]=$D106)+((tblTransactions[Transaction Type]="Transfer")*(tblTransactions[Destination Type]="Account")*(tblTransactions[Destination Name]=$D106)))*((tblTransactions[Transaction Status]="Completed")+(tblTransactions[Transaction Status]="Reconciled"))),1)),""))</f>
      </c>
      <c r="J106" s="1">
        <f>IF($D106="","",IFERROR(INDEX(tblAccounts[Account Type],ROW()-1),""))</f>
      </c>
      <c r="K106" s="1">
        <f>IF($D106="","",IFERROR(INDEX(tblAccounts[Include in Dashboard],ROW()-1),""))</f>
      </c>
      <c r="L106" s="1">
        <f>IF($D106="","",IFERROR(INDEX(tblAccounts[Status],ROW()-1),""))</f>
      </c>
    </row>
    <row r="107">
      <c r="D107" s="1">
        <f>IFERROR(IF(INDEX(tblAccounts[Account Name],ROW()-1)="","",INDEX(tblAccounts[Account Name],ROW()-1)),"")</f>
      </c>
      <c r="E107" s="1">
        <f>IF($D107="","",IFERROR(INDEX(tblAccounts[Opening Balance],ROW()-1),0))</f>
      </c>
      <c r="F107" s="1">
        <f>IF($D107="","",IFERROR(SUMIFS(tblTransactions[Amount],tblTransactions[Transaction Type],"Income",tblTransactions[Source Account],$D107,tblTransactions[Transaction Status],"Completed")+SUMIFS(tblTransactions[Amount],tblTransactions[Transaction Type],"Income",tblTransactions[Source Account],$D107,tblTransactions[Transaction Status],"Reconciled")+SUMIFS(tblTransactions[Amount],tblTransactions[Transaction Type],"Transfer",tblTransactions[Destination Type],"Account",tblTransactions[Destination Name],$D107,tblTransactions[Transaction Status],"Completed")+SUMIFS(tblTransactions[Amount],tblTransactions[Transaction Type],"Transfer",tblTransactions[Destination Type],"Account",tblTransactions[Destination Name],$D107,tblTransactions[Transaction Status],"Reconciled")+SUMIFS(tblTransactions[Amount],tblTransactions[Transaction Type],"Adjustment",tblTransactions[Source Account],$D107,tblTransactions[Transaction Status],"Completed",tblTransactions[Amount],"&gt;0")+SUMIFS(tblTransactions[Amount],tblTransactions[Transaction Type],"Adjustment",tblTransactions[Source Account],$D107,tblTransactions[Transaction Status],"Reconciled",tblTransactions[Amount],"&gt;0"),0))</f>
      </c>
      <c r="G107" s="1">
        <f>IF($D107="","",IFERROR(SUMIFS(tblTransactions[Amount],tblTransactions[Transaction Type],"Expense",tblTransactions[Source Account],$D107,tblTransactions[Transaction Status],"Completed")+SUMIFS(tblTransactions[Amount],tblTransactions[Transaction Type],"Expense",tblTransactions[Source Account],$D107,tblTransactions[Transaction Status],"Reconciled")+SUMIFS(tblTransactions[Amount],tblTransactions[Transaction Type],"Transfer",tblTransactions[Source Account],$D107,tblTransactions[Transaction Status],"Completed")+SUMIFS(tblTransactions[Amount],tblTransactions[Transaction Type],"Transfer",tblTransactions[Source Account],$D107,tblTransactions[Transaction Status],"Reconciled")-SUMIFS(tblTransactions[Amount],tblTransactions[Transaction Type],"Adjustment",tblTransactions[Source Account],$D107,tblTransactions[Transaction Status],"Completed",tblTransactions[Amount],"&lt;0")-SUMIFS(tblTransactions[Amount],tblTransactions[Transaction Type],"Adjustment",tblTransactions[Source Account],$D107,tblTransactions[Transaction Status],"Reconciled",tblTransactions[Amount],"&lt;0"),0))</f>
      </c>
      <c r="H107" s="1">
        <f>IF($D107="","",$E107+$F107-$G107)</f>
      </c>
      <c r="I107" s="4">
        <f>IF($D107="","",IFERROR(1/(1/AGGREGATE(14,6,tblTransactions[Transaction Date]/(((tblTransactions[Source Account]=$D107)+((tblTransactions[Transaction Type]="Transfer")*(tblTransactions[Destination Type]="Account")*(tblTransactions[Destination Name]=$D107)))*((tblTransactions[Transaction Status]="Completed")+(tblTransactions[Transaction Status]="Reconciled"))),1)),""))</f>
      </c>
      <c r="J107" s="1">
        <f>IF($D107="","",IFERROR(INDEX(tblAccounts[Account Type],ROW()-1),""))</f>
      </c>
      <c r="K107" s="1">
        <f>IF($D107="","",IFERROR(INDEX(tblAccounts[Include in Dashboard],ROW()-1),""))</f>
      </c>
      <c r="L107" s="1">
        <f>IF($D107="","",IFERROR(INDEX(tblAccounts[Status],ROW()-1),""))</f>
      </c>
    </row>
    <row r="108">
      <c r="D108" s="1">
        <f>IFERROR(IF(INDEX(tblAccounts[Account Name],ROW()-1)="","",INDEX(tblAccounts[Account Name],ROW()-1)),"")</f>
      </c>
      <c r="E108" s="1">
        <f>IF($D108="","",IFERROR(INDEX(tblAccounts[Opening Balance],ROW()-1),0))</f>
      </c>
      <c r="F108" s="1">
        <f>IF($D108="","",IFERROR(SUMIFS(tblTransactions[Amount],tblTransactions[Transaction Type],"Income",tblTransactions[Source Account],$D108,tblTransactions[Transaction Status],"Completed")+SUMIFS(tblTransactions[Amount],tblTransactions[Transaction Type],"Income",tblTransactions[Source Account],$D108,tblTransactions[Transaction Status],"Reconciled")+SUMIFS(tblTransactions[Amount],tblTransactions[Transaction Type],"Transfer",tblTransactions[Destination Type],"Account",tblTransactions[Destination Name],$D108,tblTransactions[Transaction Status],"Completed")+SUMIFS(tblTransactions[Amount],tblTransactions[Transaction Type],"Transfer",tblTransactions[Destination Type],"Account",tblTransactions[Destination Name],$D108,tblTransactions[Transaction Status],"Reconciled")+SUMIFS(tblTransactions[Amount],tblTransactions[Transaction Type],"Adjustment",tblTransactions[Source Account],$D108,tblTransactions[Transaction Status],"Completed",tblTransactions[Amount],"&gt;0")+SUMIFS(tblTransactions[Amount],tblTransactions[Transaction Type],"Adjustment",tblTransactions[Source Account],$D108,tblTransactions[Transaction Status],"Reconciled",tblTransactions[Amount],"&gt;0"),0))</f>
      </c>
      <c r="G108" s="1">
        <f>IF($D108="","",IFERROR(SUMIFS(tblTransactions[Amount],tblTransactions[Transaction Type],"Expense",tblTransactions[Source Account],$D108,tblTransactions[Transaction Status],"Completed")+SUMIFS(tblTransactions[Amount],tblTransactions[Transaction Type],"Expense",tblTransactions[Source Account],$D108,tblTransactions[Transaction Status],"Reconciled")+SUMIFS(tblTransactions[Amount],tblTransactions[Transaction Type],"Transfer",tblTransactions[Source Account],$D108,tblTransactions[Transaction Status],"Completed")+SUMIFS(tblTransactions[Amount],tblTransactions[Transaction Type],"Transfer",tblTransactions[Source Account],$D108,tblTransactions[Transaction Status],"Reconciled")-SUMIFS(tblTransactions[Amount],tblTransactions[Transaction Type],"Adjustment",tblTransactions[Source Account],$D108,tblTransactions[Transaction Status],"Completed",tblTransactions[Amount],"&lt;0")-SUMIFS(tblTransactions[Amount],tblTransactions[Transaction Type],"Adjustment",tblTransactions[Source Account],$D108,tblTransactions[Transaction Status],"Reconciled",tblTransactions[Amount],"&lt;0"),0))</f>
      </c>
      <c r="H108" s="1">
        <f>IF($D108="","",$E108+$F108-$G108)</f>
      </c>
      <c r="I108" s="4">
        <f>IF($D108="","",IFERROR(1/(1/AGGREGATE(14,6,tblTransactions[Transaction Date]/(((tblTransactions[Source Account]=$D108)+((tblTransactions[Transaction Type]="Transfer")*(tblTransactions[Destination Type]="Account")*(tblTransactions[Destination Name]=$D108)))*((tblTransactions[Transaction Status]="Completed")+(tblTransactions[Transaction Status]="Reconciled"))),1)),""))</f>
      </c>
      <c r="J108" s="1">
        <f>IF($D108="","",IFERROR(INDEX(tblAccounts[Account Type],ROW()-1),""))</f>
      </c>
      <c r="K108" s="1">
        <f>IF($D108="","",IFERROR(INDEX(tblAccounts[Include in Dashboard],ROW()-1),""))</f>
      </c>
      <c r="L108" s="1">
        <f>IF($D108="","",IFERROR(INDEX(tblAccounts[Status],ROW()-1),""))</f>
      </c>
    </row>
    <row r="109">
      <c r="D109" s="1">
        <f>IFERROR(IF(INDEX(tblAccounts[Account Name],ROW()-1)="","",INDEX(tblAccounts[Account Name],ROW()-1)),"")</f>
      </c>
      <c r="E109" s="1">
        <f>IF($D109="","",IFERROR(INDEX(tblAccounts[Opening Balance],ROW()-1),0))</f>
      </c>
      <c r="F109" s="1">
        <f>IF($D109="","",IFERROR(SUMIFS(tblTransactions[Amount],tblTransactions[Transaction Type],"Income",tblTransactions[Source Account],$D109,tblTransactions[Transaction Status],"Completed")+SUMIFS(tblTransactions[Amount],tblTransactions[Transaction Type],"Income",tblTransactions[Source Account],$D109,tblTransactions[Transaction Status],"Reconciled")+SUMIFS(tblTransactions[Amount],tblTransactions[Transaction Type],"Transfer",tblTransactions[Destination Type],"Account",tblTransactions[Destination Name],$D109,tblTransactions[Transaction Status],"Completed")+SUMIFS(tblTransactions[Amount],tblTransactions[Transaction Type],"Transfer",tblTransactions[Destination Type],"Account",tblTransactions[Destination Name],$D109,tblTransactions[Transaction Status],"Reconciled")+SUMIFS(tblTransactions[Amount],tblTransactions[Transaction Type],"Adjustment",tblTransactions[Source Account],$D109,tblTransactions[Transaction Status],"Completed",tblTransactions[Amount],"&gt;0")+SUMIFS(tblTransactions[Amount],tblTransactions[Transaction Type],"Adjustment",tblTransactions[Source Account],$D109,tblTransactions[Transaction Status],"Reconciled",tblTransactions[Amount],"&gt;0"),0))</f>
      </c>
      <c r="G109" s="1">
        <f>IF($D109="","",IFERROR(SUMIFS(tblTransactions[Amount],tblTransactions[Transaction Type],"Expense",tblTransactions[Source Account],$D109,tblTransactions[Transaction Status],"Completed")+SUMIFS(tblTransactions[Amount],tblTransactions[Transaction Type],"Expense",tblTransactions[Source Account],$D109,tblTransactions[Transaction Status],"Reconciled")+SUMIFS(tblTransactions[Amount],tblTransactions[Transaction Type],"Transfer",tblTransactions[Source Account],$D109,tblTransactions[Transaction Status],"Completed")+SUMIFS(tblTransactions[Amount],tblTransactions[Transaction Type],"Transfer",tblTransactions[Source Account],$D109,tblTransactions[Transaction Status],"Reconciled")-SUMIFS(tblTransactions[Amount],tblTransactions[Transaction Type],"Adjustment",tblTransactions[Source Account],$D109,tblTransactions[Transaction Status],"Completed",tblTransactions[Amount],"&lt;0")-SUMIFS(tblTransactions[Amount],tblTransactions[Transaction Type],"Adjustment",tblTransactions[Source Account],$D109,tblTransactions[Transaction Status],"Reconciled",tblTransactions[Amount],"&lt;0"),0))</f>
      </c>
      <c r="H109" s="1">
        <f>IF($D109="","",$E109+$F109-$G109)</f>
      </c>
      <c r="I109" s="4">
        <f>IF($D109="","",IFERROR(1/(1/AGGREGATE(14,6,tblTransactions[Transaction Date]/(((tblTransactions[Source Account]=$D109)+((tblTransactions[Transaction Type]="Transfer")*(tblTransactions[Destination Type]="Account")*(tblTransactions[Destination Name]=$D109)))*((tblTransactions[Transaction Status]="Completed")+(tblTransactions[Transaction Status]="Reconciled"))),1)),""))</f>
      </c>
      <c r="J109" s="1">
        <f>IF($D109="","",IFERROR(INDEX(tblAccounts[Account Type],ROW()-1),""))</f>
      </c>
      <c r="K109" s="1">
        <f>IF($D109="","",IFERROR(INDEX(tblAccounts[Include in Dashboard],ROW()-1),""))</f>
      </c>
      <c r="L109" s="1">
        <f>IF($D109="","",IFERROR(INDEX(tblAccounts[Status],ROW()-1),""))</f>
      </c>
    </row>
    <row r="110">
      <c r="D110" s="1">
        <f>IFERROR(IF(INDEX(tblAccounts[Account Name],ROW()-1)="","",INDEX(tblAccounts[Account Name],ROW()-1)),"")</f>
      </c>
      <c r="E110" s="1">
        <f>IF($D110="","",IFERROR(INDEX(tblAccounts[Opening Balance],ROW()-1),0))</f>
      </c>
      <c r="F110" s="1">
        <f>IF($D110="","",IFERROR(SUMIFS(tblTransactions[Amount],tblTransactions[Transaction Type],"Income",tblTransactions[Source Account],$D110,tblTransactions[Transaction Status],"Completed")+SUMIFS(tblTransactions[Amount],tblTransactions[Transaction Type],"Income",tblTransactions[Source Account],$D110,tblTransactions[Transaction Status],"Reconciled")+SUMIFS(tblTransactions[Amount],tblTransactions[Transaction Type],"Transfer",tblTransactions[Destination Type],"Account",tblTransactions[Destination Name],$D110,tblTransactions[Transaction Status],"Completed")+SUMIFS(tblTransactions[Amount],tblTransactions[Transaction Type],"Transfer",tblTransactions[Destination Type],"Account",tblTransactions[Destination Name],$D110,tblTransactions[Transaction Status],"Reconciled")+SUMIFS(tblTransactions[Amount],tblTransactions[Transaction Type],"Adjustment",tblTransactions[Source Account],$D110,tblTransactions[Transaction Status],"Completed",tblTransactions[Amount],"&gt;0")+SUMIFS(tblTransactions[Amount],tblTransactions[Transaction Type],"Adjustment",tblTransactions[Source Account],$D110,tblTransactions[Transaction Status],"Reconciled",tblTransactions[Amount],"&gt;0"),0))</f>
      </c>
      <c r="G110" s="1">
        <f>IF($D110="","",IFERROR(SUMIFS(tblTransactions[Amount],tblTransactions[Transaction Type],"Expense",tblTransactions[Source Account],$D110,tblTransactions[Transaction Status],"Completed")+SUMIFS(tblTransactions[Amount],tblTransactions[Transaction Type],"Expense",tblTransactions[Source Account],$D110,tblTransactions[Transaction Status],"Reconciled")+SUMIFS(tblTransactions[Amount],tblTransactions[Transaction Type],"Transfer",tblTransactions[Source Account],$D110,tblTransactions[Transaction Status],"Completed")+SUMIFS(tblTransactions[Amount],tblTransactions[Transaction Type],"Transfer",tblTransactions[Source Account],$D110,tblTransactions[Transaction Status],"Reconciled")-SUMIFS(tblTransactions[Amount],tblTransactions[Transaction Type],"Adjustment",tblTransactions[Source Account],$D110,tblTransactions[Transaction Status],"Completed",tblTransactions[Amount],"&lt;0")-SUMIFS(tblTransactions[Amount],tblTransactions[Transaction Type],"Adjustment",tblTransactions[Source Account],$D110,tblTransactions[Transaction Status],"Reconciled",tblTransactions[Amount],"&lt;0"),0))</f>
      </c>
      <c r="H110" s="1">
        <f>IF($D110="","",$E110+$F110-$G110)</f>
      </c>
      <c r="I110" s="4">
        <f>IF($D110="","",IFERROR(1/(1/AGGREGATE(14,6,tblTransactions[Transaction Date]/(((tblTransactions[Source Account]=$D110)+((tblTransactions[Transaction Type]="Transfer")*(tblTransactions[Destination Type]="Account")*(tblTransactions[Destination Name]=$D110)))*((tblTransactions[Transaction Status]="Completed")+(tblTransactions[Transaction Status]="Reconciled"))),1)),""))</f>
      </c>
      <c r="J110" s="1">
        <f>IF($D110="","",IFERROR(INDEX(tblAccounts[Account Type],ROW()-1),""))</f>
      </c>
      <c r="K110" s="1">
        <f>IF($D110="","",IFERROR(INDEX(tblAccounts[Include in Dashboard],ROW()-1),""))</f>
      </c>
      <c r="L110" s="1">
        <f>IF($D110="","",IFERROR(INDEX(tblAccounts[Status],ROW()-1),""))</f>
      </c>
    </row>
    <row r="111">
      <c r="D111" s="1">
        <f>IFERROR(IF(INDEX(tblAccounts[Account Name],ROW()-1)="","",INDEX(tblAccounts[Account Name],ROW()-1)),"")</f>
      </c>
      <c r="E111" s="1">
        <f>IF($D111="","",IFERROR(INDEX(tblAccounts[Opening Balance],ROW()-1),0))</f>
      </c>
      <c r="F111" s="1">
        <f>IF($D111="","",IFERROR(SUMIFS(tblTransactions[Amount],tblTransactions[Transaction Type],"Income",tblTransactions[Source Account],$D111,tblTransactions[Transaction Status],"Completed")+SUMIFS(tblTransactions[Amount],tblTransactions[Transaction Type],"Income",tblTransactions[Source Account],$D111,tblTransactions[Transaction Status],"Reconciled")+SUMIFS(tblTransactions[Amount],tblTransactions[Transaction Type],"Transfer",tblTransactions[Destination Type],"Account",tblTransactions[Destination Name],$D111,tblTransactions[Transaction Status],"Completed")+SUMIFS(tblTransactions[Amount],tblTransactions[Transaction Type],"Transfer",tblTransactions[Destination Type],"Account",tblTransactions[Destination Name],$D111,tblTransactions[Transaction Status],"Reconciled")+SUMIFS(tblTransactions[Amount],tblTransactions[Transaction Type],"Adjustment",tblTransactions[Source Account],$D111,tblTransactions[Transaction Status],"Completed",tblTransactions[Amount],"&gt;0")+SUMIFS(tblTransactions[Amount],tblTransactions[Transaction Type],"Adjustment",tblTransactions[Source Account],$D111,tblTransactions[Transaction Status],"Reconciled",tblTransactions[Amount],"&gt;0"),0))</f>
      </c>
      <c r="G111" s="1">
        <f>IF($D111="","",IFERROR(SUMIFS(tblTransactions[Amount],tblTransactions[Transaction Type],"Expense",tblTransactions[Source Account],$D111,tblTransactions[Transaction Status],"Completed")+SUMIFS(tblTransactions[Amount],tblTransactions[Transaction Type],"Expense",tblTransactions[Source Account],$D111,tblTransactions[Transaction Status],"Reconciled")+SUMIFS(tblTransactions[Amount],tblTransactions[Transaction Type],"Transfer",tblTransactions[Source Account],$D111,tblTransactions[Transaction Status],"Completed")+SUMIFS(tblTransactions[Amount],tblTransactions[Transaction Type],"Transfer",tblTransactions[Source Account],$D111,tblTransactions[Transaction Status],"Reconciled")-SUMIFS(tblTransactions[Amount],tblTransactions[Transaction Type],"Adjustment",tblTransactions[Source Account],$D111,tblTransactions[Transaction Status],"Completed",tblTransactions[Amount],"&lt;0")-SUMIFS(tblTransactions[Amount],tblTransactions[Transaction Type],"Adjustment",tblTransactions[Source Account],$D111,tblTransactions[Transaction Status],"Reconciled",tblTransactions[Amount],"&lt;0"),0))</f>
      </c>
      <c r="H111" s="1">
        <f>IF($D111="","",$E111+$F111-$G111)</f>
      </c>
      <c r="I111" s="4">
        <f>IF($D111="","",IFERROR(1/(1/AGGREGATE(14,6,tblTransactions[Transaction Date]/(((tblTransactions[Source Account]=$D111)+((tblTransactions[Transaction Type]="Transfer")*(tblTransactions[Destination Type]="Account")*(tblTransactions[Destination Name]=$D111)))*((tblTransactions[Transaction Status]="Completed")+(tblTransactions[Transaction Status]="Reconciled"))),1)),""))</f>
      </c>
      <c r="J111" s="1">
        <f>IF($D111="","",IFERROR(INDEX(tblAccounts[Account Type],ROW()-1),""))</f>
      </c>
      <c r="K111" s="1">
        <f>IF($D111="","",IFERROR(INDEX(tblAccounts[Include in Dashboard],ROW()-1),""))</f>
      </c>
      <c r="L111" s="1">
        <f>IF($D111="","",IFERROR(INDEX(tblAccounts[Status],ROW()-1),""))</f>
      </c>
    </row>
    <row r="112">
      <c r="D112" s="1">
        <f>IFERROR(IF(INDEX(tblAccounts[Account Name],ROW()-1)="","",INDEX(tblAccounts[Account Name],ROW()-1)),"")</f>
      </c>
      <c r="E112" s="1">
        <f>IF($D112="","",IFERROR(INDEX(tblAccounts[Opening Balance],ROW()-1),0))</f>
      </c>
      <c r="F112" s="1">
        <f>IF($D112="","",IFERROR(SUMIFS(tblTransactions[Amount],tblTransactions[Transaction Type],"Income",tblTransactions[Source Account],$D112,tblTransactions[Transaction Status],"Completed")+SUMIFS(tblTransactions[Amount],tblTransactions[Transaction Type],"Income",tblTransactions[Source Account],$D112,tblTransactions[Transaction Status],"Reconciled")+SUMIFS(tblTransactions[Amount],tblTransactions[Transaction Type],"Transfer",tblTransactions[Destination Type],"Account",tblTransactions[Destination Name],$D112,tblTransactions[Transaction Status],"Completed")+SUMIFS(tblTransactions[Amount],tblTransactions[Transaction Type],"Transfer",tblTransactions[Destination Type],"Account",tblTransactions[Destination Name],$D112,tblTransactions[Transaction Status],"Reconciled")+SUMIFS(tblTransactions[Amount],tblTransactions[Transaction Type],"Adjustment",tblTransactions[Source Account],$D112,tblTransactions[Transaction Status],"Completed",tblTransactions[Amount],"&gt;0")+SUMIFS(tblTransactions[Amount],tblTransactions[Transaction Type],"Adjustment",tblTransactions[Source Account],$D112,tblTransactions[Transaction Status],"Reconciled",tblTransactions[Amount],"&gt;0"),0))</f>
      </c>
      <c r="G112" s="1">
        <f>IF($D112="","",IFERROR(SUMIFS(tblTransactions[Amount],tblTransactions[Transaction Type],"Expense",tblTransactions[Source Account],$D112,tblTransactions[Transaction Status],"Completed")+SUMIFS(tblTransactions[Amount],tblTransactions[Transaction Type],"Expense",tblTransactions[Source Account],$D112,tblTransactions[Transaction Status],"Reconciled")+SUMIFS(tblTransactions[Amount],tblTransactions[Transaction Type],"Transfer",tblTransactions[Source Account],$D112,tblTransactions[Transaction Status],"Completed")+SUMIFS(tblTransactions[Amount],tblTransactions[Transaction Type],"Transfer",tblTransactions[Source Account],$D112,tblTransactions[Transaction Status],"Reconciled")-SUMIFS(tblTransactions[Amount],tblTransactions[Transaction Type],"Adjustment",tblTransactions[Source Account],$D112,tblTransactions[Transaction Status],"Completed",tblTransactions[Amount],"&lt;0")-SUMIFS(tblTransactions[Amount],tblTransactions[Transaction Type],"Adjustment",tblTransactions[Source Account],$D112,tblTransactions[Transaction Status],"Reconciled",tblTransactions[Amount],"&lt;0"),0))</f>
      </c>
      <c r="H112" s="1">
        <f>IF($D112="","",$E112+$F112-$G112)</f>
      </c>
      <c r="I112" s="4">
        <f>IF($D112="","",IFERROR(1/(1/AGGREGATE(14,6,tblTransactions[Transaction Date]/(((tblTransactions[Source Account]=$D112)+((tblTransactions[Transaction Type]="Transfer")*(tblTransactions[Destination Type]="Account")*(tblTransactions[Destination Name]=$D112)))*((tblTransactions[Transaction Status]="Completed")+(tblTransactions[Transaction Status]="Reconciled"))),1)),""))</f>
      </c>
      <c r="J112" s="1">
        <f>IF($D112="","",IFERROR(INDEX(tblAccounts[Account Type],ROW()-1),""))</f>
      </c>
      <c r="K112" s="1">
        <f>IF($D112="","",IFERROR(INDEX(tblAccounts[Include in Dashboard],ROW()-1),""))</f>
      </c>
      <c r="L112" s="1">
        <f>IF($D112="","",IFERROR(INDEX(tblAccounts[Status],ROW()-1),""))</f>
      </c>
    </row>
    <row r="113">
      <c r="D113" s="1">
        <f>IFERROR(IF(INDEX(tblAccounts[Account Name],ROW()-1)="","",INDEX(tblAccounts[Account Name],ROW()-1)),"")</f>
      </c>
      <c r="E113" s="1">
        <f>IF($D113="","",IFERROR(INDEX(tblAccounts[Opening Balance],ROW()-1),0))</f>
      </c>
      <c r="F113" s="1">
        <f>IF($D113="","",IFERROR(SUMIFS(tblTransactions[Amount],tblTransactions[Transaction Type],"Income",tblTransactions[Source Account],$D113,tblTransactions[Transaction Status],"Completed")+SUMIFS(tblTransactions[Amount],tblTransactions[Transaction Type],"Income",tblTransactions[Source Account],$D113,tblTransactions[Transaction Status],"Reconciled")+SUMIFS(tblTransactions[Amount],tblTransactions[Transaction Type],"Transfer",tblTransactions[Destination Type],"Account",tblTransactions[Destination Name],$D113,tblTransactions[Transaction Status],"Completed")+SUMIFS(tblTransactions[Amount],tblTransactions[Transaction Type],"Transfer",tblTransactions[Destination Type],"Account",tblTransactions[Destination Name],$D113,tblTransactions[Transaction Status],"Reconciled")+SUMIFS(tblTransactions[Amount],tblTransactions[Transaction Type],"Adjustment",tblTransactions[Source Account],$D113,tblTransactions[Transaction Status],"Completed",tblTransactions[Amount],"&gt;0")+SUMIFS(tblTransactions[Amount],tblTransactions[Transaction Type],"Adjustment",tblTransactions[Source Account],$D113,tblTransactions[Transaction Status],"Reconciled",tblTransactions[Amount],"&gt;0"),0))</f>
      </c>
      <c r="G113" s="1">
        <f>IF($D113="","",IFERROR(SUMIFS(tblTransactions[Amount],tblTransactions[Transaction Type],"Expense",tblTransactions[Source Account],$D113,tblTransactions[Transaction Status],"Completed")+SUMIFS(tblTransactions[Amount],tblTransactions[Transaction Type],"Expense",tblTransactions[Source Account],$D113,tblTransactions[Transaction Status],"Reconciled")+SUMIFS(tblTransactions[Amount],tblTransactions[Transaction Type],"Transfer",tblTransactions[Source Account],$D113,tblTransactions[Transaction Status],"Completed")+SUMIFS(tblTransactions[Amount],tblTransactions[Transaction Type],"Transfer",tblTransactions[Source Account],$D113,tblTransactions[Transaction Status],"Reconciled")-SUMIFS(tblTransactions[Amount],tblTransactions[Transaction Type],"Adjustment",tblTransactions[Source Account],$D113,tblTransactions[Transaction Status],"Completed",tblTransactions[Amount],"&lt;0")-SUMIFS(tblTransactions[Amount],tblTransactions[Transaction Type],"Adjustment",tblTransactions[Source Account],$D113,tblTransactions[Transaction Status],"Reconciled",tblTransactions[Amount],"&lt;0"),0))</f>
      </c>
      <c r="H113" s="1">
        <f>IF($D113="","",$E113+$F113-$G113)</f>
      </c>
      <c r="I113" s="4">
        <f>IF($D113="","",IFERROR(1/(1/AGGREGATE(14,6,tblTransactions[Transaction Date]/(((tblTransactions[Source Account]=$D113)+((tblTransactions[Transaction Type]="Transfer")*(tblTransactions[Destination Type]="Account")*(tblTransactions[Destination Name]=$D113)))*((tblTransactions[Transaction Status]="Completed")+(tblTransactions[Transaction Status]="Reconciled"))),1)),""))</f>
      </c>
      <c r="J113" s="1">
        <f>IF($D113="","",IFERROR(INDEX(tblAccounts[Account Type],ROW()-1),""))</f>
      </c>
      <c r="K113" s="1">
        <f>IF($D113="","",IFERROR(INDEX(tblAccounts[Include in Dashboard],ROW()-1),""))</f>
      </c>
      <c r="L113" s="1">
        <f>IF($D113="","",IFERROR(INDEX(tblAccounts[Status],ROW()-1),""))</f>
      </c>
    </row>
    <row r="114">
      <c r="D114" s="1">
        <f>IFERROR(IF(INDEX(tblAccounts[Account Name],ROW()-1)="","",INDEX(tblAccounts[Account Name],ROW()-1)),"")</f>
      </c>
      <c r="E114" s="1">
        <f>IF($D114="","",IFERROR(INDEX(tblAccounts[Opening Balance],ROW()-1),0))</f>
      </c>
      <c r="F114" s="1">
        <f>IF($D114="","",IFERROR(SUMIFS(tblTransactions[Amount],tblTransactions[Transaction Type],"Income",tblTransactions[Source Account],$D114,tblTransactions[Transaction Status],"Completed")+SUMIFS(tblTransactions[Amount],tblTransactions[Transaction Type],"Income",tblTransactions[Source Account],$D114,tblTransactions[Transaction Status],"Reconciled")+SUMIFS(tblTransactions[Amount],tblTransactions[Transaction Type],"Transfer",tblTransactions[Destination Type],"Account",tblTransactions[Destination Name],$D114,tblTransactions[Transaction Status],"Completed")+SUMIFS(tblTransactions[Amount],tblTransactions[Transaction Type],"Transfer",tblTransactions[Destination Type],"Account",tblTransactions[Destination Name],$D114,tblTransactions[Transaction Status],"Reconciled")+SUMIFS(tblTransactions[Amount],tblTransactions[Transaction Type],"Adjustment",tblTransactions[Source Account],$D114,tblTransactions[Transaction Status],"Completed",tblTransactions[Amount],"&gt;0")+SUMIFS(tblTransactions[Amount],tblTransactions[Transaction Type],"Adjustment",tblTransactions[Source Account],$D114,tblTransactions[Transaction Status],"Reconciled",tblTransactions[Amount],"&gt;0"),0))</f>
      </c>
      <c r="G114" s="1">
        <f>IF($D114="","",IFERROR(SUMIFS(tblTransactions[Amount],tblTransactions[Transaction Type],"Expense",tblTransactions[Source Account],$D114,tblTransactions[Transaction Status],"Completed")+SUMIFS(tblTransactions[Amount],tblTransactions[Transaction Type],"Expense",tblTransactions[Source Account],$D114,tblTransactions[Transaction Status],"Reconciled")+SUMIFS(tblTransactions[Amount],tblTransactions[Transaction Type],"Transfer",tblTransactions[Source Account],$D114,tblTransactions[Transaction Status],"Completed")+SUMIFS(tblTransactions[Amount],tblTransactions[Transaction Type],"Transfer",tblTransactions[Source Account],$D114,tblTransactions[Transaction Status],"Reconciled")-SUMIFS(tblTransactions[Amount],tblTransactions[Transaction Type],"Adjustment",tblTransactions[Source Account],$D114,tblTransactions[Transaction Status],"Completed",tblTransactions[Amount],"&lt;0")-SUMIFS(tblTransactions[Amount],tblTransactions[Transaction Type],"Adjustment",tblTransactions[Source Account],$D114,tblTransactions[Transaction Status],"Reconciled",tblTransactions[Amount],"&lt;0"),0))</f>
      </c>
      <c r="H114" s="1">
        <f>IF($D114="","",$E114+$F114-$G114)</f>
      </c>
      <c r="I114" s="4">
        <f>IF($D114="","",IFERROR(1/(1/AGGREGATE(14,6,tblTransactions[Transaction Date]/(((tblTransactions[Source Account]=$D114)+((tblTransactions[Transaction Type]="Transfer")*(tblTransactions[Destination Type]="Account")*(tblTransactions[Destination Name]=$D114)))*((tblTransactions[Transaction Status]="Completed")+(tblTransactions[Transaction Status]="Reconciled"))),1)),""))</f>
      </c>
      <c r="J114" s="1">
        <f>IF($D114="","",IFERROR(INDEX(tblAccounts[Account Type],ROW()-1),""))</f>
      </c>
      <c r="K114" s="1">
        <f>IF($D114="","",IFERROR(INDEX(tblAccounts[Include in Dashboard],ROW()-1),""))</f>
      </c>
      <c r="L114" s="1">
        <f>IF($D114="","",IFERROR(INDEX(tblAccounts[Status],ROW()-1),""))</f>
      </c>
    </row>
    <row r="115">
      <c r="D115" s="1">
        <f>IFERROR(IF(INDEX(tblAccounts[Account Name],ROW()-1)="","",INDEX(tblAccounts[Account Name],ROW()-1)),"")</f>
      </c>
      <c r="E115" s="1">
        <f>IF($D115="","",IFERROR(INDEX(tblAccounts[Opening Balance],ROW()-1),0))</f>
      </c>
      <c r="F115" s="1">
        <f>IF($D115="","",IFERROR(SUMIFS(tblTransactions[Amount],tblTransactions[Transaction Type],"Income",tblTransactions[Source Account],$D115,tblTransactions[Transaction Status],"Completed")+SUMIFS(tblTransactions[Amount],tblTransactions[Transaction Type],"Income",tblTransactions[Source Account],$D115,tblTransactions[Transaction Status],"Reconciled")+SUMIFS(tblTransactions[Amount],tblTransactions[Transaction Type],"Transfer",tblTransactions[Destination Type],"Account",tblTransactions[Destination Name],$D115,tblTransactions[Transaction Status],"Completed")+SUMIFS(tblTransactions[Amount],tblTransactions[Transaction Type],"Transfer",tblTransactions[Destination Type],"Account",tblTransactions[Destination Name],$D115,tblTransactions[Transaction Status],"Reconciled")+SUMIFS(tblTransactions[Amount],tblTransactions[Transaction Type],"Adjustment",tblTransactions[Source Account],$D115,tblTransactions[Transaction Status],"Completed",tblTransactions[Amount],"&gt;0")+SUMIFS(tblTransactions[Amount],tblTransactions[Transaction Type],"Adjustment",tblTransactions[Source Account],$D115,tblTransactions[Transaction Status],"Reconciled",tblTransactions[Amount],"&gt;0"),0))</f>
      </c>
      <c r="G115" s="1">
        <f>IF($D115="","",IFERROR(SUMIFS(tblTransactions[Amount],tblTransactions[Transaction Type],"Expense",tblTransactions[Source Account],$D115,tblTransactions[Transaction Status],"Completed")+SUMIFS(tblTransactions[Amount],tblTransactions[Transaction Type],"Expense",tblTransactions[Source Account],$D115,tblTransactions[Transaction Status],"Reconciled")+SUMIFS(tblTransactions[Amount],tblTransactions[Transaction Type],"Transfer",tblTransactions[Source Account],$D115,tblTransactions[Transaction Status],"Completed")+SUMIFS(tblTransactions[Amount],tblTransactions[Transaction Type],"Transfer",tblTransactions[Source Account],$D115,tblTransactions[Transaction Status],"Reconciled")-SUMIFS(tblTransactions[Amount],tblTransactions[Transaction Type],"Adjustment",tblTransactions[Source Account],$D115,tblTransactions[Transaction Status],"Completed",tblTransactions[Amount],"&lt;0")-SUMIFS(tblTransactions[Amount],tblTransactions[Transaction Type],"Adjustment",tblTransactions[Source Account],$D115,tblTransactions[Transaction Status],"Reconciled",tblTransactions[Amount],"&lt;0"),0))</f>
      </c>
      <c r="H115" s="1">
        <f>IF($D115="","",$E115+$F115-$G115)</f>
      </c>
      <c r="I115" s="4">
        <f>IF($D115="","",IFERROR(1/(1/AGGREGATE(14,6,tblTransactions[Transaction Date]/(((tblTransactions[Source Account]=$D115)+((tblTransactions[Transaction Type]="Transfer")*(tblTransactions[Destination Type]="Account")*(tblTransactions[Destination Name]=$D115)))*((tblTransactions[Transaction Status]="Completed")+(tblTransactions[Transaction Status]="Reconciled"))),1)),""))</f>
      </c>
      <c r="J115" s="1">
        <f>IF($D115="","",IFERROR(INDEX(tblAccounts[Account Type],ROW()-1),""))</f>
      </c>
      <c r="K115" s="1">
        <f>IF($D115="","",IFERROR(INDEX(tblAccounts[Include in Dashboard],ROW()-1),""))</f>
      </c>
      <c r="L115" s="1">
        <f>IF($D115="","",IFERROR(INDEX(tblAccounts[Status],ROW()-1),""))</f>
      </c>
    </row>
    <row r="116">
      <c r="D116" s="1">
        <f>IFERROR(IF(INDEX(tblAccounts[Account Name],ROW()-1)="","",INDEX(tblAccounts[Account Name],ROW()-1)),"")</f>
      </c>
      <c r="E116" s="1">
        <f>IF($D116="","",IFERROR(INDEX(tblAccounts[Opening Balance],ROW()-1),0))</f>
      </c>
      <c r="F116" s="1">
        <f>IF($D116="","",IFERROR(SUMIFS(tblTransactions[Amount],tblTransactions[Transaction Type],"Income",tblTransactions[Source Account],$D116,tblTransactions[Transaction Status],"Completed")+SUMIFS(tblTransactions[Amount],tblTransactions[Transaction Type],"Income",tblTransactions[Source Account],$D116,tblTransactions[Transaction Status],"Reconciled")+SUMIFS(tblTransactions[Amount],tblTransactions[Transaction Type],"Transfer",tblTransactions[Destination Type],"Account",tblTransactions[Destination Name],$D116,tblTransactions[Transaction Status],"Completed")+SUMIFS(tblTransactions[Amount],tblTransactions[Transaction Type],"Transfer",tblTransactions[Destination Type],"Account",tblTransactions[Destination Name],$D116,tblTransactions[Transaction Status],"Reconciled")+SUMIFS(tblTransactions[Amount],tblTransactions[Transaction Type],"Adjustment",tblTransactions[Source Account],$D116,tblTransactions[Transaction Status],"Completed",tblTransactions[Amount],"&gt;0")+SUMIFS(tblTransactions[Amount],tblTransactions[Transaction Type],"Adjustment",tblTransactions[Source Account],$D116,tblTransactions[Transaction Status],"Reconciled",tblTransactions[Amount],"&gt;0"),0))</f>
      </c>
      <c r="G116" s="1">
        <f>IF($D116="","",IFERROR(SUMIFS(tblTransactions[Amount],tblTransactions[Transaction Type],"Expense",tblTransactions[Source Account],$D116,tblTransactions[Transaction Status],"Completed")+SUMIFS(tblTransactions[Amount],tblTransactions[Transaction Type],"Expense",tblTransactions[Source Account],$D116,tblTransactions[Transaction Status],"Reconciled")+SUMIFS(tblTransactions[Amount],tblTransactions[Transaction Type],"Transfer",tblTransactions[Source Account],$D116,tblTransactions[Transaction Status],"Completed")+SUMIFS(tblTransactions[Amount],tblTransactions[Transaction Type],"Transfer",tblTransactions[Source Account],$D116,tblTransactions[Transaction Status],"Reconciled")-SUMIFS(tblTransactions[Amount],tblTransactions[Transaction Type],"Adjustment",tblTransactions[Source Account],$D116,tblTransactions[Transaction Status],"Completed",tblTransactions[Amount],"&lt;0")-SUMIFS(tblTransactions[Amount],tblTransactions[Transaction Type],"Adjustment",tblTransactions[Source Account],$D116,tblTransactions[Transaction Status],"Reconciled",tblTransactions[Amount],"&lt;0"),0))</f>
      </c>
      <c r="H116" s="1">
        <f>IF($D116="","",$E116+$F116-$G116)</f>
      </c>
      <c r="I116" s="4">
        <f>IF($D116="","",IFERROR(1/(1/AGGREGATE(14,6,tblTransactions[Transaction Date]/(((tblTransactions[Source Account]=$D116)+((tblTransactions[Transaction Type]="Transfer")*(tblTransactions[Destination Type]="Account")*(tblTransactions[Destination Name]=$D116)))*((tblTransactions[Transaction Status]="Completed")+(tblTransactions[Transaction Status]="Reconciled"))),1)),""))</f>
      </c>
      <c r="J116" s="1">
        <f>IF($D116="","",IFERROR(INDEX(tblAccounts[Account Type],ROW()-1),""))</f>
      </c>
      <c r="K116" s="1">
        <f>IF($D116="","",IFERROR(INDEX(tblAccounts[Include in Dashboard],ROW()-1),""))</f>
      </c>
      <c r="L116" s="1">
        <f>IF($D116="","",IFERROR(INDEX(tblAccounts[Status],ROW()-1),""))</f>
      </c>
    </row>
    <row r="117">
      <c r="D117" s="1">
        <f>IFERROR(IF(INDEX(tblAccounts[Account Name],ROW()-1)="","",INDEX(tblAccounts[Account Name],ROW()-1)),"")</f>
      </c>
      <c r="E117" s="1">
        <f>IF($D117="","",IFERROR(INDEX(tblAccounts[Opening Balance],ROW()-1),0))</f>
      </c>
      <c r="F117" s="1">
        <f>IF($D117="","",IFERROR(SUMIFS(tblTransactions[Amount],tblTransactions[Transaction Type],"Income",tblTransactions[Source Account],$D117,tblTransactions[Transaction Status],"Completed")+SUMIFS(tblTransactions[Amount],tblTransactions[Transaction Type],"Income",tblTransactions[Source Account],$D117,tblTransactions[Transaction Status],"Reconciled")+SUMIFS(tblTransactions[Amount],tblTransactions[Transaction Type],"Transfer",tblTransactions[Destination Type],"Account",tblTransactions[Destination Name],$D117,tblTransactions[Transaction Status],"Completed")+SUMIFS(tblTransactions[Amount],tblTransactions[Transaction Type],"Transfer",tblTransactions[Destination Type],"Account",tblTransactions[Destination Name],$D117,tblTransactions[Transaction Status],"Reconciled")+SUMIFS(tblTransactions[Amount],tblTransactions[Transaction Type],"Adjustment",tblTransactions[Source Account],$D117,tblTransactions[Transaction Status],"Completed",tblTransactions[Amount],"&gt;0")+SUMIFS(tblTransactions[Amount],tblTransactions[Transaction Type],"Adjustment",tblTransactions[Source Account],$D117,tblTransactions[Transaction Status],"Reconciled",tblTransactions[Amount],"&gt;0"),0))</f>
      </c>
      <c r="G117" s="1">
        <f>IF($D117="","",IFERROR(SUMIFS(tblTransactions[Amount],tblTransactions[Transaction Type],"Expense",tblTransactions[Source Account],$D117,tblTransactions[Transaction Status],"Completed")+SUMIFS(tblTransactions[Amount],tblTransactions[Transaction Type],"Expense",tblTransactions[Source Account],$D117,tblTransactions[Transaction Status],"Reconciled")+SUMIFS(tblTransactions[Amount],tblTransactions[Transaction Type],"Transfer",tblTransactions[Source Account],$D117,tblTransactions[Transaction Status],"Completed")+SUMIFS(tblTransactions[Amount],tblTransactions[Transaction Type],"Transfer",tblTransactions[Source Account],$D117,tblTransactions[Transaction Status],"Reconciled")-SUMIFS(tblTransactions[Amount],tblTransactions[Transaction Type],"Adjustment",tblTransactions[Source Account],$D117,tblTransactions[Transaction Status],"Completed",tblTransactions[Amount],"&lt;0")-SUMIFS(tblTransactions[Amount],tblTransactions[Transaction Type],"Adjustment",tblTransactions[Source Account],$D117,tblTransactions[Transaction Status],"Reconciled",tblTransactions[Amount],"&lt;0"),0))</f>
      </c>
      <c r="H117" s="1">
        <f>IF($D117="","",$E117+$F117-$G117)</f>
      </c>
      <c r="I117" s="4">
        <f>IF($D117="","",IFERROR(1/(1/AGGREGATE(14,6,tblTransactions[Transaction Date]/(((tblTransactions[Source Account]=$D117)+((tblTransactions[Transaction Type]="Transfer")*(tblTransactions[Destination Type]="Account")*(tblTransactions[Destination Name]=$D117)))*((tblTransactions[Transaction Status]="Completed")+(tblTransactions[Transaction Status]="Reconciled"))),1)),""))</f>
      </c>
      <c r="J117" s="1">
        <f>IF($D117="","",IFERROR(INDEX(tblAccounts[Account Type],ROW()-1),""))</f>
      </c>
      <c r="K117" s="1">
        <f>IF($D117="","",IFERROR(INDEX(tblAccounts[Include in Dashboard],ROW()-1),""))</f>
      </c>
      <c r="L117" s="1">
        <f>IF($D117="","",IFERROR(INDEX(tblAccounts[Status],ROW()-1),""))</f>
      </c>
    </row>
    <row r="118">
      <c r="D118" s="1">
        <f>IFERROR(IF(INDEX(tblAccounts[Account Name],ROW()-1)="","",INDEX(tblAccounts[Account Name],ROW()-1)),"")</f>
      </c>
      <c r="E118" s="1">
        <f>IF($D118="","",IFERROR(INDEX(tblAccounts[Opening Balance],ROW()-1),0))</f>
      </c>
      <c r="F118" s="1">
        <f>IF($D118="","",IFERROR(SUMIFS(tblTransactions[Amount],tblTransactions[Transaction Type],"Income",tblTransactions[Source Account],$D118,tblTransactions[Transaction Status],"Completed")+SUMIFS(tblTransactions[Amount],tblTransactions[Transaction Type],"Income",tblTransactions[Source Account],$D118,tblTransactions[Transaction Status],"Reconciled")+SUMIFS(tblTransactions[Amount],tblTransactions[Transaction Type],"Transfer",tblTransactions[Destination Type],"Account",tblTransactions[Destination Name],$D118,tblTransactions[Transaction Status],"Completed")+SUMIFS(tblTransactions[Amount],tblTransactions[Transaction Type],"Transfer",tblTransactions[Destination Type],"Account",tblTransactions[Destination Name],$D118,tblTransactions[Transaction Status],"Reconciled")+SUMIFS(tblTransactions[Amount],tblTransactions[Transaction Type],"Adjustment",tblTransactions[Source Account],$D118,tblTransactions[Transaction Status],"Completed",tblTransactions[Amount],"&gt;0")+SUMIFS(tblTransactions[Amount],tblTransactions[Transaction Type],"Adjustment",tblTransactions[Source Account],$D118,tblTransactions[Transaction Status],"Reconciled",tblTransactions[Amount],"&gt;0"),0))</f>
      </c>
      <c r="G118" s="1">
        <f>IF($D118="","",IFERROR(SUMIFS(tblTransactions[Amount],tblTransactions[Transaction Type],"Expense",tblTransactions[Source Account],$D118,tblTransactions[Transaction Status],"Completed")+SUMIFS(tblTransactions[Amount],tblTransactions[Transaction Type],"Expense",tblTransactions[Source Account],$D118,tblTransactions[Transaction Status],"Reconciled")+SUMIFS(tblTransactions[Amount],tblTransactions[Transaction Type],"Transfer",tblTransactions[Source Account],$D118,tblTransactions[Transaction Status],"Completed")+SUMIFS(tblTransactions[Amount],tblTransactions[Transaction Type],"Transfer",tblTransactions[Source Account],$D118,tblTransactions[Transaction Status],"Reconciled")-SUMIFS(tblTransactions[Amount],tblTransactions[Transaction Type],"Adjustment",tblTransactions[Source Account],$D118,tblTransactions[Transaction Status],"Completed",tblTransactions[Amount],"&lt;0")-SUMIFS(tblTransactions[Amount],tblTransactions[Transaction Type],"Adjustment",tblTransactions[Source Account],$D118,tblTransactions[Transaction Status],"Reconciled",tblTransactions[Amount],"&lt;0"),0))</f>
      </c>
      <c r="H118" s="1">
        <f>IF($D118="","",$E118+$F118-$G118)</f>
      </c>
      <c r="I118" s="4">
        <f>IF($D118="","",IFERROR(1/(1/AGGREGATE(14,6,tblTransactions[Transaction Date]/(((tblTransactions[Source Account]=$D118)+((tblTransactions[Transaction Type]="Transfer")*(tblTransactions[Destination Type]="Account")*(tblTransactions[Destination Name]=$D118)))*((tblTransactions[Transaction Status]="Completed")+(tblTransactions[Transaction Status]="Reconciled"))),1)),""))</f>
      </c>
      <c r="J118" s="1">
        <f>IF($D118="","",IFERROR(INDEX(tblAccounts[Account Type],ROW()-1),""))</f>
      </c>
      <c r="K118" s="1">
        <f>IF($D118="","",IFERROR(INDEX(tblAccounts[Include in Dashboard],ROW()-1),""))</f>
      </c>
      <c r="L118" s="1">
        <f>IF($D118="","",IFERROR(INDEX(tblAccounts[Status],ROW()-1),""))</f>
      </c>
    </row>
    <row r="119">
      <c r="D119" s="1">
        <f>IFERROR(IF(INDEX(tblAccounts[Account Name],ROW()-1)="","",INDEX(tblAccounts[Account Name],ROW()-1)),"")</f>
      </c>
      <c r="E119" s="1">
        <f>IF($D119="","",IFERROR(INDEX(tblAccounts[Opening Balance],ROW()-1),0))</f>
      </c>
      <c r="F119" s="1">
        <f>IF($D119="","",IFERROR(SUMIFS(tblTransactions[Amount],tblTransactions[Transaction Type],"Income",tblTransactions[Source Account],$D119,tblTransactions[Transaction Status],"Completed")+SUMIFS(tblTransactions[Amount],tblTransactions[Transaction Type],"Income",tblTransactions[Source Account],$D119,tblTransactions[Transaction Status],"Reconciled")+SUMIFS(tblTransactions[Amount],tblTransactions[Transaction Type],"Transfer",tblTransactions[Destination Type],"Account",tblTransactions[Destination Name],$D119,tblTransactions[Transaction Status],"Completed")+SUMIFS(tblTransactions[Amount],tblTransactions[Transaction Type],"Transfer",tblTransactions[Destination Type],"Account",tblTransactions[Destination Name],$D119,tblTransactions[Transaction Status],"Reconciled")+SUMIFS(tblTransactions[Amount],tblTransactions[Transaction Type],"Adjustment",tblTransactions[Source Account],$D119,tblTransactions[Transaction Status],"Completed",tblTransactions[Amount],"&gt;0")+SUMIFS(tblTransactions[Amount],tblTransactions[Transaction Type],"Adjustment",tblTransactions[Source Account],$D119,tblTransactions[Transaction Status],"Reconciled",tblTransactions[Amount],"&gt;0"),0))</f>
      </c>
      <c r="G119" s="1">
        <f>IF($D119="","",IFERROR(SUMIFS(tblTransactions[Amount],tblTransactions[Transaction Type],"Expense",tblTransactions[Source Account],$D119,tblTransactions[Transaction Status],"Completed")+SUMIFS(tblTransactions[Amount],tblTransactions[Transaction Type],"Expense",tblTransactions[Source Account],$D119,tblTransactions[Transaction Status],"Reconciled")+SUMIFS(tblTransactions[Amount],tblTransactions[Transaction Type],"Transfer",tblTransactions[Source Account],$D119,tblTransactions[Transaction Status],"Completed")+SUMIFS(tblTransactions[Amount],tblTransactions[Transaction Type],"Transfer",tblTransactions[Source Account],$D119,tblTransactions[Transaction Status],"Reconciled")-SUMIFS(tblTransactions[Amount],tblTransactions[Transaction Type],"Adjustment",tblTransactions[Source Account],$D119,tblTransactions[Transaction Status],"Completed",tblTransactions[Amount],"&lt;0")-SUMIFS(tblTransactions[Amount],tblTransactions[Transaction Type],"Adjustment",tblTransactions[Source Account],$D119,tblTransactions[Transaction Status],"Reconciled",tblTransactions[Amount],"&lt;0"),0))</f>
      </c>
      <c r="H119" s="1">
        <f>IF($D119="","",$E119+$F119-$G119)</f>
      </c>
      <c r="I119" s="4">
        <f>IF($D119="","",IFERROR(1/(1/AGGREGATE(14,6,tblTransactions[Transaction Date]/(((tblTransactions[Source Account]=$D119)+((tblTransactions[Transaction Type]="Transfer")*(tblTransactions[Destination Type]="Account")*(tblTransactions[Destination Name]=$D119)))*((tblTransactions[Transaction Status]="Completed")+(tblTransactions[Transaction Status]="Reconciled"))),1)),""))</f>
      </c>
      <c r="J119" s="1">
        <f>IF($D119="","",IFERROR(INDEX(tblAccounts[Account Type],ROW()-1),""))</f>
      </c>
      <c r="K119" s="1">
        <f>IF($D119="","",IFERROR(INDEX(tblAccounts[Include in Dashboard],ROW()-1),""))</f>
      </c>
      <c r="L119" s="1">
        <f>IF($D119="","",IFERROR(INDEX(tblAccounts[Status],ROW()-1),""))</f>
      </c>
    </row>
    <row r="120">
      <c r="D120" s="1">
        <f>IFERROR(IF(INDEX(tblAccounts[Account Name],ROW()-1)="","",INDEX(tblAccounts[Account Name],ROW()-1)),"")</f>
      </c>
      <c r="E120" s="1">
        <f>IF($D120="","",IFERROR(INDEX(tblAccounts[Opening Balance],ROW()-1),0))</f>
      </c>
      <c r="F120" s="1">
        <f>IF($D120="","",IFERROR(SUMIFS(tblTransactions[Amount],tblTransactions[Transaction Type],"Income",tblTransactions[Source Account],$D120,tblTransactions[Transaction Status],"Completed")+SUMIFS(tblTransactions[Amount],tblTransactions[Transaction Type],"Income",tblTransactions[Source Account],$D120,tblTransactions[Transaction Status],"Reconciled")+SUMIFS(tblTransactions[Amount],tblTransactions[Transaction Type],"Transfer",tblTransactions[Destination Type],"Account",tblTransactions[Destination Name],$D120,tblTransactions[Transaction Status],"Completed")+SUMIFS(tblTransactions[Amount],tblTransactions[Transaction Type],"Transfer",tblTransactions[Destination Type],"Account",tblTransactions[Destination Name],$D120,tblTransactions[Transaction Status],"Reconciled")+SUMIFS(tblTransactions[Amount],tblTransactions[Transaction Type],"Adjustment",tblTransactions[Source Account],$D120,tblTransactions[Transaction Status],"Completed",tblTransactions[Amount],"&gt;0")+SUMIFS(tblTransactions[Amount],tblTransactions[Transaction Type],"Adjustment",tblTransactions[Source Account],$D120,tblTransactions[Transaction Status],"Reconciled",tblTransactions[Amount],"&gt;0"),0))</f>
      </c>
      <c r="G120" s="1">
        <f>IF($D120="","",IFERROR(SUMIFS(tblTransactions[Amount],tblTransactions[Transaction Type],"Expense",tblTransactions[Source Account],$D120,tblTransactions[Transaction Status],"Completed")+SUMIFS(tblTransactions[Amount],tblTransactions[Transaction Type],"Expense",tblTransactions[Source Account],$D120,tblTransactions[Transaction Status],"Reconciled")+SUMIFS(tblTransactions[Amount],tblTransactions[Transaction Type],"Transfer",tblTransactions[Source Account],$D120,tblTransactions[Transaction Status],"Completed")+SUMIFS(tblTransactions[Amount],tblTransactions[Transaction Type],"Transfer",tblTransactions[Source Account],$D120,tblTransactions[Transaction Status],"Reconciled")-SUMIFS(tblTransactions[Amount],tblTransactions[Transaction Type],"Adjustment",tblTransactions[Source Account],$D120,tblTransactions[Transaction Status],"Completed",tblTransactions[Amount],"&lt;0")-SUMIFS(tblTransactions[Amount],tblTransactions[Transaction Type],"Adjustment",tblTransactions[Source Account],$D120,tblTransactions[Transaction Status],"Reconciled",tblTransactions[Amount],"&lt;0"),0))</f>
      </c>
      <c r="H120" s="1">
        <f>IF($D120="","",$E120+$F120-$G120)</f>
      </c>
      <c r="I120" s="4">
        <f>IF($D120="","",IFERROR(1/(1/AGGREGATE(14,6,tblTransactions[Transaction Date]/(((tblTransactions[Source Account]=$D120)+((tblTransactions[Transaction Type]="Transfer")*(tblTransactions[Destination Type]="Account")*(tblTransactions[Destination Name]=$D120)))*((tblTransactions[Transaction Status]="Completed")+(tblTransactions[Transaction Status]="Reconciled"))),1)),""))</f>
      </c>
      <c r="J120" s="1">
        <f>IF($D120="","",IFERROR(INDEX(tblAccounts[Account Type],ROW()-1),""))</f>
      </c>
      <c r="K120" s="1">
        <f>IF($D120="","",IFERROR(INDEX(tblAccounts[Include in Dashboard],ROW()-1),""))</f>
      </c>
      <c r="L120" s="1">
        <f>IF($D120="","",IFERROR(INDEX(tblAccounts[Status],ROW()-1),""))</f>
      </c>
    </row>
    <row r="121">
      <c r="D121" s="1">
        <f>IFERROR(IF(INDEX(tblAccounts[Account Name],ROW()-1)="","",INDEX(tblAccounts[Account Name],ROW()-1)),"")</f>
      </c>
      <c r="E121" s="1">
        <f>IF($D121="","",IFERROR(INDEX(tblAccounts[Opening Balance],ROW()-1),0))</f>
      </c>
      <c r="F121" s="1">
        <f>IF($D121="","",IFERROR(SUMIFS(tblTransactions[Amount],tblTransactions[Transaction Type],"Income",tblTransactions[Source Account],$D121,tblTransactions[Transaction Status],"Completed")+SUMIFS(tblTransactions[Amount],tblTransactions[Transaction Type],"Income",tblTransactions[Source Account],$D121,tblTransactions[Transaction Status],"Reconciled")+SUMIFS(tblTransactions[Amount],tblTransactions[Transaction Type],"Transfer",tblTransactions[Destination Type],"Account",tblTransactions[Destination Name],$D121,tblTransactions[Transaction Status],"Completed")+SUMIFS(tblTransactions[Amount],tblTransactions[Transaction Type],"Transfer",tblTransactions[Destination Type],"Account",tblTransactions[Destination Name],$D121,tblTransactions[Transaction Status],"Reconciled")+SUMIFS(tblTransactions[Amount],tblTransactions[Transaction Type],"Adjustment",tblTransactions[Source Account],$D121,tblTransactions[Transaction Status],"Completed",tblTransactions[Amount],"&gt;0")+SUMIFS(tblTransactions[Amount],tblTransactions[Transaction Type],"Adjustment",tblTransactions[Source Account],$D121,tblTransactions[Transaction Status],"Reconciled",tblTransactions[Amount],"&gt;0"),0))</f>
      </c>
      <c r="G121" s="1">
        <f>IF($D121="","",IFERROR(SUMIFS(tblTransactions[Amount],tblTransactions[Transaction Type],"Expense",tblTransactions[Source Account],$D121,tblTransactions[Transaction Status],"Completed")+SUMIFS(tblTransactions[Amount],tblTransactions[Transaction Type],"Expense",tblTransactions[Source Account],$D121,tblTransactions[Transaction Status],"Reconciled")+SUMIFS(tblTransactions[Amount],tblTransactions[Transaction Type],"Transfer",tblTransactions[Source Account],$D121,tblTransactions[Transaction Status],"Completed")+SUMIFS(tblTransactions[Amount],tblTransactions[Transaction Type],"Transfer",tblTransactions[Source Account],$D121,tblTransactions[Transaction Status],"Reconciled")-SUMIFS(tblTransactions[Amount],tblTransactions[Transaction Type],"Adjustment",tblTransactions[Source Account],$D121,tblTransactions[Transaction Status],"Completed",tblTransactions[Amount],"&lt;0")-SUMIFS(tblTransactions[Amount],tblTransactions[Transaction Type],"Adjustment",tblTransactions[Source Account],$D121,tblTransactions[Transaction Status],"Reconciled",tblTransactions[Amount],"&lt;0"),0))</f>
      </c>
      <c r="H121" s="1">
        <f>IF($D121="","",$E121+$F121-$G121)</f>
      </c>
      <c r="I121" s="4">
        <f>IF($D121="","",IFERROR(1/(1/AGGREGATE(14,6,tblTransactions[Transaction Date]/(((tblTransactions[Source Account]=$D121)+((tblTransactions[Transaction Type]="Transfer")*(tblTransactions[Destination Type]="Account")*(tblTransactions[Destination Name]=$D121)))*((tblTransactions[Transaction Status]="Completed")+(tblTransactions[Transaction Status]="Reconciled"))),1)),""))</f>
      </c>
      <c r="J121" s="1">
        <f>IF($D121="","",IFERROR(INDEX(tblAccounts[Account Type],ROW()-1),""))</f>
      </c>
      <c r="K121" s="1">
        <f>IF($D121="","",IFERROR(INDEX(tblAccounts[Include in Dashboard],ROW()-1),""))</f>
      </c>
      <c r="L121" s="1">
        <f>IF($D121="","",IFERROR(INDEX(tblAccounts[Status],ROW()-1),""))</f>
      </c>
    </row>
    <row r="122">
      <c r="D122" s="1">
        <f>IFERROR(IF(INDEX(tblAccounts[Account Name],ROW()-1)="","",INDEX(tblAccounts[Account Name],ROW()-1)),"")</f>
      </c>
      <c r="E122" s="1">
        <f>IF($D122="","",IFERROR(INDEX(tblAccounts[Opening Balance],ROW()-1),0))</f>
      </c>
      <c r="F122" s="1">
        <f>IF($D122="","",IFERROR(SUMIFS(tblTransactions[Amount],tblTransactions[Transaction Type],"Income",tblTransactions[Source Account],$D122,tblTransactions[Transaction Status],"Completed")+SUMIFS(tblTransactions[Amount],tblTransactions[Transaction Type],"Income",tblTransactions[Source Account],$D122,tblTransactions[Transaction Status],"Reconciled")+SUMIFS(tblTransactions[Amount],tblTransactions[Transaction Type],"Transfer",tblTransactions[Destination Type],"Account",tblTransactions[Destination Name],$D122,tblTransactions[Transaction Status],"Completed")+SUMIFS(tblTransactions[Amount],tblTransactions[Transaction Type],"Transfer",tblTransactions[Destination Type],"Account",tblTransactions[Destination Name],$D122,tblTransactions[Transaction Status],"Reconciled")+SUMIFS(tblTransactions[Amount],tblTransactions[Transaction Type],"Adjustment",tblTransactions[Source Account],$D122,tblTransactions[Transaction Status],"Completed",tblTransactions[Amount],"&gt;0")+SUMIFS(tblTransactions[Amount],tblTransactions[Transaction Type],"Adjustment",tblTransactions[Source Account],$D122,tblTransactions[Transaction Status],"Reconciled",tblTransactions[Amount],"&gt;0"),0))</f>
      </c>
      <c r="G122" s="1">
        <f>IF($D122="","",IFERROR(SUMIFS(tblTransactions[Amount],tblTransactions[Transaction Type],"Expense",tblTransactions[Source Account],$D122,tblTransactions[Transaction Status],"Completed")+SUMIFS(tblTransactions[Amount],tblTransactions[Transaction Type],"Expense",tblTransactions[Source Account],$D122,tblTransactions[Transaction Status],"Reconciled")+SUMIFS(tblTransactions[Amount],tblTransactions[Transaction Type],"Transfer",tblTransactions[Source Account],$D122,tblTransactions[Transaction Status],"Completed")+SUMIFS(tblTransactions[Amount],tblTransactions[Transaction Type],"Transfer",tblTransactions[Source Account],$D122,tblTransactions[Transaction Status],"Reconciled")-SUMIFS(tblTransactions[Amount],tblTransactions[Transaction Type],"Adjustment",tblTransactions[Source Account],$D122,tblTransactions[Transaction Status],"Completed",tblTransactions[Amount],"&lt;0")-SUMIFS(tblTransactions[Amount],tblTransactions[Transaction Type],"Adjustment",tblTransactions[Source Account],$D122,tblTransactions[Transaction Status],"Reconciled",tblTransactions[Amount],"&lt;0"),0))</f>
      </c>
      <c r="H122" s="1">
        <f>IF($D122="","",$E122+$F122-$G122)</f>
      </c>
      <c r="I122" s="4">
        <f>IF($D122="","",IFERROR(1/(1/AGGREGATE(14,6,tblTransactions[Transaction Date]/(((tblTransactions[Source Account]=$D122)+((tblTransactions[Transaction Type]="Transfer")*(tblTransactions[Destination Type]="Account")*(tblTransactions[Destination Name]=$D122)))*((tblTransactions[Transaction Status]="Completed")+(tblTransactions[Transaction Status]="Reconciled"))),1)),""))</f>
      </c>
      <c r="J122" s="1">
        <f>IF($D122="","",IFERROR(INDEX(tblAccounts[Account Type],ROW()-1),""))</f>
      </c>
      <c r="K122" s="1">
        <f>IF($D122="","",IFERROR(INDEX(tblAccounts[Include in Dashboard],ROW()-1),""))</f>
      </c>
      <c r="L122" s="1">
        <f>IF($D122="","",IFERROR(INDEX(tblAccounts[Status],ROW()-1),""))</f>
      </c>
    </row>
    <row r="123">
      <c r="D123" s="1">
        <f>IFERROR(IF(INDEX(tblAccounts[Account Name],ROW()-1)="","",INDEX(tblAccounts[Account Name],ROW()-1)),"")</f>
      </c>
      <c r="E123" s="1">
        <f>IF($D123="","",IFERROR(INDEX(tblAccounts[Opening Balance],ROW()-1),0))</f>
      </c>
      <c r="F123" s="1">
        <f>IF($D123="","",IFERROR(SUMIFS(tblTransactions[Amount],tblTransactions[Transaction Type],"Income",tblTransactions[Source Account],$D123,tblTransactions[Transaction Status],"Completed")+SUMIFS(tblTransactions[Amount],tblTransactions[Transaction Type],"Income",tblTransactions[Source Account],$D123,tblTransactions[Transaction Status],"Reconciled")+SUMIFS(tblTransactions[Amount],tblTransactions[Transaction Type],"Transfer",tblTransactions[Destination Type],"Account",tblTransactions[Destination Name],$D123,tblTransactions[Transaction Status],"Completed")+SUMIFS(tblTransactions[Amount],tblTransactions[Transaction Type],"Transfer",tblTransactions[Destination Type],"Account",tblTransactions[Destination Name],$D123,tblTransactions[Transaction Status],"Reconciled")+SUMIFS(tblTransactions[Amount],tblTransactions[Transaction Type],"Adjustment",tblTransactions[Source Account],$D123,tblTransactions[Transaction Status],"Completed",tblTransactions[Amount],"&gt;0")+SUMIFS(tblTransactions[Amount],tblTransactions[Transaction Type],"Adjustment",tblTransactions[Source Account],$D123,tblTransactions[Transaction Status],"Reconciled",tblTransactions[Amount],"&gt;0"),0))</f>
      </c>
      <c r="G123" s="1">
        <f>IF($D123="","",IFERROR(SUMIFS(tblTransactions[Amount],tblTransactions[Transaction Type],"Expense",tblTransactions[Source Account],$D123,tblTransactions[Transaction Status],"Completed")+SUMIFS(tblTransactions[Amount],tblTransactions[Transaction Type],"Expense",tblTransactions[Source Account],$D123,tblTransactions[Transaction Status],"Reconciled")+SUMIFS(tblTransactions[Amount],tblTransactions[Transaction Type],"Transfer",tblTransactions[Source Account],$D123,tblTransactions[Transaction Status],"Completed")+SUMIFS(tblTransactions[Amount],tblTransactions[Transaction Type],"Transfer",tblTransactions[Source Account],$D123,tblTransactions[Transaction Status],"Reconciled")-SUMIFS(tblTransactions[Amount],tblTransactions[Transaction Type],"Adjustment",tblTransactions[Source Account],$D123,tblTransactions[Transaction Status],"Completed",tblTransactions[Amount],"&lt;0")-SUMIFS(tblTransactions[Amount],tblTransactions[Transaction Type],"Adjustment",tblTransactions[Source Account],$D123,tblTransactions[Transaction Status],"Reconciled",tblTransactions[Amount],"&lt;0"),0))</f>
      </c>
      <c r="H123" s="1">
        <f>IF($D123="","",$E123+$F123-$G123)</f>
      </c>
      <c r="I123" s="4">
        <f>IF($D123="","",IFERROR(1/(1/AGGREGATE(14,6,tblTransactions[Transaction Date]/(((tblTransactions[Source Account]=$D123)+((tblTransactions[Transaction Type]="Transfer")*(tblTransactions[Destination Type]="Account")*(tblTransactions[Destination Name]=$D123)))*((tblTransactions[Transaction Status]="Completed")+(tblTransactions[Transaction Status]="Reconciled"))),1)),""))</f>
      </c>
      <c r="J123" s="1">
        <f>IF($D123="","",IFERROR(INDEX(tblAccounts[Account Type],ROW()-1),""))</f>
      </c>
      <c r="K123" s="1">
        <f>IF($D123="","",IFERROR(INDEX(tblAccounts[Include in Dashboard],ROW()-1),""))</f>
      </c>
      <c r="L123" s="1">
        <f>IF($D123="","",IFERROR(INDEX(tblAccounts[Status],ROW()-1),""))</f>
      </c>
    </row>
    <row r="124">
      <c r="D124" s="1">
        <f>IFERROR(IF(INDEX(tblAccounts[Account Name],ROW()-1)="","",INDEX(tblAccounts[Account Name],ROW()-1)),"")</f>
      </c>
      <c r="E124" s="1">
        <f>IF($D124="","",IFERROR(INDEX(tblAccounts[Opening Balance],ROW()-1),0))</f>
      </c>
      <c r="F124" s="1">
        <f>IF($D124="","",IFERROR(SUMIFS(tblTransactions[Amount],tblTransactions[Transaction Type],"Income",tblTransactions[Source Account],$D124,tblTransactions[Transaction Status],"Completed")+SUMIFS(tblTransactions[Amount],tblTransactions[Transaction Type],"Income",tblTransactions[Source Account],$D124,tblTransactions[Transaction Status],"Reconciled")+SUMIFS(tblTransactions[Amount],tblTransactions[Transaction Type],"Transfer",tblTransactions[Destination Type],"Account",tblTransactions[Destination Name],$D124,tblTransactions[Transaction Status],"Completed")+SUMIFS(tblTransactions[Amount],tblTransactions[Transaction Type],"Transfer",tblTransactions[Destination Type],"Account",tblTransactions[Destination Name],$D124,tblTransactions[Transaction Status],"Reconciled")+SUMIFS(tblTransactions[Amount],tblTransactions[Transaction Type],"Adjustment",tblTransactions[Source Account],$D124,tblTransactions[Transaction Status],"Completed",tblTransactions[Amount],"&gt;0")+SUMIFS(tblTransactions[Amount],tblTransactions[Transaction Type],"Adjustment",tblTransactions[Source Account],$D124,tblTransactions[Transaction Status],"Reconciled",tblTransactions[Amount],"&gt;0"),0))</f>
      </c>
      <c r="G124" s="1">
        <f>IF($D124="","",IFERROR(SUMIFS(tblTransactions[Amount],tblTransactions[Transaction Type],"Expense",tblTransactions[Source Account],$D124,tblTransactions[Transaction Status],"Completed")+SUMIFS(tblTransactions[Amount],tblTransactions[Transaction Type],"Expense",tblTransactions[Source Account],$D124,tblTransactions[Transaction Status],"Reconciled")+SUMIFS(tblTransactions[Amount],tblTransactions[Transaction Type],"Transfer",tblTransactions[Source Account],$D124,tblTransactions[Transaction Status],"Completed")+SUMIFS(tblTransactions[Amount],tblTransactions[Transaction Type],"Transfer",tblTransactions[Source Account],$D124,tblTransactions[Transaction Status],"Reconciled")-SUMIFS(tblTransactions[Amount],tblTransactions[Transaction Type],"Adjustment",tblTransactions[Source Account],$D124,tblTransactions[Transaction Status],"Completed",tblTransactions[Amount],"&lt;0")-SUMIFS(tblTransactions[Amount],tblTransactions[Transaction Type],"Adjustment",tblTransactions[Source Account],$D124,tblTransactions[Transaction Status],"Reconciled",tblTransactions[Amount],"&lt;0"),0))</f>
      </c>
      <c r="H124" s="1">
        <f>IF($D124="","",$E124+$F124-$G124)</f>
      </c>
      <c r="I124" s="4">
        <f>IF($D124="","",IFERROR(1/(1/AGGREGATE(14,6,tblTransactions[Transaction Date]/(((tblTransactions[Source Account]=$D124)+((tblTransactions[Transaction Type]="Transfer")*(tblTransactions[Destination Type]="Account")*(tblTransactions[Destination Name]=$D124)))*((tblTransactions[Transaction Status]="Completed")+(tblTransactions[Transaction Status]="Reconciled"))),1)),""))</f>
      </c>
      <c r="J124" s="1">
        <f>IF($D124="","",IFERROR(INDEX(tblAccounts[Account Type],ROW()-1),""))</f>
      </c>
      <c r="K124" s="1">
        <f>IF($D124="","",IFERROR(INDEX(tblAccounts[Include in Dashboard],ROW()-1),""))</f>
      </c>
      <c r="L124" s="1">
        <f>IF($D124="","",IFERROR(INDEX(tblAccounts[Status],ROW()-1),""))</f>
      </c>
    </row>
    <row r="125">
      <c r="D125" s="1">
        <f>IFERROR(IF(INDEX(tblAccounts[Account Name],ROW()-1)="","",INDEX(tblAccounts[Account Name],ROW()-1)),"")</f>
      </c>
      <c r="E125" s="1">
        <f>IF($D125="","",IFERROR(INDEX(tblAccounts[Opening Balance],ROW()-1),0))</f>
      </c>
      <c r="F125" s="1">
        <f>IF($D125="","",IFERROR(SUMIFS(tblTransactions[Amount],tblTransactions[Transaction Type],"Income",tblTransactions[Source Account],$D125,tblTransactions[Transaction Status],"Completed")+SUMIFS(tblTransactions[Amount],tblTransactions[Transaction Type],"Income",tblTransactions[Source Account],$D125,tblTransactions[Transaction Status],"Reconciled")+SUMIFS(tblTransactions[Amount],tblTransactions[Transaction Type],"Transfer",tblTransactions[Destination Type],"Account",tblTransactions[Destination Name],$D125,tblTransactions[Transaction Status],"Completed")+SUMIFS(tblTransactions[Amount],tblTransactions[Transaction Type],"Transfer",tblTransactions[Destination Type],"Account",tblTransactions[Destination Name],$D125,tblTransactions[Transaction Status],"Reconciled")+SUMIFS(tblTransactions[Amount],tblTransactions[Transaction Type],"Adjustment",tblTransactions[Source Account],$D125,tblTransactions[Transaction Status],"Completed",tblTransactions[Amount],"&gt;0")+SUMIFS(tblTransactions[Amount],tblTransactions[Transaction Type],"Adjustment",tblTransactions[Source Account],$D125,tblTransactions[Transaction Status],"Reconciled",tblTransactions[Amount],"&gt;0"),0))</f>
      </c>
      <c r="G125" s="1">
        <f>IF($D125="","",IFERROR(SUMIFS(tblTransactions[Amount],tblTransactions[Transaction Type],"Expense",tblTransactions[Source Account],$D125,tblTransactions[Transaction Status],"Completed")+SUMIFS(tblTransactions[Amount],tblTransactions[Transaction Type],"Expense",tblTransactions[Source Account],$D125,tblTransactions[Transaction Status],"Reconciled")+SUMIFS(tblTransactions[Amount],tblTransactions[Transaction Type],"Transfer",tblTransactions[Source Account],$D125,tblTransactions[Transaction Status],"Completed")+SUMIFS(tblTransactions[Amount],tblTransactions[Transaction Type],"Transfer",tblTransactions[Source Account],$D125,tblTransactions[Transaction Status],"Reconciled")-SUMIFS(tblTransactions[Amount],tblTransactions[Transaction Type],"Adjustment",tblTransactions[Source Account],$D125,tblTransactions[Transaction Status],"Completed",tblTransactions[Amount],"&lt;0")-SUMIFS(tblTransactions[Amount],tblTransactions[Transaction Type],"Adjustment",tblTransactions[Source Account],$D125,tblTransactions[Transaction Status],"Reconciled",tblTransactions[Amount],"&lt;0"),0))</f>
      </c>
      <c r="H125" s="1">
        <f>IF($D125="","",$E125+$F125-$G125)</f>
      </c>
      <c r="I125" s="4">
        <f>IF($D125="","",IFERROR(1/(1/AGGREGATE(14,6,tblTransactions[Transaction Date]/(((tblTransactions[Source Account]=$D125)+((tblTransactions[Transaction Type]="Transfer")*(tblTransactions[Destination Type]="Account")*(tblTransactions[Destination Name]=$D125)))*((tblTransactions[Transaction Status]="Completed")+(tblTransactions[Transaction Status]="Reconciled"))),1)),""))</f>
      </c>
      <c r="J125" s="1">
        <f>IF($D125="","",IFERROR(INDEX(tblAccounts[Account Type],ROW()-1),""))</f>
      </c>
      <c r="K125" s="1">
        <f>IF($D125="","",IFERROR(INDEX(tblAccounts[Include in Dashboard],ROW()-1),""))</f>
      </c>
      <c r="L125" s="1">
        <f>IF($D125="","",IFERROR(INDEX(tblAccounts[Status],ROW()-1),""))</f>
      </c>
    </row>
    <row r="126">
      <c r="D126" s="1">
        <f>IFERROR(IF(INDEX(tblAccounts[Account Name],ROW()-1)="","",INDEX(tblAccounts[Account Name],ROW()-1)),"")</f>
      </c>
      <c r="E126" s="1">
        <f>IF($D126="","",IFERROR(INDEX(tblAccounts[Opening Balance],ROW()-1),0))</f>
      </c>
      <c r="F126" s="1">
        <f>IF($D126="","",IFERROR(SUMIFS(tblTransactions[Amount],tblTransactions[Transaction Type],"Income",tblTransactions[Source Account],$D126,tblTransactions[Transaction Status],"Completed")+SUMIFS(tblTransactions[Amount],tblTransactions[Transaction Type],"Income",tblTransactions[Source Account],$D126,tblTransactions[Transaction Status],"Reconciled")+SUMIFS(tblTransactions[Amount],tblTransactions[Transaction Type],"Transfer",tblTransactions[Destination Type],"Account",tblTransactions[Destination Name],$D126,tblTransactions[Transaction Status],"Completed")+SUMIFS(tblTransactions[Amount],tblTransactions[Transaction Type],"Transfer",tblTransactions[Destination Type],"Account",tblTransactions[Destination Name],$D126,tblTransactions[Transaction Status],"Reconciled")+SUMIFS(tblTransactions[Amount],tblTransactions[Transaction Type],"Adjustment",tblTransactions[Source Account],$D126,tblTransactions[Transaction Status],"Completed",tblTransactions[Amount],"&gt;0")+SUMIFS(tblTransactions[Amount],tblTransactions[Transaction Type],"Adjustment",tblTransactions[Source Account],$D126,tblTransactions[Transaction Status],"Reconciled",tblTransactions[Amount],"&gt;0"),0))</f>
      </c>
      <c r="G126" s="1">
        <f>IF($D126="","",IFERROR(SUMIFS(tblTransactions[Amount],tblTransactions[Transaction Type],"Expense",tblTransactions[Source Account],$D126,tblTransactions[Transaction Status],"Completed")+SUMIFS(tblTransactions[Amount],tblTransactions[Transaction Type],"Expense",tblTransactions[Source Account],$D126,tblTransactions[Transaction Status],"Reconciled")+SUMIFS(tblTransactions[Amount],tblTransactions[Transaction Type],"Transfer",tblTransactions[Source Account],$D126,tblTransactions[Transaction Status],"Completed")+SUMIFS(tblTransactions[Amount],tblTransactions[Transaction Type],"Transfer",tblTransactions[Source Account],$D126,tblTransactions[Transaction Status],"Reconciled")-SUMIFS(tblTransactions[Amount],tblTransactions[Transaction Type],"Adjustment",tblTransactions[Source Account],$D126,tblTransactions[Transaction Status],"Completed",tblTransactions[Amount],"&lt;0")-SUMIFS(tblTransactions[Amount],tblTransactions[Transaction Type],"Adjustment",tblTransactions[Source Account],$D126,tblTransactions[Transaction Status],"Reconciled",tblTransactions[Amount],"&lt;0"),0))</f>
      </c>
      <c r="H126" s="1">
        <f>IF($D126="","",$E126+$F126-$G126)</f>
      </c>
      <c r="I126" s="4">
        <f>IF($D126="","",IFERROR(1/(1/AGGREGATE(14,6,tblTransactions[Transaction Date]/(((tblTransactions[Source Account]=$D126)+((tblTransactions[Transaction Type]="Transfer")*(tblTransactions[Destination Type]="Account")*(tblTransactions[Destination Name]=$D126)))*((tblTransactions[Transaction Status]="Completed")+(tblTransactions[Transaction Status]="Reconciled"))),1)),""))</f>
      </c>
      <c r="J126" s="1">
        <f>IF($D126="","",IFERROR(INDEX(tblAccounts[Account Type],ROW()-1),""))</f>
      </c>
      <c r="K126" s="1">
        <f>IF($D126="","",IFERROR(INDEX(tblAccounts[Include in Dashboard],ROW()-1),""))</f>
      </c>
      <c r="L126" s="1">
        <f>IF($D126="","",IFERROR(INDEX(tblAccounts[Status],ROW()-1),""))</f>
      </c>
    </row>
    <row r="127">
      <c r="D127" s="1">
        <f>IFERROR(IF(INDEX(tblAccounts[Account Name],ROW()-1)="","",INDEX(tblAccounts[Account Name],ROW()-1)),"")</f>
      </c>
      <c r="E127" s="1">
        <f>IF($D127="","",IFERROR(INDEX(tblAccounts[Opening Balance],ROW()-1),0))</f>
      </c>
      <c r="F127" s="1">
        <f>IF($D127="","",IFERROR(SUMIFS(tblTransactions[Amount],tblTransactions[Transaction Type],"Income",tblTransactions[Source Account],$D127,tblTransactions[Transaction Status],"Completed")+SUMIFS(tblTransactions[Amount],tblTransactions[Transaction Type],"Income",tblTransactions[Source Account],$D127,tblTransactions[Transaction Status],"Reconciled")+SUMIFS(tblTransactions[Amount],tblTransactions[Transaction Type],"Transfer",tblTransactions[Destination Type],"Account",tblTransactions[Destination Name],$D127,tblTransactions[Transaction Status],"Completed")+SUMIFS(tblTransactions[Amount],tblTransactions[Transaction Type],"Transfer",tblTransactions[Destination Type],"Account",tblTransactions[Destination Name],$D127,tblTransactions[Transaction Status],"Reconciled")+SUMIFS(tblTransactions[Amount],tblTransactions[Transaction Type],"Adjustment",tblTransactions[Source Account],$D127,tblTransactions[Transaction Status],"Completed",tblTransactions[Amount],"&gt;0")+SUMIFS(tblTransactions[Amount],tblTransactions[Transaction Type],"Adjustment",tblTransactions[Source Account],$D127,tblTransactions[Transaction Status],"Reconciled",tblTransactions[Amount],"&gt;0"),0))</f>
      </c>
      <c r="G127" s="1">
        <f>IF($D127="","",IFERROR(SUMIFS(tblTransactions[Amount],tblTransactions[Transaction Type],"Expense",tblTransactions[Source Account],$D127,tblTransactions[Transaction Status],"Completed")+SUMIFS(tblTransactions[Amount],tblTransactions[Transaction Type],"Expense",tblTransactions[Source Account],$D127,tblTransactions[Transaction Status],"Reconciled")+SUMIFS(tblTransactions[Amount],tblTransactions[Transaction Type],"Transfer",tblTransactions[Source Account],$D127,tblTransactions[Transaction Status],"Completed")+SUMIFS(tblTransactions[Amount],tblTransactions[Transaction Type],"Transfer",tblTransactions[Source Account],$D127,tblTransactions[Transaction Status],"Reconciled")-SUMIFS(tblTransactions[Amount],tblTransactions[Transaction Type],"Adjustment",tblTransactions[Source Account],$D127,tblTransactions[Transaction Status],"Completed",tblTransactions[Amount],"&lt;0")-SUMIFS(tblTransactions[Amount],tblTransactions[Transaction Type],"Adjustment",tblTransactions[Source Account],$D127,tblTransactions[Transaction Status],"Reconciled",tblTransactions[Amount],"&lt;0"),0))</f>
      </c>
      <c r="H127" s="1">
        <f>IF($D127="","",$E127+$F127-$G127)</f>
      </c>
      <c r="I127" s="4">
        <f>IF($D127="","",IFERROR(1/(1/AGGREGATE(14,6,tblTransactions[Transaction Date]/(((tblTransactions[Source Account]=$D127)+((tblTransactions[Transaction Type]="Transfer")*(tblTransactions[Destination Type]="Account")*(tblTransactions[Destination Name]=$D127)))*((tblTransactions[Transaction Status]="Completed")+(tblTransactions[Transaction Status]="Reconciled"))),1)),""))</f>
      </c>
      <c r="J127" s="1">
        <f>IF($D127="","",IFERROR(INDEX(tblAccounts[Account Type],ROW()-1),""))</f>
      </c>
      <c r="K127" s="1">
        <f>IF($D127="","",IFERROR(INDEX(tblAccounts[Include in Dashboard],ROW()-1),""))</f>
      </c>
      <c r="L127" s="1">
        <f>IF($D127="","",IFERROR(INDEX(tblAccounts[Status],ROW()-1),""))</f>
      </c>
    </row>
    <row r="128">
      <c r="D128" s="1">
        <f>IFERROR(IF(INDEX(tblAccounts[Account Name],ROW()-1)="","",INDEX(tblAccounts[Account Name],ROW()-1)),"")</f>
      </c>
      <c r="E128" s="1">
        <f>IF($D128="","",IFERROR(INDEX(tblAccounts[Opening Balance],ROW()-1),0))</f>
      </c>
      <c r="F128" s="1">
        <f>IF($D128="","",IFERROR(SUMIFS(tblTransactions[Amount],tblTransactions[Transaction Type],"Income",tblTransactions[Source Account],$D128,tblTransactions[Transaction Status],"Completed")+SUMIFS(tblTransactions[Amount],tblTransactions[Transaction Type],"Income",tblTransactions[Source Account],$D128,tblTransactions[Transaction Status],"Reconciled")+SUMIFS(tblTransactions[Amount],tblTransactions[Transaction Type],"Transfer",tblTransactions[Destination Type],"Account",tblTransactions[Destination Name],$D128,tblTransactions[Transaction Status],"Completed")+SUMIFS(tblTransactions[Amount],tblTransactions[Transaction Type],"Transfer",tblTransactions[Destination Type],"Account",tblTransactions[Destination Name],$D128,tblTransactions[Transaction Status],"Reconciled")+SUMIFS(tblTransactions[Amount],tblTransactions[Transaction Type],"Adjustment",tblTransactions[Source Account],$D128,tblTransactions[Transaction Status],"Completed",tblTransactions[Amount],"&gt;0")+SUMIFS(tblTransactions[Amount],tblTransactions[Transaction Type],"Adjustment",tblTransactions[Source Account],$D128,tblTransactions[Transaction Status],"Reconciled",tblTransactions[Amount],"&gt;0"),0))</f>
      </c>
      <c r="G128" s="1">
        <f>IF($D128="","",IFERROR(SUMIFS(tblTransactions[Amount],tblTransactions[Transaction Type],"Expense",tblTransactions[Source Account],$D128,tblTransactions[Transaction Status],"Completed")+SUMIFS(tblTransactions[Amount],tblTransactions[Transaction Type],"Expense",tblTransactions[Source Account],$D128,tblTransactions[Transaction Status],"Reconciled")+SUMIFS(tblTransactions[Amount],tblTransactions[Transaction Type],"Transfer",tblTransactions[Source Account],$D128,tblTransactions[Transaction Status],"Completed")+SUMIFS(tblTransactions[Amount],tblTransactions[Transaction Type],"Transfer",tblTransactions[Source Account],$D128,tblTransactions[Transaction Status],"Reconciled")-SUMIFS(tblTransactions[Amount],tblTransactions[Transaction Type],"Adjustment",tblTransactions[Source Account],$D128,tblTransactions[Transaction Status],"Completed",tblTransactions[Amount],"&lt;0")-SUMIFS(tblTransactions[Amount],tblTransactions[Transaction Type],"Adjustment",tblTransactions[Source Account],$D128,tblTransactions[Transaction Status],"Reconciled",tblTransactions[Amount],"&lt;0"),0))</f>
      </c>
      <c r="H128" s="1">
        <f>IF($D128="","",$E128+$F128-$G128)</f>
      </c>
      <c r="I128" s="4">
        <f>IF($D128="","",IFERROR(1/(1/AGGREGATE(14,6,tblTransactions[Transaction Date]/(((tblTransactions[Source Account]=$D128)+((tblTransactions[Transaction Type]="Transfer")*(tblTransactions[Destination Type]="Account")*(tblTransactions[Destination Name]=$D128)))*((tblTransactions[Transaction Status]="Completed")+(tblTransactions[Transaction Status]="Reconciled"))),1)),""))</f>
      </c>
      <c r="J128" s="1">
        <f>IF($D128="","",IFERROR(INDEX(tblAccounts[Account Type],ROW()-1),""))</f>
      </c>
      <c r="K128" s="1">
        <f>IF($D128="","",IFERROR(INDEX(tblAccounts[Include in Dashboard],ROW()-1),""))</f>
      </c>
      <c r="L128" s="1">
        <f>IF($D128="","",IFERROR(INDEX(tblAccounts[Status],ROW()-1),""))</f>
      </c>
    </row>
    <row r="129">
      <c r="D129" s="1">
        <f>IFERROR(IF(INDEX(tblAccounts[Account Name],ROW()-1)="","",INDEX(tblAccounts[Account Name],ROW()-1)),"")</f>
      </c>
      <c r="E129" s="1">
        <f>IF($D129="","",IFERROR(INDEX(tblAccounts[Opening Balance],ROW()-1),0))</f>
      </c>
      <c r="F129" s="1">
        <f>IF($D129="","",IFERROR(SUMIFS(tblTransactions[Amount],tblTransactions[Transaction Type],"Income",tblTransactions[Source Account],$D129,tblTransactions[Transaction Status],"Completed")+SUMIFS(tblTransactions[Amount],tblTransactions[Transaction Type],"Income",tblTransactions[Source Account],$D129,tblTransactions[Transaction Status],"Reconciled")+SUMIFS(tblTransactions[Amount],tblTransactions[Transaction Type],"Transfer",tblTransactions[Destination Type],"Account",tblTransactions[Destination Name],$D129,tblTransactions[Transaction Status],"Completed")+SUMIFS(tblTransactions[Amount],tblTransactions[Transaction Type],"Transfer",tblTransactions[Destination Type],"Account",tblTransactions[Destination Name],$D129,tblTransactions[Transaction Status],"Reconciled")+SUMIFS(tblTransactions[Amount],tblTransactions[Transaction Type],"Adjustment",tblTransactions[Source Account],$D129,tblTransactions[Transaction Status],"Completed",tblTransactions[Amount],"&gt;0")+SUMIFS(tblTransactions[Amount],tblTransactions[Transaction Type],"Adjustment",tblTransactions[Source Account],$D129,tblTransactions[Transaction Status],"Reconciled",tblTransactions[Amount],"&gt;0"),0))</f>
      </c>
      <c r="G129" s="1">
        <f>IF($D129="","",IFERROR(SUMIFS(tblTransactions[Amount],tblTransactions[Transaction Type],"Expense",tblTransactions[Source Account],$D129,tblTransactions[Transaction Status],"Completed")+SUMIFS(tblTransactions[Amount],tblTransactions[Transaction Type],"Expense",tblTransactions[Source Account],$D129,tblTransactions[Transaction Status],"Reconciled")+SUMIFS(tblTransactions[Amount],tblTransactions[Transaction Type],"Transfer",tblTransactions[Source Account],$D129,tblTransactions[Transaction Status],"Completed")+SUMIFS(tblTransactions[Amount],tblTransactions[Transaction Type],"Transfer",tblTransactions[Source Account],$D129,tblTransactions[Transaction Status],"Reconciled")-SUMIFS(tblTransactions[Amount],tblTransactions[Transaction Type],"Adjustment",tblTransactions[Source Account],$D129,tblTransactions[Transaction Status],"Completed",tblTransactions[Amount],"&lt;0")-SUMIFS(tblTransactions[Amount],tblTransactions[Transaction Type],"Adjustment",tblTransactions[Source Account],$D129,tblTransactions[Transaction Status],"Reconciled",tblTransactions[Amount],"&lt;0"),0))</f>
      </c>
      <c r="H129" s="1">
        <f>IF($D129="","",$E129+$F129-$G129)</f>
      </c>
      <c r="I129" s="4">
        <f>IF($D129="","",IFERROR(1/(1/AGGREGATE(14,6,tblTransactions[Transaction Date]/(((tblTransactions[Source Account]=$D129)+((tblTransactions[Transaction Type]="Transfer")*(tblTransactions[Destination Type]="Account")*(tblTransactions[Destination Name]=$D129)))*((tblTransactions[Transaction Status]="Completed")+(tblTransactions[Transaction Status]="Reconciled"))),1)),""))</f>
      </c>
      <c r="J129" s="1">
        <f>IF($D129="","",IFERROR(INDEX(tblAccounts[Account Type],ROW()-1),""))</f>
      </c>
      <c r="K129" s="1">
        <f>IF($D129="","",IFERROR(INDEX(tblAccounts[Include in Dashboard],ROW()-1),""))</f>
      </c>
      <c r="L129" s="1">
        <f>IF($D129="","",IFERROR(INDEX(tblAccounts[Status],ROW()-1),""))</f>
      </c>
    </row>
    <row r="130">
      <c r="D130" s="1">
        <f>IFERROR(IF(INDEX(tblAccounts[Account Name],ROW()-1)="","",INDEX(tblAccounts[Account Name],ROW()-1)),"")</f>
      </c>
      <c r="E130" s="1">
        <f>IF($D130="","",IFERROR(INDEX(tblAccounts[Opening Balance],ROW()-1),0))</f>
      </c>
      <c r="F130" s="1">
        <f>IF($D130="","",IFERROR(SUMIFS(tblTransactions[Amount],tblTransactions[Transaction Type],"Income",tblTransactions[Source Account],$D130,tblTransactions[Transaction Status],"Completed")+SUMIFS(tblTransactions[Amount],tblTransactions[Transaction Type],"Income",tblTransactions[Source Account],$D130,tblTransactions[Transaction Status],"Reconciled")+SUMIFS(tblTransactions[Amount],tblTransactions[Transaction Type],"Transfer",tblTransactions[Destination Type],"Account",tblTransactions[Destination Name],$D130,tblTransactions[Transaction Status],"Completed")+SUMIFS(tblTransactions[Amount],tblTransactions[Transaction Type],"Transfer",tblTransactions[Destination Type],"Account",tblTransactions[Destination Name],$D130,tblTransactions[Transaction Status],"Reconciled")+SUMIFS(tblTransactions[Amount],tblTransactions[Transaction Type],"Adjustment",tblTransactions[Source Account],$D130,tblTransactions[Transaction Status],"Completed",tblTransactions[Amount],"&gt;0")+SUMIFS(tblTransactions[Amount],tblTransactions[Transaction Type],"Adjustment",tblTransactions[Source Account],$D130,tblTransactions[Transaction Status],"Reconciled",tblTransactions[Amount],"&gt;0"),0))</f>
      </c>
      <c r="G130" s="1">
        <f>IF($D130="","",IFERROR(SUMIFS(tblTransactions[Amount],tblTransactions[Transaction Type],"Expense",tblTransactions[Source Account],$D130,tblTransactions[Transaction Status],"Completed")+SUMIFS(tblTransactions[Amount],tblTransactions[Transaction Type],"Expense",tblTransactions[Source Account],$D130,tblTransactions[Transaction Status],"Reconciled")+SUMIFS(tblTransactions[Amount],tblTransactions[Transaction Type],"Transfer",tblTransactions[Source Account],$D130,tblTransactions[Transaction Status],"Completed")+SUMIFS(tblTransactions[Amount],tblTransactions[Transaction Type],"Transfer",tblTransactions[Source Account],$D130,tblTransactions[Transaction Status],"Reconciled")-SUMIFS(tblTransactions[Amount],tblTransactions[Transaction Type],"Adjustment",tblTransactions[Source Account],$D130,tblTransactions[Transaction Status],"Completed",tblTransactions[Amount],"&lt;0")-SUMIFS(tblTransactions[Amount],tblTransactions[Transaction Type],"Adjustment",tblTransactions[Source Account],$D130,tblTransactions[Transaction Status],"Reconciled",tblTransactions[Amount],"&lt;0"),0))</f>
      </c>
      <c r="H130" s="1">
        <f>IF($D130="","",$E130+$F130-$G130)</f>
      </c>
      <c r="I130" s="4">
        <f>IF($D130="","",IFERROR(1/(1/AGGREGATE(14,6,tblTransactions[Transaction Date]/(((tblTransactions[Source Account]=$D130)+((tblTransactions[Transaction Type]="Transfer")*(tblTransactions[Destination Type]="Account")*(tblTransactions[Destination Name]=$D130)))*((tblTransactions[Transaction Status]="Completed")+(tblTransactions[Transaction Status]="Reconciled"))),1)),""))</f>
      </c>
      <c r="J130" s="1">
        <f>IF($D130="","",IFERROR(INDEX(tblAccounts[Account Type],ROW()-1),""))</f>
      </c>
      <c r="K130" s="1">
        <f>IF($D130="","",IFERROR(INDEX(tblAccounts[Include in Dashboard],ROW()-1),""))</f>
      </c>
      <c r="L130" s="1">
        <f>IF($D130="","",IFERROR(INDEX(tblAccounts[Status],ROW()-1),""))</f>
      </c>
    </row>
    <row r="131">
      <c r="D131" s="1">
        <f>IFERROR(IF(INDEX(tblAccounts[Account Name],ROW()-1)="","",INDEX(tblAccounts[Account Name],ROW()-1)),"")</f>
      </c>
      <c r="E131" s="1">
        <f>IF($D131="","",IFERROR(INDEX(tblAccounts[Opening Balance],ROW()-1),0))</f>
      </c>
      <c r="F131" s="1">
        <f>IF($D131="","",IFERROR(SUMIFS(tblTransactions[Amount],tblTransactions[Transaction Type],"Income",tblTransactions[Source Account],$D131,tblTransactions[Transaction Status],"Completed")+SUMIFS(tblTransactions[Amount],tblTransactions[Transaction Type],"Income",tblTransactions[Source Account],$D131,tblTransactions[Transaction Status],"Reconciled")+SUMIFS(tblTransactions[Amount],tblTransactions[Transaction Type],"Transfer",tblTransactions[Destination Type],"Account",tblTransactions[Destination Name],$D131,tblTransactions[Transaction Status],"Completed")+SUMIFS(tblTransactions[Amount],tblTransactions[Transaction Type],"Transfer",tblTransactions[Destination Type],"Account",tblTransactions[Destination Name],$D131,tblTransactions[Transaction Status],"Reconciled")+SUMIFS(tblTransactions[Amount],tblTransactions[Transaction Type],"Adjustment",tblTransactions[Source Account],$D131,tblTransactions[Transaction Status],"Completed",tblTransactions[Amount],"&gt;0")+SUMIFS(tblTransactions[Amount],tblTransactions[Transaction Type],"Adjustment",tblTransactions[Source Account],$D131,tblTransactions[Transaction Status],"Reconciled",tblTransactions[Amount],"&gt;0"),0))</f>
      </c>
      <c r="G131" s="1">
        <f>IF($D131="","",IFERROR(SUMIFS(tblTransactions[Amount],tblTransactions[Transaction Type],"Expense",tblTransactions[Source Account],$D131,tblTransactions[Transaction Status],"Completed")+SUMIFS(tblTransactions[Amount],tblTransactions[Transaction Type],"Expense",tblTransactions[Source Account],$D131,tblTransactions[Transaction Status],"Reconciled")+SUMIFS(tblTransactions[Amount],tblTransactions[Transaction Type],"Transfer",tblTransactions[Source Account],$D131,tblTransactions[Transaction Status],"Completed")+SUMIFS(tblTransactions[Amount],tblTransactions[Transaction Type],"Transfer",tblTransactions[Source Account],$D131,tblTransactions[Transaction Status],"Reconciled")-SUMIFS(tblTransactions[Amount],tblTransactions[Transaction Type],"Adjustment",tblTransactions[Source Account],$D131,tblTransactions[Transaction Status],"Completed",tblTransactions[Amount],"&lt;0")-SUMIFS(tblTransactions[Amount],tblTransactions[Transaction Type],"Adjustment",tblTransactions[Source Account],$D131,tblTransactions[Transaction Status],"Reconciled",tblTransactions[Amount],"&lt;0"),0))</f>
      </c>
      <c r="H131" s="1">
        <f>IF($D131="","",$E131+$F131-$G131)</f>
      </c>
      <c r="I131" s="4">
        <f>IF($D131="","",IFERROR(1/(1/AGGREGATE(14,6,tblTransactions[Transaction Date]/(((tblTransactions[Source Account]=$D131)+((tblTransactions[Transaction Type]="Transfer")*(tblTransactions[Destination Type]="Account")*(tblTransactions[Destination Name]=$D131)))*((tblTransactions[Transaction Status]="Completed")+(tblTransactions[Transaction Status]="Reconciled"))),1)),""))</f>
      </c>
      <c r="J131" s="1">
        <f>IF($D131="","",IFERROR(INDEX(tblAccounts[Account Type],ROW()-1),""))</f>
      </c>
      <c r="K131" s="1">
        <f>IF($D131="","",IFERROR(INDEX(tblAccounts[Include in Dashboard],ROW()-1),""))</f>
      </c>
      <c r="L131" s="1">
        <f>IF($D131="","",IFERROR(INDEX(tblAccounts[Status],ROW()-1),""))</f>
      </c>
    </row>
    <row r="132">
      <c r="D132" s="1">
        <f>IFERROR(IF(INDEX(tblAccounts[Account Name],ROW()-1)="","",INDEX(tblAccounts[Account Name],ROW()-1)),"")</f>
      </c>
      <c r="E132" s="1">
        <f>IF($D132="","",IFERROR(INDEX(tblAccounts[Opening Balance],ROW()-1),0))</f>
      </c>
      <c r="F132" s="1">
        <f>IF($D132="","",IFERROR(SUMIFS(tblTransactions[Amount],tblTransactions[Transaction Type],"Income",tblTransactions[Source Account],$D132,tblTransactions[Transaction Status],"Completed")+SUMIFS(tblTransactions[Amount],tblTransactions[Transaction Type],"Income",tblTransactions[Source Account],$D132,tblTransactions[Transaction Status],"Reconciled")+SUMIFS(tblTransactions[Amount],tblTransactions[Transaction Type],"Transfer",tblTransactions[Destination Type],"Account",tblTransactions[Destination Name],$D132,tblTransactions[Transaction Status],"Completed")+SUMIFS(tblTransactions[Amount],tblTransactions[Transaction Type],"Transfer",tblTransactions[Destination Type],"Account",tblTransactions[Destination Name],$D132,tblTransactions[Transaction Status],"Reconciled")+SUMIFS(tblTransactions[Amount],tblTransactions[Transaction Type],"Adjustment",tblTransactions[Source Account],$D132,tblTransactions[Transaction Status],"Completed",tblTransactions[Amount],"&gt;0")+SUMIFS(tblTransactions[Amount],tblTransactions[Transaction Type],"Adjustment",tblTransactions[Source Account],$D132,tblTransactions[Transaction Status],"Reconciled",tblTransactions[Amount],"&gt;0"),0))</f>
      </c>
      <c r="G132" s="1">
        <f>IF($D132="","",IFERROR(SUMIFS(tblTransactions[Amount],tblTransactions[Transaction Type],"Expense",tblTransactions[Source Account],$D132,tblTransactions[Transaction Status],"Completed")+SUMIFS(tblTransactions[Amount],tblTransactions[Transaction Type],"Expense",tblTransactions[Source Account],$D132,tblTransactions[Transaction Status],"Reconciled")+SUMIFS(tblTransactions[Amount],tblTransactions[Transaction Type],"Transfer",tblTransactions[Source Account],$D132,tblTransactions[Transaction Status],"Completed")+SUMIFS(tblTransactions[Amount],tblTransactions[Transaction Type],"Transfer",tblTransactions[Source Account],$D132,tblTransactions[Transaction Status],"Reconciled")-SUMIFS(tblTransactions[Amount],tblTransactions[Transaction Type],"Adjustment",tblTransactions[Source Account],$D132,tblTransactions[Transaction Status],"Completed",tblTransactions[Amount],"&lt;0")-SUMIFS(tblTransactions[Amount],tblTransactions[Transaction Type],"Adjustment",tblTransactions[Source Account],$D132,tblTransactions[Transaction Status],"Reconciled",tblTransactions[Amount],"&lt;0"),0))</f>
      </c>
      <c r="H132" s="1">
        <f>IF($D132="","",$E132+$F132-$G132)</f>
      </c>
      <c r="I132" s="4">
        <f>IF($D132="","",IFERROR(1/(1/AGGREGATE(14,6,tblTransactions[Transaction Date]/(((tblTransactions[Source Account]=$D132)+((tblTransactions[Transaction Type]="Transfer")*(tblTransactions[Destination Type]="Account")*(tblTransactions[Destination Name]=$D132)))*((tblTransactions[Transaction Status]="Completed")+(tblTransactions[Transaction Status]="Reconciled"))),1)),""))</f>
      </c>
      <c r="J132" s="1">
        <f>IF($D132="","",IFERROR(INDEX(tblAccounts[Account Type],ROW()-1),""))</f>
      </c>
      <c r="K132" s="1">
        <f>IF($D132="","",IFERROR(INDEX(tblAccounts[Include in Dashboard],ROW()-1),""))</f>
      </c>
      <c r="L132" s="1">
        <f>IF($D132="","",IFERROR(INDEX(tblAccounts[Status],ROW()-1),""))</f>
      </c>
    </row>
    <row r="133">
      <c r="D133" s="1">
        <f>IFERROR(IF(INDEX(tblAccounts[Account Name],ROW()-1)="","",INDEX(tblAccounts[Account Name],ROW()-1)),"")</f>
      </c>
      <c r="E133" s="1">
        <f>IF($D133="","",IFERROR(INDEX(tblAccounts[Opening Balance],ROW()-1),0))</f>
      </c>
      <c r="F133" s="1">
        <f>IF($D133="","",IFERROR(SUMIFS(tblTransactions[Amount],tblTransactions[Transaction Type],"Income",tblTransactions[Source Account],$D133,tblTransactions[Transaction Status],"Completed")+SUMIFS(tblTransactions[Amount],tblTransactions[Transaction Type],"Income",tblTransactions[Source Account],$D133,tblTransactions[Transaction Status],"Reconciled")+SUMIFS(tblTransactions[Amount],tblTransactions[Transaction Type],"Transfer",tblTransactions[Destination Type],"Account",tblTransactions[Destination Name],$D133,tblTransactions[Transaction Status],"Completed")+SUMIFS(tblTransactions[Amount],tblTransactions[Transaction Type],"Transfer",tblTransactions[Destination Type],"Account",tblTransactions[Destination Name],$D133,tblTransactions[Transaction Status],"Reconciled")+SUMIFS(tblTransactions[Amount],tblTransactions[Transaction Type],"Adjustment",tblTransactions[Source Account],$D133,tblTransactions[Transaction Status],"Completed",tblTransactions[Amount],"&gt;0")+SUMIFS(tblTransactions[Amount],tblTransactions[Transaction Type],"Adjustment",tblTransactions[Source Account],$D133,tblTransactions[Transaction Status],"Reconciled",tblTransactions[Amount],"&gt;0"),0))</f>
      </c>
      <c r="G133" s="1">
        <f>IF($D133="","",IFERROR(SUMIFS(tblTransactions[Amount],tblTransactions[Transaction Type],"Expense",tblTransactions[Source Account],$D133,tblTransactions[Transaction Status],"Completed")+SUMIFS(tblTransactions[Amount],tblTransactions[Transaction Type],"Expense",tblTransactions[Source Account],$D133,tblTransactions[Transaction Status],"Reconciled")+SUMIFS(tblTransactions[Amount],tblTransactions[Transaction Type],"Transfer",tblTransactions[Source Account],$D133,tblTransactions[Transaction Status],"Completed")+SUMIFS(tblTransactions[Amount],tblTransactions[Transaction Type],"Transfer",tblTransactions[Source Account],$D133,tblTransactions[Transaction Status],"Reconciled")-SUMIFS(tblTransactions[Amount],tblTransactions[Transaction Type],"Adjustment",tblTransactions[Source Account],$D133,tblTransactions[Transaction Status],"Completed",tblTransactions[Amount],"&lt;0")-SUMIFS(tblTransactions[Amount],tblTransactions[Transaction Type],"Adjustment",tblTransactions[Source Account],$D133,tblTransactions[Transaction Status],"Reconciled",tblTransactions[Amount],"&lt;0"),0))</f>
      </c>
      <c r="H133" s="1">
        <f>IF($D133="","",$E133+$F133-$G133)</f>
      </c>
      <c r="I133" s="4">
        <f>IF($D133="","",IFERROR(1/(1/AGGREGATE(14,6,tblTransactions[Transaction Date]/(((tblTransactions[Source Account]=$D133)+((tblTransactions[Transaction Type]="Transfer")*(tblTransactions[Destination Type]="Account")*(tblTransactions[Destination Name]=$D133)))*((tblTransactions[Transaction Status]="Completed")+(tblTransactions[Transaction Status]="Reconciled"))),1)),""))</f>
      </c>
      <c r="J133" s="1">
        <f>IF($D133="","",IFERROR(INDEX(tblAccounts[Account Type],ROW()-1),""))</f>
      </c>
      <c r="K133" s="1">
        <f>IF($D133="","",IFERROR(INDEX(tblAccounts[Include in Dashboard],ROW()-1),""))</f>
      </c>
      <c r="L133" s="1">
        <f>IF($D133="","",IFERROR(INDEX(tblAccounts[Status],ROW()-1),""))</f>
      </c>
    </row>
    <row r="134">
      <c r="D134" s="1">
        <f>IFERROR(IF(INDEX(tblAccounts[Account Name],ROW()-1)="","",INDEX(tblAccounts[Account Name],ROW()-1)),"")</f>
      </c>
      <c r="E134" s="1">
        <f>IF($D134="","",IFERROR(INDEX(tblAccounts[Opening Balance],ROW()-1),0))</f>
      </c>
      <c r="F134" s="1">
        <f>IF($D134="","",IFERROR(SUMIFS(tblTransactions[Amount],tblTransactions[Transaction Type],"Income",tblTransactions[Source Account],$D134,tblTransactions[Transaction Status],"Completed")+SUMIFS(tblTransactions[Amount],tblTransactions[Transaction Type],"Income",tblTransactions[Source Account],$D134,tblTransactions[Transaction Status],"Reconciled")+SUMIFS(tblTransactions[Amount],tblTransactions[Transaction Type],"Transfer",tblTransactions[Destination Type],"Account",tblTransactions[Destination Name],$D134,tblTransactions[Transaction Status],"Completed")+SUMIFS(tblTransactions[Amount],tblTransactions[Transaction Type],"Transfer",tblTransactions[Destination Type],"Account",tblTransactions[Destination Name],$D134,tblTransactions[Transaction Status],"Reconciled")+SUMIFS(tblTransactions[Amount],tblTransactions[Transaction Type],"Adjustment",tblTransactions[Source Account],$D134,tblTransactions[Transaction Status],"Completed",tblTransactions[Amount],"&gt;0")+SUMIFS(tblTransactions[Amount],tblTransactions[Transaction Type],"Adjustment",tblTransactions[Source Account],$D134,tblTransactions[Transaction Status],"Reconciled",tblTransactions[Amount],"&gt;0"),0))</f>
      </c>
      <c r="G134" s="1">
        <f>IF($D134="","",IFERROR(SUMIFS(tblTransactions[Amount],tblTransactions[Transaction Type],"Expense",tblTransactions[Source Account],$D134,tblTransactions[Transaction Status],"Completed")+SUMIFS(tblTransactions[Amount],tblTransactions[Transaction Type],"Expense",tblTransactions[Source Account],$D134,tblTransactions[Transaction Status],"Reconciled")+SUMIFS(tblTransactions[Amount],tblTransactions[Transaction Type],"Transfer",tblTransactions[Source Account],$D134,tblTransactions[Transaction Status],"Completed")+SUMIFS(tblTransactions[Amount],tblTransactions[Transaction Type],"Transfer",tblTransactions[Source Account],$D134,tblTransactions[Transaction Status],"Reconciled")-SUMIFS(tblTransactions[Amount],tblTransactions[Transaction Type],"Adjustment",tblTransactions[Source Account],$D134,tblTransactions[Transaction Status],"Completed",tblTransactions[Amount],"&lt;0")-SUMIFS(tblTransactions[Amount],tblTransactions[Transaction Type],"Adjustment",tblTransactions[Source Account],$D134,tblTransactions[Transaction Status],"Reconciled",tblTransactions[Amount],"&lt;0"),0))</f>
      </c>
      <c r="H134" s="1">
        <f>IF($D134="","",$E134+$F134-$G134)</f>
      </c>
      <c r="I134" s="4">
        <f>IF($D134="","",IFERROR(1/(1/AGGREGATE(14,6,tblTransactions[Transaction Date]/(((tblTransactions[Source Account]=$D134)+((tblTransactions[Transaction Type]="Transfer")*(tblTransactions[Destination Type]="Account")*(tblTransactions[Destination Name]=$D134)))*((tblTransactions[Transaction Status]="Completed")+(tblTransactions[Transaction Status]="Reconciled"))),1)),""))</f>
      </c>
      <c r="J134" s="1">
        <f>IF($D134="","",IFERROR(INDEX(tblAccounts[Account Type],ROW()-1),""))</f>
      </c>
      <c r="K134" s="1">
        <f>IF($D134="","",IFERROR(INDEX(tblAccounts[Include in Dashboard],ROW()-1),""))</f>
      </c>
      <c r="L134" s="1">
        <f>IF($D134="","",IFERROR(INDEX(tblAccounts[Status],ROW()-1),""))</f>
      </c>
    </row>
    <row r="135">
      <c r="D135" s="1">
        <f>IFERROR(IF(INDEX(tblAccounts[Account Name],ROW()-1)="","",INDEX(tblAccounts[Account Name],ROW()-1)),"")</f>
      </c>
      <c r="E135" s="1">
        <f>IF($D135="","",IFERROR(INDEX(tblAccounts[Opening Balance],ROW()-1),0))</f>
      </c>
      <c r="F135" s="1">
        <f>IF($D135="","",IFERROR(SUMIFS(tblTransactions[Amount],tblTransactions[Transaction Type],"Income",tblTransactions[Source Account],$D135,tblTransactions[Transaction Status],"Completed")+SUMIFS(tblTransactions[Amount],tblTransactions[Transaction Type],"Income",tblTransactions[Source Account],$D135,tblTransactions[Transaction Status],"Reconciled")+SUMIFS(tblTransactions[Amount],tblTransactions[Transaction Type],"Transfer",tblTransactions[Destination Type],"Account",tblTransactions[Destination Name],$D135,tblTransactions[Transaction Status],"Completed")+SUMIFS(tblTransactions[Amount],tblTransactions[Transaction Type],"Transfer",tblTransactions[Destination Type],"Account",tblTransactions[Destination Name],$D135,tblTransactions[Transaction Status],"Reconciled")+SUMIFS(tblTransactions[Amount],tblTransactions[Transaction Type],"Adjustment",tblTransactions[Source Account],$D135,tblTransactions[Transaction Status],"Completed",tblTransactions[Amount],"&gt;0")+SUMIFS(tblTransactions[Amount],tblTransactions[Transaction Type],"Adjustment",tblTransactions[Source Account],$D135,tblTransactions[Transaction Status],"Reconciled",tblTransactions[Amount],"&gt;0"),0))</f>
      </c>
      <c r="G135" s="1">
        <f>IF($D135="","",IFERROR(SUMIFS(tblTransactions[Amount],tblTransactions[Transaction Type],"Expense",tblTransactions[Source Account],$D135,tblTransactions[Transaction Status],"Completed")+SUMIFS(tblTransactions[Amount],tblTransactions[Transaction Type],"Expense",tblTransactions[Source Account],$D135,tblTransactions[Transaction Status],"Reconciled")+SUMIFS(tblTransactions[Amount],tblTransactions[Transaction Type],"Transfer",tblTransactions[Source Account],$D135,tblTransactions[Transaction Status],"Completed")+SUMIFS(tblTransactions[Amount],tblTransactions[Transaction Type],"Transfer",tblTransactions[Source Account],$D135,tblTransactions[Transaction Status],"Reconciled")-SUMIFS(tblTransactions[Amount],tblTransactions[Transaction Type],"Adjustment",tblTransactions[Source Account],$D135,tblTransactions[Transaction Status],"Completed",tblTransactions[Amount],"&lt;0")-SUMIFS(tblTransactions[Amount],tblTransactions[Transaction Type],"Adjustment",tblTransactions[Source Account],$D135,tblTransactions[Transaction Status],"Reconciled",tblTransactions[Amount],"&lt;0"),0))</f>
      </c>
      <c r="H135" s="1">
        <f>IF($D135="","",$E135+$F135-$G135)</f>
      </c>
      <c r="I135" s="4">
        <f>IF($D135="","",IFERROR(1/(1/AGGREGATE(14,6,tblTransactions[Transaction Date]/(((tblTransactions[Source Account]=$D135)+((tblTransactions[Transaction Type]="Transfer")*(tblTransactions[Destination Type]="Account")*(tblTransactions[Destination Name]=$D135)))*((tblTransactions[Transaction Status]="Completed")+(tblTransactions[Transaction Status]="Reconciled"))),1)),""))</f>
      </c>
      <c r="J135" s="1">
        <f>IF($D135="","",IFERROR(INDEX(tblAccounts[Account Type],ROW()-1),""))</f>
      </c>
      <c r="K135" s="1">
        <f>IF($D135="","",IFERROR(INDEX(tblAccounts[Include in Dashboard],ROW()-1),""))</f>
      </c>
      <c r="L135" s="1">
        <f>IF($D135="","",IFERROR(INDEX(tblAccounts[Status],ROW()-1),""))</f>
      </c>
    </row>
    <row r="136">
      <c r="D136" s="1">
        <f>IFERROR(IF(INDEX(tblAccounts[Account Name],ROW()-1)="","",INDEX(tblAccounts[Account Name],ROW()-1)),"")</f>
      </c>
      <c r="E136" s="1">
        <f>IF($D136="","",IFERROR(INDEX(tblAccounts[Opening Balance],ROW()-1),0))</f>
      </c>
      <c r="F136" s="1">
        <f>IF($D136="","",IFERROR(SUMIFS(tblTransactions[Amount],tblTransactions[Transaction Type],"Income",tblTransactions[Source Account],$D136,tblTransactions[Transaction Status],"Completed")+SUMIFS(tblTransactions[Amount],tblTransactions[Transaction Type],"Income",tblTransactions[Source Account],$D136,tblTransactions[Transaction Status],"Reconciled")+SUMIFS(tblTransactions[Amount],tblTransactions[Transaction Type],"Transfer",tblTransactions[Destination Type],"Account",tblTransactions[Destination Name],$D136,tblTransactions[Transaction Status],"Completed")+SUMIFS(tblTransactions[Amount],tblTransactions[Transaction Type],"Transfer",tblTransactions[Destination Type],"Account",tblTransactions[Destination Name],$D136,tblTransactions[Transaction Status],"Reconciled")+SUMIFS(tblTransactions[Amount],tblTransactions[Transaction Type],"Adjustment",tblTransactions[Source Account],$D136,tblTransactions[Transaction Status],"Completed",tblTransactions[Amount],"&gt;0")+SUMIFS(tblTransactions[Amount],tblTransactions[Transaction Type],"Adjustment",tblTransactions[Source Account],$D136,tblTransactions[Transaction Status],"Reconciled",tblTransactions[Amount],"&gt;0"),0))</f>
      </c>
      <c r="G136" s="1">
        <f>IF($D136="","",IFERROR(SUMIFS(tblTransactions[Amount],tblTransactions[Transaction Type],"Expense",tblTransactions[Source Account],$D136,tblTransactions[Transaction Status],"Completed")+SUMIFS(tblTransactions[Amount],tblTransactions[Transaction Type],"Expense",tblTransactions[Source Account],$D136,tblTransactions[Transaction Status],"Reconciled")+SUMIFS(tblTransactions[Amount],tblTransactions[Transaction Type],"Transfer",tblTransactions[Source Account],$D136,tblTransactions[Transaction Status],"Completed")+SUMIFS(tblTransactions[Amount],tblTransactions[Transaction Type],"Transfer",tblTransactions[Source Account],$D136,tblTransactions[Transaction Status],"Reconciled")-SUMIFS(tblTransactions[Amount],tblTransactions[Transaction Type],"Adjustment",tblTransactions[Source Account],$D136,tblTransactions[Transaction Status],"Completed",tblTransactions[Amount],"&lt;0")-SUMIFS(tblTransactions[Amount],tblTransactions[Transaction Type],"Adjustment",tblTransactions[Source Account],$D136,tblTransactions[Transaction Status],"Reconciled",tblTransactions[Amount],"&lt;0"),0))</f>
      </c>
      <c r="H136" s="1">
        <f>IF($D136="","",$E136+$F136-$G136)</f>
      </c>
      <c r="I136" s="4">
        <f>IF($D136="","",IFERROR(1/(1/AGGREGATE(14,6,tblTransactions[Transaction Date]/(((tblTransactions[Source Account]=$D136)+((tblTransactions[Transaction Type]="Transfer")*(tblTransactions[Destination Type]="Account")*(tblTransactions[Destination Name]=$D136)))*((tblTransactions[Transaction Status]="Completed")+(tblTransactions[Transaction Status]="Reconciled"))),1)),""))</f>
      </c>
      <c r="J136" s="1">
        <f>IF($D136="","",IFERROR(INDEX(tblAccounts[Account Type],ROW()-1),""))</f>
      </c>
      <c r="K136" s="1">
        <f>IF($D136="","",IFERROR(INDEX(tblAccounts[Include in Dashboard],ROW()-1),""))</f>
      </c>
      <c r="L136" s="1">
        <f>IF($D136="","",IFERROR(INDEX(tblAccounts[Status],ROW()-1),""))</f>
      </c>
    </row>
    <row r="137">
      <c r="D137" s="1">
        <f>IFERROR(IF(INDEX(tblAccounts[Account Name],ROW()-1)="","",INDEX(tblAccounts[Account Name],ROW()-1)),"")</f>
      </c>
      <c r="E137" s="1">
        <f>IF($D137="","",IFERROR(INDEX(tblAccounts[Opening Balance],ROW()-1),0))</f>
      </c>
      <c r="F137" s="1">
        <f>IF($D137="","",IFERROR(SUMIFS(tblTransactions[Amount],tblTransactions[Transaction Type],"Income",tblTransactions[Source Account],$D137,tblTransactions[Transaction Status],"Completed")+SUMIFS(tblTransactions[Amount],tblTransactions[Transaction Type],"Income",tblTransactions[Source Account],$D137,tblTransactions[Transaction Status],"Reconciled")+SUMIFS(tblTransactions[Amount],tblTransactions[Transaction Type],"Transfer",tblTransactions[Destination Type],"Account",tblTransactions[Destination Name],$D137,tblTransactions[Transaction Status],"Completed")+SUMIFS(tblTransactions[Amount],tblTransactions[Transaction Type],"Transfer",tblTransactions[Destination Type],"Account",tblTransactions[Destination Name],$D137,tblTransactions[Transaction Status],"Reconciled")+SUMIFS(tblTransactions[Amount],tblTransactions[Transaction Type],"Adjustment",tblTransactions[Source Account],$D137,tblTransactions[Transaction Status],"Completed",tblTransactions[Amount],"&gt;0")+SUMIFS(tblTransactions[Amount],tblTransactions[Transaction Type],"Adjustment",tblTransactions[Source Account],$D137,tblTransactions[Transaction Status],"Reconciled",tblTransactions[Amount],"&gt;0"),0))</f>
      </c>
      <c r="G137" s="1">
        <f>IF($D137="","",IFERROR(SUMIFS(tblTransactions[Amount],tblTransactions[Transaction Type],"Expense",tblTransactions[Source Account],$D137,tblTransactions[Transaction Status],"Completed")+SUMIFS(tblTransactions[Amount],tblTransactions[Transaction Type],"Expense",tblTransactions[Source Account],$D137,tblTransactions[Transaction Status],"Reconciled")+SUMIFS(tblTransactions[Amount],tblTransactions[Transaction Type],"Transfer",tblTransactions[Source Account],$D137,tblTransactions[Transaction Status],"Completed")+SUMIFS(tblTransactions[Amount],tblTransactions[Transaction Type],"Transfer",tblTransactions[Source Account],$D137,tblTransactions[Transaction Status],"Reconciled")-SUMIFS(tblTransactions[Amount],tblTransactions[Transaction Type],"Adjustment",tblTransactions[Source Account],$D137,tblTransactions[Transaction Status],"Completed",tblTransactions[Amount],"&lt;0")-SUMIFS(tblTransactions[Amount],tblTransactions[Transaction Type],"Adjustment",tblTransactions[Source Account],$D137,tblTransactions[Transaction Status],"Reconciled",tblTransactions[Amount],"&lt;0"),0))</f>
      </c>
      <c r="H137" s="1">
        <f>IF($D137="","",$E137+$F137-$G137)</f>
      </c>
      <c r="I137" s="4">
        <f>IF($D137="","",IFERROR(1/(1/AGGREGATE(14,6,tblTransactions[Transaction Date]/(((tblTransactions[Source Account]=$D137)+((tblTransactions[Transaction Type]="Transfer")*(tblTransactions[Destination Type]="Account")*(tblTransactions[Destination Name]=$D137)))*((tblTransactions[Transaction Status]="Completed")+(tblTransactions[Transaction Status]="Reconciled"))),1)),""))</f>
      </c>
      <c r="J137" s="1">
        <f>IF($D137="","",IFERROR(INDEX(tblAccounts[Account Type],ROW()-1),""))</f>
      </c>
      <c r="K137" s="1">
        <f>IF($D137="","",IFERROR(INDEX(tblAccounts[Include in Dashboard],ROW()-1),""))</f>
      </c>
      <c r="L137" s="1">
        <f>IF($D137="","",IFERROR(INDEX(tblAccounts[Status],ROW()-1),""))</f>
      </c>
    </row>
    <row r="138">
      <c r="D138" s="1">
        <f>IFERROR(IF(INDEX(tblAccounts[Account Name],ROW()-1)="","",INDEX(tblAccounts[Account Name],ROW()-1)),"")</f>
      </c>
      <c r="E138" s="1">
        <f>IF($D138="","",IFERROR(INDEX(tblAccounts[Opening Balance],ROW()-1),0))</f>
      </c>
      <c r="F138" s="1">
        <f>IF($D138="","",IFERROR(SUMIFS(tblTransactions[Amount],tblTransactions[Transaction Type],"Income",tblTransactions[Source Account],$D138,tblTransactions[Transaction Status],"Completed")+SUMIFS(tblTransactions[Amount],tblTransactions[Transaction Type],"Income",tblTransactions[Source Account],$D138,tblTransactions[Transaction Status],"Reconciled")+SUMIFS(tblTransactions[Amount],tblTransactions[Transaction Type],"Transfer",tblTransactions[Destination Type],"Account",tblTransactions[Destination Name],$D138,tblTransactions[Transaction Status],"Completed")+SUMIFS(tblTransactions[Amount],tblTransactions[Transaction Type],"Transfer",tblTransactions[Destination Type],"Account",tblTransactions[Destination Name],$D138,tblTransactions[Transaction Status],"Reconciled")+SUMIFS(tblTransactions[Amount],tblTransactions[Transaction Type],"Adjustment",tblTransactions[Source Account],$D138,tblTransactions[Transaction Status],"Completed",tblTransactions[Amount],"&gt;0")+SUMIFS(tblTransactions[Amount],tblTransactions[Transaction Type],"Adjustment",tblTransactions[Source Account],$D138,tblTransactions[Transaction Status],"Reconciled",tblTransactions[Amount],"&gt;0"),0))</f>
      </c>
      <c r="G138" s="1">
        <f>IF($D138="","",IFERROR(SUMIFS(tblTransactions[Amount],tblTransactions[Transaction Type],"Expense",tblTransactions[Source Account],$D138,tblTransactions[Transaction Status],"Completed")+SUMIFS(tblTransactions[Amount],tblTransactions[Transaction Type],"Expense",tblTransactions[Source Account],$D138,tblTransactions[Transaction Status],"Reconciled")+SUMIFS(tblTransactions[Amount],tblTransactions[Transaction Type],"Transfer",tblTransactions[Source Account],$D138,tblTransactions[Transaction Status],"Completed")+SUMIFS(tblTransactions[Amount],tblTransactions[Transaction Type],"Transfer",tblTransactions[Source Account],$D138,tblTransactions[Transaction Status],"Reconciled")-SUMIFS(tblTransactions[Amount],tblTransactions[Transaction Type],"Adjustment",tblTransactions[Source Account],$D138,tblTransactions[Transaction Status],"Completed",tblTransactions[Amount],"&lt;0")-SUMIFS(tblTransactions[Amount],tblTransactions[Transaction Type],"Adjustment",tblTransactions[Source Account],$D138,tblTransactions[Transaction Status],"Reconciled",tblTransactions[Amount],"&lt;0"),0))</f>
      </c>
      <c r="H138" s="1">
        <f>IF($D138="","",$E138+$F138-$G138)</f>
      </c>
      <c r="I138" s="4">
        <f>IF($D138="","",IFERROR(1/(1/AGGREGATE(14,6,tblTransactions[Transaction Date]/(((tblTransactions[Source Account]=$D138)+((tblTransactions[Transaction Type]="Transfer")*(tblTransactions[Destination Type]="Account")*(tblTransactions[Destination Name]=$D138)))*((tblTransactions[Transaction Status]="Completed")+(tblTransactions[Transaction Status]="Reconciled"))),1)),""))</f>
      </c>
      <c r="J138" s="1">
        <f>IF($D138="","",IFERROR(INDEX(tblAccounts[Account Type],ROW()-1),""))</f>
      </c>
      <c r="K138" s="1">
        <f>IF($D138="","",IFERROR(INDEX(tblAccounts[Include in Dashboard],ROW()-1),""))</f>
      </c>
      <c r="L138" s="1">
        <f>IF($D138="","",IFERROR(INDEX(tblAccounts[Status],ROW()-1),""))</f>
      </c>
    </row>
    <row r="139">
      <c r="D139" s="1">
        <f>IFERROR(IF(INDEX(tblAccounts[Account Name],ROW()-1)="","",INDEX(tblAccounts[Account Name],ROW()-1)),"")</f>
      </c>
      <c r="E139" s="1">
        <f>IF($D139="","",IFERROR(INDEX(tblAccounts[Opening Balance],ROW()-1),0))</f>
      </c>
      <c r="F139" s="1">
        <f>IF($D139="","",IFERROR(SUMIFS(tblTransactions[Amount],tblTransactions[Transaction Type],"Income",tblTransactions[Source Account],$D139,tblTransactions[Transaction Status],"Completed")+SUMIFS(tblTransactions[Amount],tblTransactions[Transaction Type],"Income",tblTransactions[Source Account],$D139,tblTransactions[Transaction Status],"Reconciled")+SUMIFS(tblTransactions[Amount],tblTransactions[Transaction Type],"Transfer",tblTransactions[Destination Type],"Account",tblTransactions[Destination Name],$D139,tblTransactions[Transaction Status],"Completed")+SUMIFS(tblTransactions[Amount],tblTransactions[Transaction Type],"Transfer",tblTransactions[Destination Type],"Account",tblTransactions[Destination Name],$D139,tblTransactions[Transaction Status],"Reconciled")+SUMIFS(tblTransactions[Amount],tblTransactions[Transaction Type],"Adjustment",tblTransactions[Source Account],$D139,tblTransactions[Transaction Status],"Completed",tblTransactions[Amount],"&gt;0")+SUMIFS(tblTransactions[Amount],tblTransactions[Transaction Type],"Adjustment",tblTransactions[Source Account],$D139,tblTransactions[Transaction Status],"Reconciled",tblTransactions[Amount],"&gt;0"),0))</f>
      </c>
      <c r="G139" s="1">
        <f>IF($D139="","",IFERROR(SUMIFS(tblTransactions[Amount],tblTransactions[Transaction Type],"Expense",tblTransactions[Source Account],$D139,tblTransactions[Transaction Status],"Completed")+SUMIFS(tblTransactions[Amount],tblTransactions[Transaction Type],"Expense",tblTransactions[Source Account],$D139,tblTransactions[Transaction Status],"Reconciled")+SUMIFS(tblTransactions[Amount],tblTransactions[Transaction Type],"Transfer",tblTransactions[Source Account],$D139,tblTransactions[Transaction Status],"Completed")+SUMIFS(tblTransactions[Amount],tblTransactions[Transaction Type],"Transfer",tblTransactions[Source Account],$D139,tblTransactions[Transaction Status],"Reconciled")-SUMIFS(tblTransactions[Amount],tblTransactions[Transaction Type],"Adjustment",tblTransactions[Source Account],$D139,tblTransactions[Transaction Status],"Completed",tblTransactions[Amount],"&lt;0")-SUMIFS(tblTransactions[Amount],tblTransactions[Transaction Type],"Adjustment",tblTransactions[Source Account],$D139,tblTransactions[Transaction Status],"Reconciled",tblTransactions[Amount],"&lt;0"),0))</f>
      </c>
      <c r="H139" s="1">
        <f>IF($D139="","",$E139+$F139-$G139)</f>
      </c>
      <c r="I139" s="4">
        <f>IF($D139="","",IFERROR(1/(1/AGGREGATE(14,6,tblTransactions[Transaction Date]/(((tblTransactions[Source Account]=$D139)+((tblTransactions[Transaction Type]="Transfer")*(tblTransactions[Destination Type]="Account")*(tblTransactions[Destination Name]=$D139)))*((tblTransactions[Transaction Status]="Completed")+(tblTransactions[Transaction Status]="Reconciled"))),1)),""))</f>
      </c>
      <c r="J139" s="1">
        <f>IF($D139="","",IFERROR(INDEX(tblAccounts[Account Type],ROW()-1),""))</f>
      </c>
      <c r="K139" s="1">
        <f>IF($D139="","",IFERROR(INDEX(tblAccounts[Include in Dashboard],ROW()-1),""))</f>
      </c>
      <c r="L139" s="1">
        <f>IF($D139="","",IFERROR(INDEX(tblAccounts[Status],ROW()-1),""))</f>
      </c>
    </row>
    <row r="140">
      <c r="D140" s="1">
        <f>IFERROR(IF(INDEX(tblAccounts[Account Name],ROW()-1)="","",INDEX(tblAccounts[Account Name],ROW()-1)),"")</f>
      </c>
      <c r="E140" s="1">
        <f>IF($D140="","",IFERROR(INDEX(tblAccounts[Opening Balance],ROW()-1),0))</f>
      </c>
      <c r="F140" s="1">
        <f>IF($D140="","",IFERROR(SUMIFS(tblTransactions[Amount],tblTransactions[Transaction Type],"Income",tblTransactions[Source Account],$D140,tblTransactions[Transaction Status],"Completed")+SUMIFS(tblTransactions[Amount],tblTransactions[Transaction Type],"Income",tblTransactions[Source Account],$D140,tblTransactions[Transaction Status],"Reconciled")+SUMIFS(tblTransactions[Amount],tblTransactions[Transaction Type],"Transfer",tblTransactions[Destination Type],"Account",tblTransactions[Destination Name],$D140,tblTransactions[Transaction Status],"Completed")+SUMIFS(tblTransactions[Amount],tblTransactions[Transaction Type],"Transfer",tblTransactions[Destination Type],"Account",tblTransactions[Destination Name],$D140,tblTransactions[Transaction Status],"Reconciled")+SUMIFS(tblTransactions[Amount],tblTransactions[Transaction Type],"Adjustment",tblTransactions[Source Account],$D140,tblTransactions[Transaction Status],"Completed",tblTransactions[Amount],"&gt;0")+SUMIFS(tblTransactions[Amount],tblTransactions[Transaction Type],"Adjustment",tblTransactions[Source Account],$D140,tblTransactions[Transaction Status],"Reconciled",tblTransactions[Amount],"&gt;0"),0))</f>
      </c>
      <c r="G140" s="1">
        <f>IF($D140="","",IFERROR(SUMIFS(tblTransactions[Amount],tblTransactions[Transaction Type],"Expense",tblTransactions[Source Account],$D140,tblTransactions[Transaction Status],"Completed")+SUMIFS(tblTransactions[Amount],tblTransactions[Transaction Type],"Expense",tblTransactions[Source Account],$D140,tblTransactions[Transaction Status],"Reconciled")+SUMIFS(tblTransactions[Amount],tblTransactions[Transaction Type],"Transfer",tblTransactions[Source Account],$D140,tblTransactions[Transaction Status],"Completed")+SUMIFS(tblTransactions[Amount],tblTransactions[Transaction Type],"Transfer",tblTransactions[Source Account],$D140,tblTransactions[Transaction Status],"Reconciled")-SUMIFS(tblTransactions[Amount],tblTransactions[Transaction Type],"Adjustment",tblTransactions[Source Account],$D140,tblTransactions[Transaction Status],"Completed",tblTransactions[Amount],"&lt;0")-SUMIFS(tblTransactions[Amount],tblTransactions[Transaction Type],"Adjustment",tblTransactions[Source Account],$D140,tblTransactions[Transaction Status],"Reconciled",tblTransactions[Amount],"&lt;0"),0))</f>
      </c>
      <c r="H140" s="1">
        <f>IF($D140="","",$E140+$F140-$G140)</f>
      </c>
      <c r="I140" s="4">
        <f>IF($D140="","",IFERROR(1/(1/AGGREGATE(14,6,tblTransactions[Transaction Date]/(((tblTransactions[Source Account]=$D140)+((tblTransactions[Transaction Type]="Transfer")*(tblTransactions[Destination Type]="Account")*(tblTransactions[Destination Name]=$D140)))*((tblTransactions[Transaction Status]="Completed")+(tblTransactions[Transaction Status]="Reconciled"))),1)),""))</f>
      </c>
      <c r="J140" s="1">
        <f>IF($D140="","",IFERROR(INDEX(tblAccounts[Account Type],ROW()-1),""))</f>
      </c>
      <c r="K140" s="1">
        <f>IF($D140="","",IFERROR(INDEX(tblAccounts[Include in Dashboard],ROW()-1),""))</f>
      </c>
      <c r="L140" s="1">
        <f>IF($D140="","",IFERROR(INDEX(tblAccounts[Status],ROW()-1),""))</f>
      </c>
    </row>
    <row r="141">
      <c r="D141" s="1">
        <f>IFERROR(IF(INDEX(tblAccounts[Account Name],ROW()-1)="","",INDEX(tblAccounts[Account Name],ROW()-1)),"")</f>
      </c>
      <c r="E141" s="1">
        <f>IF($D141="","",IFERROR(INDEX(tblAccounts[Opening Balance],ROW()-1),0))</f>
      </c>
      <c r="F141" s="1">
        <f>IF($D141="","",IFERROR(SUMIFS(tblTransactions[Amount],tblTransactions[Transaction Type],"Income",tblTransactions[Source Account],$D141,tblTransactions[Transaction Status],"Completed")+SUMIFS(tblTransactions[Amount],tblTransactions[Transaction Type],"Income",tblTransactions[Source Account],$D141,tblTransactions[Transaction Status],"Reconciled")+SUMIFS(tblTransactions[Amount],tblTransactions[Transaction Type],"Transfer",tblTransactions[Destination Type],"Account",tblTransactions[Destination Name],$D141,tblTransactions[Transaction Status],"Completed")+SUMIFS(tblTransactions[Amount],tblTransactions[Transaction Type],"Transfer",tblTransactions[Destination Type],"Account",tblTransactions[Destination Name],$D141,tblTransactions[Transaction Status],"Reconciled")+SUMIFS(tblTransactions[Amount],tblTransactions[Transaction Type],"Adjustment",tblTransactions[Source Account],$D141,tblTransactions[Transaction Status],"Completed",tblTransactions[Amount],"&gt;0")+SUMIFS(tblTransactions[Amount],tblTransactions[Transaction Type],"Adjustment",tblTransactions[Source Account],$D141,tblTransactions[Transaction Status],"Reconciled",tblTransactions[Amount],"&gt;0"),0))</f>
      </c>
      <c r="G141" s="1">
        <f>IF($D141="","",IFERROR(SUMIFS(tblTransactions[Amount],tblTransactions[Transaction Type],"Expense",tblTransactions[Source Account],$D141,tblTransactions[Transaction Status],"Completed")+SUMIFS(tblTransactions[Amount],tblTransactions[Transaction Type],"Expense",tblTransactions[Source Account],$D141,tblTransactions[Transaction Status],"Reconciled")+SUMIFS(tblTransactions[Amount],tblTransactions[Transaction Type],"Transfer",tblTransactions[Source Account],$D141,tblTransactions[Transaction Status],"Completed")+SUMIFS(tblTransactions[Amount],tblTransactions[Transaction Type],"Transfer",tblTransactions[Source Account],$D141,tblTransactions[Transaction Status],"Reconciled")-SUMIFS(tblTransactions[Amount],tblTransactions[Transaction Type],"Adjustment",tblTransactions[Source Account],$D141,tblTransactions[Transaction Status],"Completed",tblTransactions[Amount],"&lt;0")-SUMIFS(tblTransactions[Amount],tblTransactions[Transaction Type],"Adjustment",tblTransactions[Source Account],$D141,tblTransactions[Transaction Status],"Reconciled",tblTransactions[Amount],"&lt;0"),0))</f>
      </c>
      <c r="H141" s="1">
        <f>IF($D141="","",$E141+$F141-$G141)</f>
      </c>
      <c r="I141" s="4">
        <f>IF($D141="","",IFERROR(1/(1/AGGREGATE(14,6,tblTransactions[Transaction Date]/(((tblTransactions[Source Account]=$D141)+((tblTransactions[Transaction Type]="Transfer")*(tblTransactions[Destination Type]="Account")*(tblTransactions[Destination Name]=$D141)))*((tblTransactions[Transaction Status]="Completed")+(tblTransactions[Transaction Status]="Reconciled"))),1)),""))</f>
      </c>
      <c r="J141" s="1">
        <f>IF($D141="","",IFERROR(INDEX(tblAccounts[Account Type],ROW()-1),""))</f>
      </c>
      <c r="K141" s="1">
        <f>IF($D141="","",IFERROR(INDEX(tblAccounts[Include in Dashboard],ROW()-1),""))</f>
      </c>
      <c r="L141" s="1">
        <f>IF($D141="","",IFERROR(INDEX(tblAccounts[Status],ROW()-1),""))</f>
      </c>
    </row>
    <row r="142">
      <c r="D142" s="1">
        <f>IFERROR(IF(INDEX(tblAccounts[Account Name],ROW()-1)="","",INDEX(tblAccounts[Account Name],ROW()-1)),"")</f>
      </c>
      <c r="E142" s="1">
        <f>IF($D142="","",IFERROR(INDEX(tblAccounts[Opening Balance],ROW()-1),0))</f>
      </c>
      <c r="F142" s="1">
        <f>IF($D142="","",IFERROR(SUMIFS(tblTransactions[Amount],tblTransactions[Transaction Type],"Income",tblTransactions[Source Account],$D142,tblTransactions[Transaction Status],"Completed")+SUMIFS(tblTransactions[Amount],tblTransactions[Transaction Type],"Income",tblTransactions[Source Account],$D142,tblTransactions[Transaction Status],"Reconciled")+SUMIFS(tblTransactions[Amount],tblTransactions[Transaction Type],"Transfer",tblTransactions[Destination Type],"Account",tblTransactions[Destination Name],$D142,tblTransactions[Transaction Status],"Completed")+SUMIFS(tblTransactions[Amount],tblTransactions[Transaction Type],"Transfer",tblTransactions[Destination Type],"Account",tblTransactions[Destination Name],$D142,tblTransactions[Transaction Status],"Reconciled")+SUMIFS(tblTransactions[Amount],tblTransactions[Transaction Type],"Adjustment",tblTransactions[Source Account],$D142,tblTransactions[Transaction Status],"Completed",tblTransactions[Amount],"&gt;0")+SUMIFS(tblTransactions[Amount],tblTransactions[Transaction Type],"Adjustment",tblTransactions[Source Account],$D142,tblTransactions[Transaction Status],"Reconciled",tblTransactions[Amount],"&gt;0"),0))</f>
      </c>
      <c r="G142" s="1">
        <f>IF($D142="","",IFERROR(SUMIFS(tblTransactions[Amount],tblTransactions[Transaction Type],"Expense",tblTransactions[Source Account],$D142,tblTransactions[Transaction Status],"Completed")+SUMIFS(tblTransactions[Amount],tblTransactions[Transaction Type],"Expense",tblTransactions[Source Account],$D142,tblTransactions[Transaction Status],"Reconciled")+SUMIFS(tblTransactions[Amount],tblTransactions[Transaction Type],"Transfer",tblTransactions[Source Account],$D142,tblTransactions[Transaction Status],"Completed")+SUMIFS(tblTransactions[Amount],tblTransactions[Transaction Type],"Transfer",tblTransactions[Source Account],$D142,tblTransactions[Transaction Status],"Reconciled")-SUMIFS(tblTransactions[Amount],tblTransactions[Transaction Type],"Adjustment",tblTransactions[Source Account],$D142,tblTransactions[Transaction Status],"Completed",tblTransactions[Amount],"&lt;0")-SUMIFS(tblTransactions[Amount],tblTransactions[Transaction Type],"Adjustment",tblTransactions[Source Account],$D142,tblTransactions[Transaction Status],"Reconciled",tblTransactions[Amount],"&lt;0"),0))</f>
      </c>
      <c r="H142" s="1">
        <f>IF($D142="","",$E142+$F142-$G142)</f>
      </c>
      <c r="I142" s="4">
        <f>IF($D142="","",IFERROR(1/(1/AGGREGATE(14,6,tblTransactions[Transaction Date]/(((tblTransactions[Source Account]=$D142)+((tblTransactions[Transaction Type]="Transfer")*(tblTransactions[Destination Type]="Account")*(tblTransactions[Destination Name]=$D142)))*((tblTransactions[Transaction Status]="Completed")+(tblTransactions[Transaction Status]="Reconciled"))),1)),""))</f>
      </c>
      <c r="J142" s="1">
        <f>IF($D142="","",IFERROR(INDEX(tblAccounts[Account Type],ROW()-1),""))</f>
      </c>
      <c r="K142" s="1">
        <f>IF($D142="","",IFERROR(INDEX(tblAccounts[Include in Dashboard],ROW()-1),""))</f>
      </c>
      <c r="L142" s="1">
        <f>IF($D142="","",IFERROR(INDEX(tblAccounts[Status],ROW()-1),""))</f>
      </c>
    </row>
    <row r="143">
      <c r="D143" s="1">
        <f>IFERROR(IF(INDEX(tblAccounts[Account Name],ROW()-1)="","",INDEX(tblAccounts[Account Name],ROW()-1)),"")</f>
      </c>
      <c r="E143" s="1">
        <f>IF($D143="","",IFERROR(INDEX(tblAccounts[Opening Balance],ROW()-1),0))</f>
      </c>
      <c r="F143" s="1">
        <f>IF($D143="","",IFERROR(SUMIFS(tblTransactions[Amount],tblTransactions[Transaction Type],"Income",tblTransactions[Source Account],$D143,tblTransactions[Transaction Status],"Completed")+SUMIFS(tblTransactions[Amount],tblTransactions[Transaction Type],"Income",tblTransactions[Source Account],$D143,tblTransactions[Transaction Status],"Reconciled")+SUMIFS(tblTransactions[Amount],tblTransactions[Transaction Type],"Transfer",tblTransactions[Destination Type],"Account",tblTransactions[Destination Name],$D143,tblTransactions[Transaction Status],"Completed")+SUMIFS(tblTransactions[Amount],tblTransactions[Transaction Type],"Transfer",tblTransactions[Destination Type],"Account",tblTransactions[Destination Name],$D143,tblTransactions[Transaction Status],"Reconciled")+SUMIFS(tblTransactions[Amount],tblTransactions[Transaction Type],"Adjustment",tblTransactions[Source Account],$D143,tblTransactions[Transaction Status],"Completed",tblTransactions[Amount],"&gt;0")+SUMIFS(tblTransactions[Amount],tblTransactions[Transaction Type],"Adjustment",tblTransactions[Source Account],$D143,tblTransactions[Transaction Status],"Reconciled",tblTransactions[Amount],"&gt;0"),0))</f>
      </c>
      <c r="G143" s="1">
        <f>IF($D143="","",IFERROR(SUMIFS(tblTransactions[Amount],tblTransactions[Transaction Type],"Expense",tblTransactions[Source Account],$D143,tblTransactions[Transaction Status],"Completed")+SUMIFS(tblTransactions[Amount],tblTransactions[Transaction Type],"Expense",tblTransactions[Source Account],$D143,tblTransactions[Transaction Status],"Reconciled")+SUMIFS(tblTransactions[Amount],tblTransactions[Transaction Type],"Transfer",tblTransactions[Source Account],$D143,tblTransactions[Transaction Status],"Completed")+SUMIFS(tblTransactions[Amount],tblTransactions[Transaction Type],"Transfer",tblTransactions[Source Account],$D143,tblTransactions[Transaction Status],"Reconciled")-SUMIFS(tblTransactions[Amount],tblTransactions[Transaction Type],"Adjustment",tblTransactions[Source Account],$D143,tblTransactions[Transaction Status],"Completed",tblTransactions[Amount],"&lt;0")-SUMIFS(tblTransactions[Amount],tblTransactions[Transaction Type],"Adjustment",tblTransactions[Source Account],$D143,tblTransactions[Transaction Status],"Reconciled",tblTransactions[Amount],"&lt;0"),0))</f>
      </c>
      <c r="H143" s="1">
        <f>IF($D143="","",$E143+$F143-$G143)</f>
      </c>
      <c r="I143" s="4">
        <f>IF($D143="","",IFERROR(1/(1/AGGREGATE(14,6,tblTransactions[Transaction Date]/(((tblTransactions[Source Account]=$D143)+((tblTransactions[Transaction Type]="Transfer")*(tblTransactions[Destination Type]="Account")*(tblTransactions[Destination Name]=$D143)))*((tblTransactions[Transaction Status]="Completed")+(tblTransactions[Transaction Status]="Reconciled"))),1)),""))</f>
      </c>
      <c r="J143" s="1">
        <f>IF($D143="","",IFERROR(INDEX(tblAccounts[Account Type],ROW()-1),""))</f>
      </c>
      <c r="K143" s="1">
        <f>IF($D143="","",IFERROR(INDEX(tblAccounts[Include in Dashboard],ROW()-1),""))</f>
      </c>
      <c r="L143" s="1">
        <f>IF($D143="","",IFERROR(INDEX(tblAccounts[Status],ROW()-1),""))</f>
      </c>
    </row>
    <row r="144">
      <c r="D144" s="1">
        <f>IFERROR(IF(INDEX(tblAccounts[Account Name],ROW()-1)="","",INDEX(tblAccounts[Account Name],ROW()-1)),"")</f>
      </c>
      <c r="E144" s="1">
        <f>IF($D144="","",IFERROR(INDEX(tblAccounts[Opening Balance],ROW()-1),0))</f>
      </c>
      <c r="F144" s="1">
        <f>IF($D144="","",IFERROR(SUMIFS(tblTransactions[Amount],tblTransactions[Transaction Type],"Income",tblTransactions[Source Account],$D144,tblTransactions[Transaction Status],"Completed")+SUMIFS(tblTransactions[Amount],tblTransactions[Transaction Type],"Income",tblTransactions[Source Account],$D144,tblTransactions[Transaction Status],"Reconciled")+SUMIFS(tblTransactions[Amount],tblTransactions[Transaction Type],"Transfer",tblTransactions[Destination Type],"Account",tblTransactions[Destination Name],$D144,tblTransactions[Transaction Status],"Completed")+SUMIFS(tblTransactions[Amount],tblTransactions[Transaction Type],"Transfer",tblTransactions[Destination Type],"Account",tblTransactions[Destination Name],$D144,tblTransactions[Transaction Status],"Reconciled")+SUMIFS(tblTransactions[Amount],tblTransactions[Transaction Type],"Adjustment",tblTransactions[Source Account],$D144,tblTransactions[Transaction Status],"Completed",tblTransactions[Amount],"&gt;0")+SUMIFS(tblTransactions[Amount],tblTransactions[Transaction Type],"Adjustment",tblTransactions[Source Account],$D144,tblTransactions[Transaction Status],"Reconciled",tblTransactions[Amount],"&gt;0"),0))</f>
      </c>
      <c r="G144" s="1">
        <f>IF($D144="","",IFERROR(SUMIFS(tblTransactions[Amount],tblTransactions[Transaction Type],"Expense",tblTransactions[Source Account],$D144,tblTransactions[Transaction Status],"Completed")+SUMIFS(tblTransactions[Amount],tblTransactions[Transaction Type],"Expense",tblTransactions[Source Account],$D144,tblTransactions[Transaction Status],"Reconciled")+SUMIFS(tblTransactions[Amount],tblTransactions[Transaction Type],"Transfer",tblTransactions[Source Account],$D144,tblTransactions[Transaction Status],"Completed")+SUMIFS(tblTransactions[Amount],tblTransactions[Transaction Type],"Transfer",tblTransactions[Source Account],$D144,tblTransactions[Transaction Status],"Reconciled")-SUMIFS(tblTransactions[Amount],tblTransactions[Transaction Type],"Adjustment",tblTransactions[Source Account],$D144,tblTransactions[Transaction Status],"Completed",tblTransactions[Amount],"&lt;0")-SUMIFS(tblTransactions[Amount],tblTransactions[Transaction Type],"Adjustment",tblTransactions[Source Account],$D144,tblTransactions[Transaction Status],"Reconciled",tblTransactions[Amount],"&lt;0"),0))</f>
      </c>
      <c r="H144" s="1">
        <f>IF($D144="","",$E144+$F144-$G144)</f>
      </c>
      <c r="I144" s="4">
        <f>IF($D144="","",IFERROR(1/(1/AGGREGATE(14,6,tblTransactions[Transaction Date]/(((tblTransactions[Source Account]=$D144)+((tblTransactions[Transaction Type]="Transfer")*(tblTransactions[Destination Type]="Account")*(tblTransactions[Destination Name]=$D144)))*((tblTransactions[Transaction Status]="Completed")+(tblTransactions[Transaction Status]="Reconciled"))),1)),""))</f>
      </c>
      <c r="J144" s="1">
        <f>IF($D144="","",IFERROR(INDEX(tblAccounts[Account Type],ROW()-1),""))</f>
      </c>
      <c r="K144" s="1">
        <f>IF($D144="","",IFERROR(INDEX(tblAccounts[Include in Dashboard],ROW()-1),""))</f>
      </c>
      <c r="L144" s="1">
        <f>IF($D144="","",IFERROR(INDEX(tblAccounts[Status],ROW()-1),""))</f>
      </c>
    </row>
    <row r="145">
      <c r="D145" s="1">
        <f>IFERROR(IF(INDEX(tblAccounts[Account Name],ROW()-1)="","",INDEX(tblAccounts[Account Name],ROW()-1)),"")</f>
      </c>
      <c r="E145" s="1">
        <f>IF($D145="","",IFERROR(INDEX(tblAccounts[Opening Balance],ROW()-1),0))</f>
      </c>
      <c r="F145" s="1">
        <f>IF($D145="","",IFERROR(SUMIFS(tblTransactions[Amount],tblTransactions[Transaction Type],"Income",tblTransactions[Source Account],$D145,tblTransactions[Transaction Status],"Completed")+SUMIFS(tblTransactions[Amount],tblTransactions[Transaction Type],"Income",tblTransactions[Source Account],$D145,tblTransactions[Transaction Status],"Reconciled")+SUMIFS(tblTransactions[Amount],tblTransactions[Transaction Type],"Transfer",tblTransactions[Destination Type],"Account",tblTransactions[Destination Name],$D145,tblTransactions[Transaction Status],"Completed")+SUMIFS(tblTransactions[Amount],tblTransactions[Transaction Type],"Transfer",tblTransactions[Destination Type],"Account",tblTransactions[Destination Name],$D145,tblTransactions[Transaction Status],"Reconciled")+SUMIFS(tblTransactions[Amount],tblTransactions[Transaction Type],"Adjustment",tblTransactions[Source Account],$D145,tblTransactions[Transaction Status],"Completed",tblTransactions[Amount],"&gt;0")+SUMIFS(tblTransactions[Amount],tblTransactions[Transaction Type],"Adjustment",tblTransactions[Source Account],$D145,tblTransactions[Transaction Status],"Reconciled",tblTransactions[Amount],"&gt;0"),0))</f>
      </c>
      <c r="G145" s="1">
        <f>IF($D145="","",IFERROR(SUMIFS(tblTransactions[Amount],tblTransactions[Transaction Type],"Expense",tblTransactions[Source Account],$D145,tblTransactions[Transaction Status],"Completed")+SUMIFS(tblTransactions[Amount],tblTransactions[Transaction Type],"Expense",tblTransactions[Source Account],$D145,tblTransactions[Transaction Status],"Reconciled")+SUMIFS(tblTransactions[Amount],tblTransactions[Transaction Type],"Transfer",tblTransactions[Source Account],$D145,tblTransactions[Transaction Status],"Completed")+SUMIFS(tblTransactions[Amount],tblTransactions[Transaction Type],"Transfer",tblTransactions[Source Account],$D145,tblTransactions[Transaction Status],"Reconciled")-SUMIFS(tblTransactions[Amount],tblTransactions[Transaction Type],"Adjustment",tblTransactions[Source Account],$D145,tblTransactions[Transaction Status],"Completed",tblTransactions[Amount],"&lt;0")-SUMIFS(tblTransactions[Amount],tblTransactions[Transaction Type],"Adjustment",tblTransactions[Source Account],$D145,tblTransactions[Transaction Status],"Reconciled",tblTransactions[Amount],"&lt;0"),0))</f>
      </c>
      <c r="H145" s="1">
        <f>IF($D145="","",$E145+$F145-$G145)</f>
      </c>
      <c r="I145" s="4">
        <f>IF($D145="","",IFERROR(1/(1/AGGREGATE(14,6,tblTransactions[Transaction Date]/(((tblTransactions[Source Account]=$D145)+((tblTransactions[Transaction Type]="Transfer")*(tblTransactions[Destination Type]="Account")*(tblTransactions[Destination Name]=$D145)))*((tblTransactions[Transaction Status]="Completed")+(tblTransactions[Transaction Status]="Reconciled"))),1)),""))</f>
      </c>
      <c r="J145" s="1">
        <f>IF($D145="","",IFERROR(INDEX(tblAccounts[Account Type],ROW()-1),""))</f>
      </c>
      <c r="K145" s="1">
        <f>IF($D145="","",IFERROR(INDEX(tblAccounts[Include in Dashboard],ROW()-1),""))</f>
      </c>
      <c r="L145" s="1">
        <f>IF($D145="","",IFERROR(INDEX(tblAccounts[Status],ROW()-1),""))</f>
      </c>
    </row>
    <row r="146">
      <c r="D146" s="1">
        <f>IFERROR(IF(INDEX(tblAccounts[Account Name],ROW()-1)="","",INDEX(tblAccounts[Account Name],ROW()-1)),"")</f>
      </c>
      <c r="E146" s="1">
        <f>IF($D146="","",IFERROR(INDEX(tblAccounts[Opening Balance],ROW()-1),0))</f>
      </c>
      <c r="F146" s="1">
        <f>IF($D146="","",IFERROR(SUMIFS(tblTransactions[Amount],tblTransactions[Transaction Type],"Income",tblTransactions[Source Account],$D146,tblTransactions[Transaction Status],"Completed")+SUMIFS(tblTransactions[Amount],tblTransactions[Transaction Type],"Income",tblTransactions[Source Account],$D146,tblTransactions[Transaction Status],"Reconciled")+SUMIFS(tblTransactions[Amount],tblTransactions[Transaction Type],"Transfer",tblTransactions[Destination Type],"Account",tblTransactions[Destination Name],$D146,tblTransactions[Transaction Status],"Completed")+SUMIFS(tblTransactions[Amount],tblTransactions[Transaction Type],"Transfer",tblTransactions[Destination Type],"Account",tblTransactions[Destination Name],$D146,tblTransactions[Transaction Status],"Reconciled")+SUMIFS(tblTransactions[Amount],tblTransactions[Transaction Type],"Adjustment",tblTransactions[Source Account],$D146,tblTransactions[Transaction Status],"Completed",tblTransactions[Amount],"&gt;0")+SUMIFS(tblTransactions[Amount],tblTransactions[Transaction Type],"Adjustment",tblTransactions[Source Account],$D146,tblTransactions[Transaction Status],"Reconciled",tblTransactions[Amount],"&gt;0"),0))</f>
      </c>
      <c r="G146" s="1">
        <f>IF($D146="","",IFERROR(SUMIFS(tblTransactions[Amount],tblTransactions[Transaction Type],"Expense",tblTransactions[Source Account],$D146,tblTransactions[Transaction Status],"Completed")+SUMIFS(tblTransactions[Amount],tblTransactions[Transaction Type],"Expense",tblTransactions[Source Account],$D146,tblTransactions[Transaction Status],"Reconciled")+SUMIFS(tblTransactions[Amount],tblTransactions[Transaction Type],"Transfer",tblTransactions[Source Account],$D146,tblTransactions[Transaction Status],"Completed")+SUMIFS(tblTransactions[Amount],tblTransactions[Transaction Type],"Transfer",tblTransactions[Source Account],$D146,tblTransactions[Transaction Status],"Reconciled")-SUMIFS(tblTransactions[Amount],tblTransactions[Transaction Type],"Adjustment",tblTransactions[Source Account],$D146,tblTransactions[Transaction Status],"Completed",tblTransactions[Amount],"&lt;0")-SUMIFS(tblTransactions[Amount],tblTransactions[Transaction Type],"Adjustment",tblTransactions[Source Account],$D146,tblTransactions[Transaction Status],"Reconciled",tblTransactions[Amount],"&lt;0"),0))</f>
      </c>
      <c r="H146" s="1">
        <f>IF($D146="","",$E146+$F146-$G146)</f>
      </c>
      <c r="I146" s="4">
        <f>IF($D146="","",IFERROR(1/(1/AGGREGATE(14,6,tblTransactions[Transaction Date]/(((tblTransactions[Source Account]=$D146)+((tblTransactions[Transaction Type]="Transfer")*(tblTransactions[Destination Type]="Account")*(tblTransactions[Destination Name]=$D146)))*((tblTransactions[Transaction Status]="Completed")+(tblTransactions[Transaction Status]="Reconciled"))),1)),""))</f>
      </c>
      <c r="J146" s="1">
        <f>IF($D146="","",IFERROR(INDEX(tblAccounts[Account Type],ROW()-1),""))</f>
      </c>
      <c r="K146" s="1">
        <f>IF($D146="","",IFERROR(INDEX(tblAccounts[Include in Dashboard],ROW()-1),""))</f>
      </c>
      <c r="L146" s="1">
        <f>IF($D146="","",IFERROR(INDEX(tblAccounts[Status],ROW()-1),""))</f>
      </c>
    </row>
    <row r="147">
      <c r="D147" s="1">
        <f>IFERROR(IF(INDEX(tblAccounts[Account Name],ROW()-1)="","",INDEX(tblAccounts[Account Name],ROW()-1)),"")</f>
      </c>
      <c r="E147" s="1">
        <f>IF($D147="","",IFERROR(INDEX(tblAccounts[Opening Balance],ROW()-1),0))</f>
      </c>
      <c r="F147" s="1">
        <f>IF($D147="","",IFERROR(SUMIFS(tblTransactions[Amount],tblTransactions[Transaction Type],"Income",tblTransactions[Source Account],$D147,tblTransactions[Transaction Status],"Completed")+SUMIFS(tblTransactions[Amount],tblTransactions[Transaction Type],"Income",tblTransactions[Source Account],$D147,tblTransactions[Transaction Status],"Reconciled")+SUMIFS(tblTransactions[Amount],tblTransactions[Transaction Type],"Transfer",tblTransactions[Destination Type],"Account",tblTransactions[Destination Name],$D147,tblTransactions[Transaction Status],"Completed")+SUMIFS(tblTransactions[Amount],tblTransactions[Transaction Type],"Transfer",tblTransactions[Destination Type],"Account",tblTransactions[Destination Name],$D147,tblTransactions[Transaction Status],"Reconciled")+SUMIFS(tblTransactions[Amount],tblTransactions[Transaction Type],"Adjustment",tblTransactions[Source Account],$D147,tblTransactions[Transaction Status],"Completed",tblTransactions[Amount],"&gt;0")+SUMIFS(tblTransactions[Amount],tblTransactions[Transaction Type],"Adjustment",tblTransactions[Source Account],$D147,tblTransactions[Transaction Status],"Reconciled",tblTransactions[Amount],"&gt;0"),0))</f>
      </c>
      <c r="G147" s="1">
        <f>IF($D147="","",IFERROR(SUMIFS(tblTransactions[Amount],tblTransactions[Transaction Type],"Expense",tblTransactions[Source Account],$D147,tblTransactions[Transaction Status],"Completed")+SUMIFS(tblTransactions[Amount],tblTransactions[Transaction Type],"Expense",tblTransactions[Source Account],$D147,tblTransactions[Transaction Status],"Reconciled")+SUMIFS(tblTransactions[Amount],tblTransactions[Transaction Type],"Transfer",tblTransactions[Source Account],$D147,tblTransactions[Transaction Status],"Completed")+SUMIFS(tblTransactions[Amount],tblTransactions[Transaction Type],"Transfer",tblTransactions[Source Account],$D147,tblTransactions[Transaction Status],"Reconciled")-SUMIFS(tblTransactions[Amount],tblTransactions[Transaction Type],"Adjustment",tblTransactions[Source Account],$D147,tblTransactions[Transaction Status],"Completed",tblTransactions[Amount],"&lt;0")-SUMIFS(tblTransactions[Amount],tblTransactions[Transaction Type],"Adjustment",tblTransactions[Source Account],$D147,tblTransactions[Transaction Status],"Reconciled",tblTransactions[Amount],"&lt;0"),0))</f>
      </c>
      <c r="H147" s="1">
        <f>IF($D147="","",$E147+$F147-$G147)</f>
      </c>
      <c r="I147" s="4">
        <f>IF($D147="","",IFERROR(1/(1/AGGREGATE(14,6,tblTransactions[Transaction Date]/(((tblTransactions[Source Account]=$D147)+((tblTransactions[Transaction Type]="Transfer")*(tblTransactions[Destination Type]="Account")*(tblTransactions[Destination Name]=$D147)))*((tblTransactions[Transaction Status]="Completed")+(tblTransactions[Transaction Status]="Reconciled"))),1)),""))</f>
      </c>
      <c r="J147" s="1">
        <f>IF($D147="","",IFERROR(INDEX(tblAccounts[Account Type],ROW()-1),""))</f>
      </c>
      <c r="K147" s="1">
        <f>IF($D147="","",IFERROR(INDEX(tblAccounts[Include in Dashboard],ROW()-1),""))</f>
      </c>
      <c r="L147" s="1">
        <f>IF($D147="","",IFERROR(INDEX(tblAccounts[Status],ROW()-1),""))</f>
      </c>
    </row>
    <row r="148">
      <c r="D148" s="1">
        <f>IFERROR(IF(INDEX(tblAccounts[Account Name],ROW()-1)="","",INDEX(tblAccounts[Account Name],ROW()-1)),"")</f>
      </c>
      <c r="E148" s="1">
        <f>IF($D148="","",IFERROR(INDEX(tblAccounts[Opening Balance],ROW()-1),0))</f>
      </c>
      <c r="F148" s="1">
        <f>IF($D148="","",IFERROR(SUMIFS(tblTransactions[Amount],tblTransactions[Transaction Type],"Income",tblTransactions[Source Account],$D148,tblTransactions[Transaction Status],"Completed")+SUMIFS(tblTransactions[Amount],tblTransactions[Transaction Type],"Income",tblTransactions[Source Account],$D148,tblTransactions[Transaction Status],"Reconciled")+SUMIFS(tblTransactions[Amount],tblTransactions[Transaction Type],"Transfer",tblTransactions[Destination Type],"Account",tblTransactions[Destination Name],$D148,tblTransactions[Transaction Status],"Completed")+SUMIFS(tblTransactions[Amount],tblTransactions[Transaction Type],"Transfer",tblTransactions[Destination Type],"Account",tblTransactions[Destination Name],$D148,tblTransactions[Transaction Status],"Reconciled")+SUMIFS(tblTransactions[Amount],tblTransactions[Transaction Type],"Adjustment",tblTransactions[Source Account],$D148,tblTransactions[Transaction Status],"Completed",tblTransactions[Amount],"&gt;0")+SUMIFS(tblTransactions[Amount],tblTransactions[Transaction Type],"Adjustment",tblTransactions[Source Account],$D148,tblTransactions[Transaction Status],"Reconciled",tblTransactions[Amount],"&gt;0"),0))</f>
      </c>
      <c r="G148" s="1">
        <f>IF($D148="","",IFERROR(SUMIFS(tblTransactions[Amount],tblTransactions[Transaction Type],"Expense",tblTransactions[Source Account],$D148,tblTransactions[Transaction Status],"Completed")+SUMIFS(tblTransactions[Amount],tblTransactions[Transaction Type],"Expense",tblTransactions[Source Account],$D148,tblTransactions[Transaction Status],"Reconciled")+SUMIFS(tblTransactions[Amount],tblTransactions[Transaction Type],"Transfer",tblTransactions[Source Account],$D148,tblTransactions[Transaction Status],"Completed")+SUMIFS(tblTransactions[Amount],tblTransactions[Transaction Type],"Transfer",tblTransactions[Source Account],$D148,tblTransactions[Transaction Status],"Reconciled")-SUMIFS(tblTransactions[Amount],tblTransactions[Transaction Type],"Adjustment",tblTransactions[Source Account],$D148,tblTransactions[Transaction Status],"Completed",tblTransactions[Amount],"&lt;0")-SUMIFS(tblTransactions[Amount],tblTransactions[Transaction Type],"Adjustment",tblTransactions[Source Account],$D148,tblTransactions[Transaction Status],"Reconciled",tblTransactions[Amount],"&lt;0"),0))</f>
      </c>
      <c r="H148" s="1">
        <f>IF($D148="","",$E148+$F148-$G148)</f>
      </c>
      <c r="I148" s="4">
        <f>IF($D148="","",IFERROR(1/(1/AGGREGATE(14,6,tblTransactions[Transaction Date]/(((tblTransactions[Source Account]=$D148)+((tblTransactions[Transaction Type]="Transfer")*(tblTransactions[Destination Type]="Account")*(tblTransactions[Destination Name]=$D148)))*((tblTransactions[Transaction Status]="Completed")+(tblTransactions[Transaction Status]="Reconciled"))),1)),""))</f>
      </c>
      <c r="J148" s="1">
        <f>IF($D148="","",IFERROR(INDEX(tblAccounts[Account Type],ROW()-1),""))</f>
      </c>
      <c r="K148" s="1">
        <f>IF($D148="","",IFERROR(INDEX(tblAccounts[Include in Dashboard],ROW()-1),""))</f>
      </c>
      <c r="L148" s="1">
        <f>IF($D148="","",IFERROR(INDEX(tblAccounts[Status],ROW()-1),""))</f>
      </c>
    </row>
    <row r="149">
      <c r="D149" s="1">
        <f>IFERROR(IF(INDEX(tblAccounts[Account Name],ROW()-1)="","",INDEX(tblAccounts[Account Name],ROW()-1)),"")</f>
      </c>
      <c r="E149" s="1">
        <f>IF($D149="","",IFERROR(INDEX(tblAccounts[Opening Balance],ROW()-1),0))</f>
      </c>
      <c r="F149" s="1">
        <f>IF($D149="","",IFERROR(SUMIFS(tblTransactions[Amount],tblTransactions[Transaction Type],"Income",tblTransactions[Source Account],$D149,tblTransactions[Transaction Status],"Completed")+SUMIFS(tblTransactions[Amount],tblTransactions[Transaction Type],"Income",tblTransactions[Source Account],$D149,tblTransactions[Transaction Status],"Reconciled")+SUMIFS(tblTransactions[Amount],tblTransactions[Transaction Type],"Transfer",tblTransactions[Destination Type],"Account",tblTransactions[Destination Name],$D149,tblTransactions[Transaction Status],"Completed")+SUMIFS(tblTransactions[Amount],tblTransactions[Transaction Type],"Transfer",tblTransactions[Destination Type],"Account",tblTransactions[Destination Name],$D149,tblTransactions[Transaction Status],"Reconciled")+SUMIFS(tblTransactions[Amount],tblTransactions[Transaction Type],"Adjustment",tblTransactions[Source Account],$D149,tblTransactions[Transaction Status],"Completed",tblTransactions[Amount],"&gt;0")+SUMIFS(tblTransactions[Amount],tblTransactions[Transaction Type],"Adjustment",tblTransactions[Source Account],$D149,tblTransactions[Transaction Status],"Reconciled",tblTransactions[Amount],"&gt;0"),0))</f>
      </c>
      <c r="G149" s="1">
        <f>IF($D149="","",IFERROR(SUMIFS(tblTransactions[Amount],tblTransactions[Transaction Type],"Expense",tblTransactions[Source Account],$D149,tblTransactions[Transaction Status],"Completed")+SUMIFS(tblTransactions[Amount],tblTransactions[Transaction Type],"Expense",tblTransactions[Source Account],$D149,tblTransactions[Transaction Status],"Reconciled")+SUMIFS(tblTransactions[Amount],tblTransactions[Transaction Type],"Transfer",tblTransactions[Source Account],$D149,tblTransactions[Transaction Status],"Completed")+SUMIFS(tblTransactions[Amount],tblTransactions[Transaction Type],"Transfer",tblTransactions[Source Account],$D149,tblTransactions[Transaction Status],"Reconciled")-SUMIFS(tblTransactions[Amount],tblTransactions[Transaction Type],"Adjustment",tblTransactions[Source Account],$D149,tblTransactions[Transaction Status],"Completed",tblTransactions[Amount],"&lt;0")-SUMIFS(tblTransactions[Amount],tblTransactions[Transaction Type],"Adjustment",tblTransactions[Source Account],$D149,tblTransactions[Transaction Status],"Reconciled",tblTransactions[Amount],"&lt;0"),0))</f>
      </c>
      <c r="H149" s="1">
        <f>IF($D149="","",$E149+$F149-$G149)</f>
      </c>
      <c r="I149" s="4">
        <f>IF($D149="","",IFERROR(1/(1/AGGREGATE(14,6,tblTransactions[Transaction Date]/(((tblTransactions[Source Account]=$D149)+((tblTransactions[Transaction Type]="Transfer")*(tblTransactions[Destination Type]="Account")*(tblTransactions[Destination Name]=$D149)))*((tblTransactions[Transaction Status]="Completed")+(tblTransactions[Transaction Status]="Reconciled"))),1)),""))</f>
      </c>
      <c r="J149" s="1">
        <f>IF($D149="","",IFERROR(INDEX(tblAccounts[Account Type],ROW()-1),""))</f>
      </c>
      <c r="K149" s="1">
        <f>IF($D149="","",IFERROR(INDEX(tblAccounts[Include in Dashboard],ROW()-1),""))</f>
      </c>
      <c r="L149" s="1">
        <f>IF($D149="","",IFERROR(INDEX(tblAccounts[Status],ROW()-1),""))</f>
      </c>
    </row>
    <row r="150">
      <c r="D150" s="1">
        <f>IFERROR(IF(INDEX(tblAccounts[Account Name],ROW()-1)="","",INDEX(tblAccounts[Account Name],ROW()-1)),"")</f>
      </c>
      <c r="E150" s="1">
        <f>IF($D150="","",IFERROR(INDEX(tblAccounts[Opening Balance],ROW()-1),0))</f>
      </c>
      <c r="F150" s="1">
        <f>IF($D150="","",IFERROR(SUMIFS(tblTransactions[Amount],tblTransactions[Transaction Type],"Income",tblTransactions[Source Account],$D150,tblTransactions[Transaction Status],"Completed")+SUMIFS(tblTransactions[Amount],tblTransactions[Transaction Type],"Income",tblTransactions[Source Account],$D150,tblTransactions[Transaction Status],"Reconciled")+SUMIFS(tblTransactions[Amount],tblTransactions[Transaction Type],"Transfer",tblTransactions[Destination Type],"Account",tblTransactions[Destination Name],$D150,tblTransactions[Transaction Status],"Completed")+SUMIFS(tblTransactions[Amount],tblTransactions[Transaction Type],"Transfer",tblTransactions[Destination Type],"Account",tblTransactions[Destination Name],$D150,tblTransactions[Transaction Status],"Reconciled")+SUMIFS(tblTransactions[Amount],tblTransactions[Transaction Type],"Adjustment",tblTransactions[Source Account],$D150,tblTransactions[Transaction Status],"Completed",tblTransactions[Amount],"&gt;0")+SUMIFS(tblTransactions[Amount],tblTransactions[Transaction Type],"Adjustment",tblTransactions[Source Account],$D150,tblTransactions[Transaction Status],"Reconciled",tblTransactions[Amount],"&gt;0"),0))</f>
      </c>
      <c r="G150" s="1">
        <f>IF($D150="","",IFERROR(SUMIFS(tblTransactions[Amount],tblTransactions[Transaction Type],"Expense",tblTransactions[Source Account],$D150,tblTransactions[Transaction Status],"Completed")+SUMIFS(tblTransactions[Amount],tblTransactions[Transaction Type],"Expense",tblTransactions[Source Account],$D150,tblTransactions[Transaction Status],"Reconciled")+SUMIFS(tblTransactions[Amount],tblTransactions[Transaction Type],"Transfer",tblTransactions[Source Account],$D150,tblTransactions[Transaction Status],"Completed")+SUMIFS(tblTransactions[Amount],tblTransactions[Transaction Type],"Transfer",tblTransactions[Source Account],$D150,tblTransactions[Transaction Status],"Reconciled")-SUMIFS(tblTransactions[Amount],tblTransactions[Transaction Type],"Adjustment",tblTransactions[Source Account],$D150,tblTransactions[Transaction Status],"Completed",tblTransactions[Amount],"&lt;0")-SUMIFS(tblTransactions[Amount],tblTransactions[Transaction Type],"Adjustment",tblTransactions[Source Account],$D150,tblTransactions[Transaction Status],"Reconciled",tblTransactions[Amount],"&lt;0"),0))</f>
      </c>
      <c r="H150" s="1">
        <f>IF($D150="","",$E150+$F150-$G150)</f>
      </c>
      <c r="I150" s="4">
        <f>IF($D150="","",IFERROR(1/(1/AGGREGATE(14,6,tblTransactions[Transaction Date]/(((tblTransactions[Source Account]=$D150)+((tblTransactions[Transaction Type]="Transfer")*(tblTransactions[Destination Type]="Account")*(tblTransactions[Destination Name]=$D150)))*((tblTransactions[Transaction Status]="Completed")+(tblTransactions[Transaction Status]="Reconciled"))),1)),""))</f>
      </c>
      <c r="J150" s="1">
        <f>IF($D150="","",IFERROR(INDEX(tblAccounts[Account Type],ROW()-1),""))</f>
      </c>
      <c r="K150" s="1">
        <f>IF($D150="","",IFERROR(INDEX(tblAccounts[Include in Dashboard],ROW()-1),""))</f>
      </c>
      <c r="L150" s="1">
        <f>IF($D150="","",IFERROR(INDEX(tblAccounts[Status],ROW()-1),""))</f>
      </c>
    </row>
    <row r="151">
      <c r="D151" s="1">
        <f>IFERROR(IF(INDEX(tblAccounts[Account Name],ROW()-1)="","",INDEX(tblAccounts[Account Name],ROW()-1)),"")</f>
      </c>
      <c r="E151" s="1">
        <f>IF($D151="","",IFERROR(INDEX(tblAccounts[Opening Balance],ROW()-1),0))</f>
      </c>
      <c r="F151" s="1">
        <f>IF($D151="","",IFERROR(SUMIFS(tblTransactions[Amount],tblTransactions[Transaction Type],"Income",tblTransactions[Source Account],$D151,tblTransactions[Transaction Status],"Completed")+SUMIFS(tblTransactions[Amount],tblTransactions[Transaction Type],"Income",tblTransactions[Source Account],$D151,tblTransactions[Transaction Status],"Reconciled")+SUMIFS(tblTransactions[Amount],tblTransactions[Transaction Type],"Transfer",tblTransactions[Destination Type],"Account",tblTransactions[Destination Name],$D151,tblTransactions[Transaction Status],"Completed")+SUMIFS(tblTransactions[Amount],tblTransactions[Transaction Type],"Transfer",tblTransactions[Destination Type],"Account",tblTransactions[Destination Name],$D151,tblTransactions[Transaction Status],"Reconciled")+SUMIFS(tblTransactions[Amount],tblTransactions[Transaction Type],"Adjustment",tblTransactions[Source Account],$D151,tblTransactions[Transaction Status],"Completed",tblTransactions[Amount],"&gt;0")+SUMIFS(tblTransactions[Amount],tblTransactions[Transaction Type],"Adjustment",tblTransactions[Source Account],$D151,tblTransactions[Transaction Status],"Reconciled",tblTransactions[Amount],"&gt;0"),0))</f>
      </c>
      <c r="G151" s="1">
        <f>IF($D151="","",IFERROR(SUMIFS(tblTransactions[Amount],tblTransactions[Transaction Type],"Expense",tblTransactions[Source Account],$D151,tblTransactions[Transaction Status],"Completed")+SUMIFS(tblTransactions[Amount],tblTransactions[Transaction Type],"Expense",tblTransactions[Source Account],$D151,tblTransactions[Transaction Status],"Reconciled")+SUMIFS(tblTransactions[Amount],tblTransactions[Transaction Type],"Transfer",tblTransactions[Source Account],$D151,tblTransactions[Transaction Status],"Completed")+SUMIFS(tblTransactions[Amount],tblTransactions[Transaction Type],"Transfer",tblTransactions[Source Account],$D151,tblTransactions[Transaction Status],"Reconciled")-SUMIFS(tblTransactions[Amount],tblTransactions[Transaction Type],"Adjustment",tblTransactions[Source Account],$D151,tblTransactions[Transaction Status],"Completed",tblTransactions[Amount],"&lt;0")-SUMIFS(tblTransactions[Amount],tblTransactions[Transaction Type],"Adjustment",tblTransactions[Source Account],$D151,tblTransactions[Transaction Status],"Reconciled",tblTransactions[Amount],"&lt;0"),0))</f>
      </c>
      <c r="H151" s="1">
        <f>IF($D151="","",$E151+$F151-$G151)</f>
      </c>
      <c r="I151" s="4">
        <f>IF($D151="","",IFERROR(1/(1/AGGREGATE(14,6,tblTransactions[Transaction Date]/(((tblTransactions[Source Account]=$D151)+((tblTransactions[Transaction Type]="Transfer")*(tblTransactions[Destination Type]="Account")*(tblTransactions[Destination Name]=$D151)))*((tblTransactions[Transaction Status]="Completed")+(tblTransactions[Transaction Status]="Reconciled"))),1)),""))</f>
      </c>
      <c r="J151" s="1">
        <f>IF($D151="","",IFERROR(INDEX(tblAccounts[Account Type],ROW()-1),""))</f>
      </c>
      <c r="K151" s="1">
        <f>IF($D151="","",IFERROR(INDEX(tblAccounts[Include in Dashboard],ROW()-1),""))</f>
      </c>
      <c r="L151" s="1">
        <f>IF($D151="","",IFERROR(INDEX(tblAccounts[Status],ROW()-1),""))</f>
      </c>
    </row>
    <row r="152">
      <c r="D152" s="1">
        <f>IFERROR(IF(INDEX(tblAccounts[Account Name],ROW()-1)="","",INDEX(tblAccounts[Account Name],ROW()-1)),"")</f>
      </c>
      <c r="E152" s="1">
        <f>IF($D152="","",IFERROR(INDEX(tblAccounts[Opening Balance],ROW()-1),0))</f>
      </c>
      <c r="F152" s="1">
        <f>IF($D152="","",IFERROR(SUMIFS(tblTransactions[Amount],tblTransactions[Transaction Type],"Income",tblTransactions[Source Account],$D152,tblTransactions[Transaction Status],"Completed")+SUMIFS(tblTransactions[Amount],tblTransactions[Transaction Type],"Income",tblTransactions[Source Account],$D152,tblTransactions[Transaction Status],"Reconciled")+SUMIFS(tblTransactions[Amount],tblTransactions[Transaction Type],"Transfer",tblTransactions[Destination Type],"Account",tblTransactions[Destination Name],$D152,tblTransactions[Transaction Status],"Completed")+SUMIFS(tblTransactions[Amount],tblTransactions[Transaction Type],"Transfer",tblTransactions[Destination Type],"Account",tblTransactions[Destination Name],$D152,tblTransactions[Transaction Status],"Reconciled")+SUMIFS(tblTransactions[Amount],tblTransactions[Transaction Type],"Adjustment",tblTransactions[Source Account],$D152,tblTransactions[Transaction Status],"Completed",tblTransactions[Amount],"&gt;0")+SUMIFS(tblTransactions[Amount],tblTransactions[Transaction Type],"Adjustment",tblTransactions[Source Account],$D152,tblTransactions[Transaction Status],"Reconciled",tblTransactions[Amount],"&gt;0"),0))</f>
      </c>
      <c r="G152" s="1">
        <f>IF($D152="","",IFERROR(SUMIFS(tblTransactions[Amount],tblTransactions[Transaction Type],"Expense",tblTransactions[Source Account],$D152,tblTransactions[Transaction Status],"Completed")+SUMIFS(tblTransactions[Amount],tblTransactions[Transaction Type],"Expense",tblTransactions[Source Account],$D152,tblTransactions[Transaction Status],"Reconciled")+SUMIFS(tblTransactions[Amount],tblTransactions[Transaction Type],"Transfer",tblTransactions[Source Account],$D152,tblTransactions[Transaction Status],"Completed")+SUMIFS(tblTransactions[Amount],tblTransactions[Transaction Type],"Transfer",tblTransactions[Source Account],$D152,tblTransactions[Transaction Status],"Reconciled")-SUMIFS(tblTransactions[Amount],tblTransactions[Transaction Type],"Adjustment",tblTransactions[Source Account],$D152,tblTransactions[Transaction Status],"Completed",tblTransactions[Amount],"&lt;0")-SUMIFS(tblTransactions[Amount],tblTransactions[Transaction Type],"Adjustment",tblTransactions[Source Account],$D152,tblTransactions[Transaction Status],"Reconciled",tblTransactions[Amount],"&lt;0"),0))</f>
      </c>
      <c r="H152" s="1">
        <f>IF($D152="","",$E152+$F152-$G152)</f>
      </c>
      <c r="I152" s="4">
        <f>IF($D152="","",IFERROR(1/(1/AGGREGATE(14,6,tblTransactions[Transaction Date]/(((tblTransactions[Source Account]=$D152)+((tblTransactions[Transaction Type]="Transfer")*(tblTransactions[Destination Type]="Account")*(tblTransactions[Destination Name]=$D152)))*((tblTransactions[Transaction Status]="Completed")+(tblTransactions[Transaction Status]="Reconciled"))),1)),""))</f>
      </c>
      <c r="J152" s="1">
        <f>IF($D152="","",IFERROR(INDEX(tblAccounts[Account Type],ROW()-1),""))</f>
      </c>
      <c r="K152" s="1">
        <f>IF($D152="","",IFERROR(INDEX(tblAccounts[Include in Dashboard],ROW()-1),""))</f>
      </c>
      <c r="L152" s="1">
        <f>IF($D152="","",IFERROR(INDEX(tblAccounts[Status],ROW()-1),""))</f>
      </c>
    </row>
    <row r="153">
      <c r="D153" s="1">
        <f>IFERROR(IF(INDEX(tblAccounts[Account Name],ROW()-1)="","",INDEX(tblAccounts[Account Name],ROW()-1)),"")</f>
      </c>
      <c r="E153" s="1">
        <f>IF($D153="","",IFERROR(INDEX(tblAccounts[Opening Balance],ROW()-1),0))</f>
      </c>
      <c r="F153" s="1">
        <f>IF($D153="","",IFERROR(SUMIFS(tblTransactions[Amount],tblTransactions[Transaction Type],"Income",tblTransactions[Source Account],$D153,tblTransactions[Transaction Status],"Completed")+SUMIFS(tblTransactions[Amount],tblTransactions[Transaction Type],"Income",tblTransactions[Source Account],$D153,tblTransactions[Transaction Status],"Reconciled")+SUMIFS(tblTransactions[Amount],tblTransactions[Transaction Type],"Transfer",tblTransactions[Destination Type],"Account",tblTransactions[Destination Name],$D153,tblTransactions[Transaction Status],"Completed")+SUMIFS(tblTransactions[Amount],tblTransactions[Transaction Type],"Transfer",tblTransactions[Destination Type],"Account",tblTransactions[Destination Name],$D153,tblTransactions[Transaction Status],"Reconciled")+SUMIFS(tblTransactions[Amount],tblTransactions[Transaction Type],"Adjustment",tblTransactions[Source Account],$D153,tblTransactions[Transaction Status],"Completed",tblTransactions[Amount],"&gt;0")+SUMIFS(tblTransactions[Amount],tblTransactions[Transaction Type],"Adjustment",tblTransactions[Source Account],$D153,tblTransactions[Transaction Status],"Reconciled",tblTransactions[Amount],"&gt;0"),0))</f>
      </c>
      <c r="G153" s="1">
        <f>IF($D153="","",IFERROR(SUMIFS(tblTransactions[Amount],tblTransactions[Transaction Type],"Expense",tblTransactions[Source Account],$D153,tblTransactions[Transaction Status],"Completed")+SUMIFS(tblTransactions[Amount],tblTransactions[Transaction Type],"Expense",tblTransactions[Source Account],$D153,tblTransactions[Transaction Status],"Reconciled")+SUMIFS(tblTransactions[Amount],tblTransactions[Transaction Type],"Transfer",tblTransactions[Source Account],$D153,tblTransactions[Transaction Status],"Completed")+SUMIFS(tblTransactions[Amount],tblTransactions[Transaction Type],"Transfer",tblTransactions[Source Account],$D153,tblTransactions[Transaction Status],"Reconciled")-SUMIFS(tblTransactions[Amount],tblTransactions[Transaction Type],"Adjustment",tblTransactions[Source Account],$D153,tblTransactions[Transaction Status],"Completed",tblTransactions[Amount],"&lt;0")-SUMIFS(tblTransactions[Amount],tblTransactions[Transaction Type],"Adjustment",tblTransactions[Source Account],$D153,tblTransactions[Transaction Status],"Reconciled",tblTransactions[Amount],"&lt;0"),0))</f>
      </c>
      <c r="H153" s="1">
        <f>IF($D153="","",$E153+$F153-$G153)</f>
      </c>
      <c r="I153" s="4">
        <f>IF($D153="","",IFERROR(1/(1/AGGREGATE(14,6,tblTransactions[Transaction Date]/(((tblTransactions[Source Account]=$D153)+((tblTransactions[Transaction Type]="Transfer")*(tblTransactions[Destination Type]="Account")*(tblTransactions[Destination Name]=$D153)))*((tblTransactions[Transaction Status]="Completed")+(tblTransactions[Transaction Status]="Reconciled"))),1)),""))</f>
      </c>
      <c r="J153" s="1">
        <f>IF($D153="","",IFERROR(INDEX(tblAccounts[Account Type],ROW()-1),""))</f>
      </c>
      <c r="K153" s="1">
        <f>IF($D153="","",IFERROR(INDEX(tblAccounts[Include in Dashboard],ROW()-1),""))</f>
      </c>
      <c r="L153" s="1">
        <f>IF($D153="","",IFERROR(INDEX(tblAccounts[Status],ROW()-1),""))</f>
      </c>
    </row>
    <row r="154">
      <c r="D154" s="1">
        <f>IFERROR(IF(INDEX(tblAccounts[Account Name],ROW()-1)="","",INDEX(tblAccounts[Account Name],ROW()-1)),"")</f>
      </c>
      <c r="E154" s="1">
        <f>IF($D154="","",IFERROR(INDEX(tblAccounts[Opening Balance],ROW()-1),0))</f>
      </c>
      <c r="F154" s="1">
        <f>IF($D154="","",IFERROR(SUMIFS(tblTransactions[Amount],tblTransactions[Transaction Type],"Income",tblTransactions[Source Account],$D154,tblTransactions[Transaction Status],"Completed")+SUMIFS(tblTransactions[Amount],tblTransactions[Transaction Type],"Income",tblTransactions[Source Account],$D154,tblTransactions[Transaction Status],"Reconciled")+SUMIFS(tblTransactions[Amount],tblTransactions[Transaction Type],"Transfer",tblTransactions[Destination Type],"Account",tblTransactions[Destination Name],$D154,tblTransactions[Transaction Status],"Completed")+SUMIFS(tblTransactions[Amount],tblTransactions[Transaction Type],"Transfer",tblTransactions[Destination Type],"Account",tblTransactions[Destination Name],$D154,tblTransactions[Transaction Status],"Reconciled")+SUMIFS(tblTransactions[Amount],tblTransactions[Transaction Type],"Adjustment",tblTransactions[Source Account],$D154,tblTransactions[Transaction Status],"Completed",tblTransactions[Amount],"&gt;0")+SUMIFS(tblTransactions[Amount],tblTransactions[Transaction Type],"Adjustment",tblTransactions[Source Account],$D154,tblTransactions[Transaction Status],"Reconciled",tblTransactions[Amount],"&gt;0"),0))</f>
      </c>
      <c r="G154" s="1">
        <f>IF($D154="","",IFERROR(SUMIFS(tblTransactions[Amount],tblTransactions[Transaction Type],"Expense",tblTransactions[Source Account],$D154,tblTransactions[Transaction Status],"Completed")+SUMIFS(tblTransactions[Amount],tblTransactions[Transaction Type],"Expense",tblTransactions[Source Account],$D154,tblTransactions[Transaction Status],"Reconciled")+SUMIFS(tblTransactions[Amount],tblTransactions[Transaction Type],"Transfer",tblTransactions[Source Account],$D154,tblTransactions[Transaction Status],"Completed")+SUMIFS(tblTransactions[Amount],tblTransactions[Transaction Type],"Transfer",tblTransactions[Source Account],$D154,tblTransactions[Transaction Status],"Reconciled")-SUMIFS(tblTransactions[Amount],tblTransactions[Transaction Type],"Adjustment",tblTransactions[Source Account],$D154,tblTransactions[Transaction Status],"Completed",tblTransactions[Amount],"&lt;0")-SUMIFS(tblTransactions[Amount],tblTransactions[Transaction Type],"Adjustment",tblTransactions[Source Account],$D154,tblTransactions[Transaction Status],"Reconciled",tblTransactions[Amount],"&lt;0"),0))</f>
      </c>
      <c r="H154" s="1">
        <f>IF($D154="","",$E154+$F154-$G154)</f>
      </c>
      <c r="I154" s="4">
        <f>IF($D154="","",IFERROR(1/(1/AGGREGATE(14,6,tblTransactions[Transaction Date]/(((tblTransactions[Source Account]=$D154)+((tblTransactions[Transaction Type]="Transfer")*(tblTransactions[Destination Type]="Account")*(tblTransactions[Destination Name]=$D154)))*((tblTransactions[Transaction Status]="Completed")+(tblTransactions[Transaction Status]="Reconciled"))),1)),""))</f>
      </c>
      <c r="J154" s="1">
        <f>IF($D154="","",IFERROR(INDEX(tblAccounts[Account Type],ROW()-1),""))</f>
      </c>
      <c r="K154" s="1">
        <f>IF($D154="","",IFERROR(INDEX(tblAccounts[Include in Dashboard],ROW()-1),""))</f>
      </c>
      <c r="L154" s="1">
        <f>IF($D154="","",IFERROR(INDEX(tblAccounts[Status],ROW()-1),""))</f>
      </c>
    </row>
    <row r="155">
      <c r="D155" s="1">
        <f>IFERROR(IF(INDEX(tblAccounts[Account Name],ROW()-1)="","",INDEX(tblAccounts[Account Name],ROW()-1)),"")</f>
      </c>
      <c r="E155" s="1">
        <f>IF($D155="","",IFERROR(INDEX(tblAccounts[Opening Balance],ROW()-1),0))</f>
      </c>
      <c r="F155" s="1">
        <f>IF($D155="","",IFERROR(SUMIFS(tblTransactions[Amount],tblTransactions[Transaction Type],"Income",tblTransactions[Source Account],$D155,tblTransactions[Transaction Status],"Completed")+SUMIFS(tblTransactions[Amount],tblTransactions[Transaction Type],"Income",tblTransactions[Source Account],$D155,tblTransactions[Transaction Status],"Reconciled")+SUMIFS(tblTransactions[Amount],tblTransactions[Transaction Type],"Transfer",tblTransactions[Destination Type],"Account",tblTransactions[Destination Name],$D155,tblTransactions[Transaction Status],"Completed")+SUMIFS(tblTransactions[Amount],tblTransactions[Transaction Type],"Transfer",tblTransactions[Destination Type],"Account",tblTransactions[Destination Name],$D155,tblTransactions[Transaction Status],"Reconciled")+SUMIFS(tblTransactions[Amount],tblTransactions[Transaction Type],"Adjustment",tblTransactions[Source Account],$D155,tblTransactions[Transaction Status],"Completed",tblTransactions[Amount],"&gt;0")+SUMIFS(tblTransactions[Amount],tblTransactions[Transaction Type],"Adjustment",tblTransactions[Source Account],$D155,tblTransactions[Transaction Status],"Reconciled",tblTransactions[Amount],"&gt;0"),0))</f>
      </c>
      <c r="G155" s="1">
        <f>IF($D155="","",IFERROR(SUMIFS(tblTransactions[Amount],tblTransactions[Transaction Type],"Expense",tblTransactions[Source Account],$D155,tblTransactions[Transaction Status],"Completed")+SUMIFS(tblTransactions[Amount],tblTransactions[Transaction Type],"Expense",tblTransactions[Source Account],$D155,tblTransactions[Transaction Status],"Reconciled")+SUMIFS(tblTransactions[Amount],tblTransactions[Transaction Type],"Transfer",tblTransactions[Source Account],$D155,tblTransactions[Transaction Status],"Completed")+SUMIFS(tblTransactions[Amount],tblTransactions[Transaction Type],"Transfer",tblTransactions[Source Account],$D155,tblTransactions[Transaction Status],"Reconciled")-SUMIFS(tblTransactions[Amount],tblTransactions[Transaction Type],"Adjustment",tblTransactions[Source Account],$D155,tblTransactions[Transaction Status],"Completed",tblTransactions[Amount],"&lt;0")-SUMIFS(tblTransactions[Amount],tblTransactions[Transaction Type],"Adjustment",tblTransactions[Source Account],$D155,tblTransactions[Transaction Status],"Reconciled",tblTransactions[Amount],"&lt;0"),0))</f>
      </c>
      <c r="H155" s="1">
        <f>IF($D155="","",$E155+$F155-$G155)</f>
      </c>
      <c r="I155" s="4">
        <f>IF($D155="","",IFERROR(1/(1/AGGREGATE(14,6,tblTransactions[Transaction Date]/(((tblTransactions[Source Account]=$D155)+((tblTransactions[Transaction Type]="Transfer")*(tblTransactions[Destination Type]="Account")*(tblTransactions[Destination Name]=$D155)))*((tblTransactions[Transaction Status]="Completed")+(tblTransactions[Transaction Status]="Reconciled"))),1)),""))</f>
      </c>
      <c r="J155" s="1">
        <f>IF($D155="","",IFERROR(INDEX(tblAccounts[Account Type],ROW()-1),""))</f>
      </c>
      <c r="K155" s="1">
        <f>IF($D155="","",IFERROR(INDEX(tblAccounts[Include in Dashboard],ROW()-1),""))</f>
      </c>
      <c r="L155" s="1">
        <f>IF($D155="","",IFERROR(INDEX(tblAccounts[Status],ROW()-1),""))</f>
      </c>
    </row>
    <row r="156">
      <c r="D156" s="1">
        <f>IFERROR(IF(INDEX(tblAccounts[Account Name],ROW()-1)="","",INDEX(tblAccounts[Account Name],ROW()-1)),"")</f>
      </c>
      <c r="E156" s="1">
        <f>IF($D156="","",IFERROR(INDEX(tblAccounts[Opening Balance],ROW()-1),0))</f>
      </c>
      <c r="F156" s="1">
        <f>IF($D156="","",IFERROR(SUMIFS(tblTransactions[Amount],tblTransactions[Transaction Type],"Income",tblTransactions[Source Account],$D156,tblTransactions[Transaction Status],"Completed")+SUMIFS(tblTransactions[Amount],tblTransactions[Transaction Type],"Income",tblTransactions[Source Account],$D156,tblTransactions[Transaction Status],"Reconciled")+SUMIFS(tblTransactions[Amount],tblTransactions[Transaction Type],"Transfer",tblTransactions[Destination Type],"Account",tblTransactions[Destination Name],$D156,tblTransactions[Transaction Status],"Completed")+SUMIFS(tblTransactions[Amount],tblTransactions[Transaction Type],"Transfer",tblTransactions[Destination Type],"Account",tblTransactions[Destination Name],$D156,tblTransactions[Transaction Status],"Reconciled")+SUMIFS(tblTransactions[Amount],tblTransactions[Transaction Type],"Adjustment",tblTransactions[Source Account],$D156,tblTransactions[Transaction Status],"Completed",tblTransactions[Amount],"&gt;0")+SUMIFS(tblTransactions[Amount],tblTransactions[Transaction Type],"Adjustment",tblTransactions[Source Account],$D156,tblTransactions[Transaction Status],"Reconciled",tblTransactions[Amount],"&gt;0"),0))</f>
      </c>
      <c r="G156" s="1">
        <f>IF($D156="","",IFERROR(SUMIFS(tblTransactions[Amount],tblTransactions[Transaction Type],"Expense",tblTransactions[Source Account],$D156,tblTransactions[Transaction Status],"Completed")+SUMIFS(tblTransactions[Amount],tblTransactions[Transaction Type],"Expense",tblTransactions[Source Account],$D156,tblTransactions[Transaction Status],"Reconciled")+SUMIFS(tblTransactions[Amount],tblTransactions[Transaction Type],"Transfer",tblTransactions[Source Account],$D156,tblTransactions[Transaction Status],"Completed")+SUMIFS(tblTransactions[Amount],tblTransactions[Transaction Type],"Transfer",tblTransactions[Source Account],$D156,tblTransactions[Transaction Status],"Reconciled")-SUMIFS(tblTransactions[Amount],tblTransactions[Transaction Type],"Adjustment",tblTransactions[Source Account],$D156,tblTransactions[Transaction Status],"Completed",tblTransactions[Amount],"&lt;0")-SUMIFS(tblTransactions[Amount],tblTransactions[Transaction Type],"Adjustment",tblTransactions[Source Account],$D156,tblTransactions[Transaction Status],"Reconciled",tblTransactions[Amount],"&lt;0"),0))</f>
      </c>
      <c r="H156" s="1">
        <f>IF($D156="","",$E156+$F156-$G156)</f>
      </c>
      <c r="I156" s="4">
        <f>IF($D156="","",IFERROR(1/(1/AGGREGATE(14,6,tblTransactions[Transaction Date]/(((tblTransactions[Source Account]=$D156)+((tblTransactions[Transaction Type]="Transfer")*(tblTransactions[Destination Type]="Account")*(tblTransactions[Destination Name]=$D156)))*((tblTransactions[Transaction Status]="Completed")+(tblTransactions[Transaction Status]="Reconciled"))),1)),""))</f>
      </c>
      <c r="J156" s="1">
        <f>IF($D156="","",IFERROR(INDEX(tblAccounts[Account Type],ROW()-1),""))</f>
      </c>
      <c r="K156" s="1">
        <f>IF($D156="","",IFERROR(INDEX(tblAccounts[Include in Dashboard],ROW()-1),""))</f>
      </c>
      <c r="L156" s="1">
        <f>IF($D156="","",IFERROR(INDEX(tblAccounts[Status],ROW()-1),""))</f>
      </c>
    </row>
    <row r="157">
      <c r="D157" s="1">
        <f>IFERROR(IF(INDEX(tblAccounts[Account Name],ROW()-1)="","",INDEX(tblAccounts[Account Name],ROW()-1)),"")</f>
      </c>
      <c r="E157" s="1">
        <f>IF($D157="","",IFERROR(INDEX(tblAccounts[Opening Balance],ROW()-1),0))</f>
      </c>
      <c r="F157" s="1">
        <f>IF($D157="","",IFERROR(SUMIFS(tblTransactions[Amount],tblTransactions[Transaction Type],"Income",tblTransactions[Source Account],$D157,tblTransactions[Transaction Status],"Completed")+SUMIFS(tblTransactions[Amount],tblTransactions[Transaction Type],"Income",tblTransactions[Source Account],$D157,tblTransactions[Transaction Status],"Reconciled")+SUMIFS(tblTransactions[Amount],tblTransactions[Transaction Type],"Transfer",tblTransactions[Destination Type],"Account",tblTransactions[Destination Name],$D157,tblTransactions[Transaction Status],"Completed")+SUMIFS(tblTransactions[Amount],tblTransactions[Transaction Type],"Transfer",tblTransactions[Destination Type],"Account",tblTransactions[Destination Name],$D157,tblTransactions[Transaction Status],"Reconciled")+SUMIFS(tblTransactions[Amount],tblTransactions[Transaction Type],"Adjustment",tblTransactions[Source Account],$D157,tblTransactions[Transaction Status],"Completed",tblTransactions[Amount],"&gt;0")+SUMIFS(tblTransactions[Amount],tblTransactions[Transaction Type],"Adjustment",tblTransactions[Source Account],$D157,tblTransactions[Transaction Status],"Reconciled",tblTransactions[Amount],"&gt;0"),0))</f>
      </c>
      <c r="G157" s="1">
        <f>IF($D157="","",IFERROR(SUMIFS(tblTransactions[Amount],tblTransactions[Transaction Type],"Expense",tblTransactions[Source Account],$D157,tblTransactions[Transaction Status],"Completed")+SUMIFS(tblTransactions[Amount],tblTransactions[Transaction Type],"Expense",tblTransactions[Source Account],$D157,tblTransactions[Transaction Status],"Reconciled")+SUMIFS(tblTransactions[Amount],tblTransactions[Transaction Type],"Transfer",tblTransactions[Source Account],$D157,tblTransactions[Transaction Status],"Completed")+SUMIFS(tblTransactions[Amount],tblTransactions[Transaction Type],"Transfer",tblTransactions[Source Account],$D157,tblTransactions[Transaction Status],"Reconciled")-SUMIFS(tblTransactions[Amount],tblTransactions[Transaction Type],"Adjustment",tblTransactions[Source Account],$D157,tblTransactions[Transaction Status],"Completed",tblTransactions[Amount],"&lt;0")-SUMIFS(tblTransactions[Amount],tblTransactions[Transaction Type],"Adjustment",tblTransactions[Source Account],$D157,tblTransactions[Transaction Status],"Reconciled",tblTransactions[Amount],"&lt;0"),0))</f>
      </c>
      <c r="H157" s="1">
        <f>IF($D157="","",$E157+$F157-$G157)</f>
      </c>
      <c r="I157" s="4">
        <f>IF($D157="","",IFERROR(1/(1/AGGREGATE(14,6,tblTransactions[Transaction Date]/(((tblTransactions[Source Account]=$D157)+((tblTransactions[Transaction Type]="Transfer")*(tblTransactions[Destination Type]="Account")*(tblTransactions[Destination Name]=$D157)))*((tblTransactions[Transaction Status]="Completed")+(tblTransactions[Transaction Status]="Reconciled"))),1)),""))</f>
      </c>
      <c r="J157" s="1">
        <f>IF($D157="","",IFERROR(INDEX(tblAccounts[Account Type],ROW()-1),""))</f>
      </c>
      <c r="K157" s="1">
        <f>IF($D157="","",IFERROR(INDEX(tblAccounts[Include in Dashboard],ROW()-1),""))</f>
      </c>
      <c r="L157" s="1">
        <f>IF($D157="","",IFERROR(INDEX(tblAccounts[Status],ROW()-1),""))</f>
      </c>
    </row>
    <row r="158">
      <c r="D158" s="1">
        <f>IFERROR(IF(INDEX(tblAccounts[Account Name],ROW()-1)="","",INDEX(tblAccounts[Account Name],ROW()-1)),"")</f>
      </c>
      <c r="E158" s="1">
        <f>IF($D158="","",IFERROR(INDEX(tblAccounts[Opening Balance],ROW()-1),0))</f>
      </c>
      <c r="F158" s="1">
        <f>IF($D158="","",IFERROR(SUMIFS(tblTransactions[Amount],tblTransactions[Transaction Type],"Income",tblTransactions[Source Account],$D158,tblTransactions[Transaction Status],"Completed")+SUMIFS(tblTransactions[Amount],tblTransactions[Transaction Type],"Income",tblTransactions[Source Account],$D158,tblTransactions[Transaction Status],"Reconciled")+SUMIFS(tblTransactions[Amount],tblTransactions[Transaction Type],"Transfer",tblTransactions[Destination Type],"Account",tblTransactions[Destination Name],$D158,tblTransactions[Transaction Status],"Completed")+SUMIFS(tblTransactions[Amount],tblTransactions[Transaction Type],"Transfer",tblTransactions[Destination Type],"Account",tblTransactions[Destination Name],$D158,tblTransactions[Transaction Status],"Reconciled")+SUMIFS(tblTransactions[Amount],tblTransactions[Transaction Type],"Adjustment",tblTransactions[Source Account],$D158,tblTransactions[Transaction Status],"Completed",tblTransactions[Amount],"&gt;0")+SUMIFS(tblTransactions[Amount],tblTransactions[Transaction Type],"Adjustment",tblTransactions[Source Account],$D158,tblTransactions[Transaction Status],"Reconciled",tblTransactions[Amount],"&gt;0"),0))</f>
      </c>
      <c r="G158" s="1">
        <f>IF($D158="","",IFERROR(SUMIFS(tblTransactions[Amount],tblTransactions[Transaction Type],"Expense",tblTransactions[Source Account],$D158,tblTransactions[Transaction Status],"Completed")+SUMIFS(tblTransactions[Amount],tblTransactions[Transaction Type],"Expense",tblTransactions[Source Account],$D158,tblTransactions[Transaction Status],"Reconciled")+SUMIFS(tblTransactions[Amount],tblTransactions[Transaction Type],"Transfer",tblTransactions[Source Account],$D158,tblTransactions[Transaction Status],"Completed")+SUMIFS(tblTransactions[Amount],tblTransactions[Transaction Type],"Transfer",tblTransactions[Source Account],$D158,tblTransactions[Transaction Status],"Reconciled")-SUMIFS(tblTransactions[Amount],tblTransactions[Transaction Type],"Adjustment",tblTransactions[Source Account],$D158,tblTransactions[Transaction Status],"Completed",tblTransactions[Amount],"&lt;0")-SUMIFS(tblTransactions[Amount],tblTransactions[Transaction Type],"Adjustment",tblTransactions[Source Account],$D158,tblTransactions[Transaction Status],"Reconciled",tblTransactions[Amount],"&lt;0"),0))</f>
      </c>
      <c r="H158" s="1">
        <f>IF($D158="","",$E158+$F158-$G158)</f>
      </c>
      <c r="I158" s="4">
        <f>IF($D158="","",IFERROR(1/(1/AGGREGATE(14,6,tblTransactions[Transaction Date]/(((tblTransactions[Source Account]=$D158)+((tblTransactions[Transaction Type]="Transfer")*(tblTransactions[Destination Type]="Account")*(tblTransactions[Destination Name]=$D158)))*((tblTransactions[Transaction Status]="Completed")+(tblTransactions[Transaction Status]="Reconciled"))),1)),""))</f>
      </c>
      <c r="J158" s="1">
        <f>IF($D158="","",IFERROR(INDEX(tblAccounts[Account Type],ROW()-1),""))</f>
      </c>
      <c r="K158" s="1">
        <f>IF($D158="","",IFERROR(INDEX(tblAccounts[Include in Dashboard],ROW()-1),""))</f>
      </c>
      <c r="L158" s="1">
        <f>IF($D158="","",IFERROR(INDEX(tblAccounts[Status],ROW()-1),""))</f>
      </c>
    </row>
    <row r="159">
      <c r="D159" s="1">
        <f>IFERROR(IF(INDEX(tblAccounts[Account Name],ROW()-1)="","",INDEX(tblAccounts[Account Name],ROW()-1)),"")</f>
      </c>
      <c r="E159" s="1">
        <f>IF($D159="","",IFERROR(INDEX(tblAccounts[Opening Balance],ROW()-1),0))</f>
      </c>
      <c r="F159" s="1">
        <f>IF($D159="","",IFERROR(SUMIFS(tblTransactions[Amount],tblTransactions[Transaction Type],"Income",tblTransactions[Source Account],$D159,tblTransactions[Transaction Status],"Completed")+SUMIFS(tblTransactions[Amount],tblTransactions[Transaction Type],"Income",tblTransactions[Source Account],$D159,tblTransactions[Transaction Status],"Reconciled")+SUMIFS(tblTransactions[Amount],tblTransactions[Transaction Type],"Transfer",tblTransactions[Destination Type],"Account",tblTransactions[Destination Name],$D159,tblTransactions[Transaction Status],"Completed")+SUMIFS(tblTransactions[Amount],tblTransactions[Transaction Type],"Transfer",tblTransactions[Destination Type],"Account",tblTransactions[Destination Name],$D159,tblTransactions[Transaction Status],"Reconciled")+SUMIFS(tblTransactions[Amount],tblTransactions[Transaction Type],"Adjustment",tblTransactions[Source Account],$D159,tblTransactions[Transaction Status],"Completed",tblTransactions[Amount],"&gt;0")+SUMIFS(tblTransactions[Amount],tblTransactions[Transaction Type],"Adjustment",tblTransactions[Source Account],$D159,tblTransactions[Transaction Status],"Reconciled",tblTransactions[Amount],"&gt;0"),0))</f>
      </c>
      <c r="G159" s="1">
        <f>IF($D159="","",IFERROR(SUMIFS(tblTransactions[Amount],tblTransactions[Transaction Type],"Expense",tblTransactions[Source Account],$D159,tblTransactions[Transaction Status],"Completed")+SUMIFS(tblTransactions[Amount],tblTransactions[Transaction Type],"Expense",tblTransactions[Source Account],$D159,tblTransactions[Transaction Status],"Reconciled")+SUMIFS(tblTransactions[Amount],tblTransactions[Transaction Type],"Transfer",tblTransactions[Source Account],$D159,tblTransactions[Transaction Status],"Completed")+SUMIFS(tblTransactions[Amount],tblTransactions[Transaction Type],"Transfer",tblTransactions[Source Account],$D159,tblTransactions[Transaction Status],"Reconciled")-SUMIFS(tblTransactions[Amount],tblTransactions[Transaction Type],"Adjustment",tblTransactions[Source Account],$D159,tblTransactions[Transaction Status],"Completed",tblTransactions[Amount],"&lt;0")-SUMIFS(tblTransactions[Amount],tblTransactions[Transaction Type],"Adjustment",tblTransactions[Source Account],$D159,tblTransactions[Transaction Status],"Reconciled",tblTransactions[Amount],"&lt;0"),0))</f>
      </c>
      <c r="H159" s="1">
        <f>IF($D159="","",$E159+$F159-$G159)</f>
      </c>
      <c r="I159" s="4">
        <f>IF($D159="","",IFERROR(1/(1/AGGREGATE(14,6,tblTransactions[Transaction Date]/(((tblTransactions[Source Account]=$D159)+((tblTransactions[Transaction Type]="Transfer")*(tblTransactions[Destination Type]="Account")*(tblTransactions[Destination Name]=$D159)))*((tblTransactions[Transaction Status]="Completed")+(tblTransactions[Transaction Status]="Reconciled"))),1)),""))</f>
      </c>
      <c r="J159" s="1">
        <f>IF($D159="","",IFERROR(INDEX(tblAccounts[Account Type],ROW()-1),""))</f>
      </c>
      <c r="K159" s="1">
        <f>IF($D159="","",IFERROR(INDEX(tblAccounts[Include in Dashboard],ROW()-1),""))</f>
      </c>
      <c r="L159" s="1">
        <f>IF($D159="","",IFERROR(INDEX(tblAccounts[Status],ROW()-1),""))</f>
      </c>
    </row>
    <row r="160">
      <c r="D160" s="1">
        <f>IFERROR(IF(INDEX(tblAccounts[Account Name],ROW()-1)="","",INDEX(tblAccounts[Account Name],ROW()-1)),"")</f>
      </c>
      <c r="E160" s="1">
        <f>IF($D160="","",IFERROR(INDEX(tblAccounts[Opening Balance],ROW()-1),0))</f>
      </c>
      <c r="F160" s="1">
        <f>IF($D160="","",IFERROR(SUMIFS(tblTransactions[Amount],tblTransactions[Transaction Type],"Income",tblTransactions[Source Account],$D160,tblTransactions[Transaction Status],"Completed")+SUMIFS(tblTransactions[Amount],tblTransactions[Transaction Type],"Income",tblTransactions[Source Account],$D160,tblTransactions[Transaction Status],"Reconciled")+SUMIFS(tblTransactions[Amount],tblTransactions[Transaction Type],"Transfer",tblTransactions[Destination Type],"Account",tblTransactions[Destination Name],$D160,tblTransactions[Transaction Status],"Completed")+SUMIFS(tblTransactions[Amount],tblTransactions[Transaction Type],"Transfer",tblTransactions[Destination Type],"Account",tblTransactions[Destination Name],$D160,tblTransactions[Transaction Status],"Reconciled")+SUMIFS(tblTransactions[Amount],tblTransactions[Transaction Type],"Adjustment",tblTransactions[Source Account],$D160,tblTransactions[Transaction Status],"Completed",tblTransactions[Amount],"&gt;0")+SUMIFS(tblTransactions[Amount],tblTransactions[Transaction Type],"Adjustment",tblTransactions[Source Account],$D160,tblTransactions[Transaction Status],"Reconciled",tblTransactions[Amount],"&gt;0"),0))</f>
      </c>
      <c r="G160" s="1">
        <f>IF($D160="","",IFERROR(SUMIFS(tblTransactions[Amount],tblTransactions[Transaction Type],"Expense",tblTransactions[Source Account],$D160,tblTransactions[Transaction Status],"Completed")+SUMIFS(tblTransactions[Amount],tblTransactions[Transaction Type],"Expense",tblTransactions[Source Account],$D160,tblTransactions[Transaction Status],"Reconciled")+SUMIFS(tblTransactions[Amount],tblTransactions[Transaction Type],"Transfer",tblTransactions[Source Account],$D160,tblTransactions[Transaction Status],"Completed")+SUMIFS(tblTransactions[Amount],tblTransactions[Transaction Type],"Transfer",tblTransactions[Source Account],$D160,tblTransactions[Transaction Status],"Reconciled")-SUMIFS(tblTransactions[Amount],tblTransactions[Transaction Type],"Adjustment",tblTransactions[Source Account],$D160,tblTransactions[Transaction Status],"Completed",tblTransactions[Amount],"&lt;0")-SUMIFS(tblTransactions[Amount],tblTransactions[Transaction Type],"Adjustment",tblTransactions[Source Account],$D160,tblTransactions[Transaction Status],"Reconciled",tblTransactions[Amount],"&lt;0"),0))</f>
      </c>
      <c r="H160" s="1">
        <f>IF($D160="","",$E160+$F160-$G160)</f>
      </c>
      <c r="I160" s="4">
        <f>IF($D160="","",IFERROR(1/(1/AGGREGATE(14,6,tblTransactions[Transaction Date]/(((tblTransactions[Source Account]=$D160)+((tblTransactions[Transaction Type]="Transfer")*(tblTransactions[Destination Type]="Account")*(tblTransactions[Destination Name]=$D160)))*((tblTransactions[Transaction Status]="Completed")+(tblTransactions[Transaction Status]="Reconciled"))),1)),""))</f>
      </c>
      <c r="J160" s="1">
        <f>IF($D160="","",IFERROR(INDEX(tblAccounts[Account Type],ROW()-1),""))</f>
      </c>
      <c r="K160" s="1">
        <f>IF($D160="","",IFERROR(INDEX(tblAccounts[Include in Dashboard],ROW()-1),""))</f>
      </c>
      <c r="L160" s="1">
        <f>IF($D160="","",IFERROR(INDEX(tblAccounts[Status],ROW()-1),""))</f>
      </c>
    </row>
    <row r="161">
      <c r="D161" s="1">
        <f>IFERROR(IF(INDEX(tblAccounts[Account Name],ROW()-1)="","",INDEX(tblAccounts[Account Name],ROW()-1)),"")</f>
      </c>
      <c r="E161" s="1">
        <f>IF($D161="","",IFERROR(INDEX(tblAccounts[Opening Balance],ROW()-1),0))</f>
      </c>
      <c r="F161" s="1">
        <f>IF($D161="","",IFERROR(SUMIFS(tblTransactions[Amount],tblTransactions[Transaction Type],"Income",tblTransactions[Source Account],$D161,tblTransactions[Transaction Status],"Completed")+SUMIFS(tblTransactions[Amount],tblTransactions[Transaction Type],"Income",tblTransactions[Source Account],$D161,tblTransactions[Transaction Status],"Reconciled")+SUMIFS(tblTransactions[Amount],tblTransactions[Transaction Type],"Transfer",tblTransactions[Destination Type],"Account",tblTransactions[Destination Name],$D161,tblTransactions[Transaction Status],"Completed")+SUMIFS(tblTransactions[Amount],tblTransactions[Transaction Type],"Transfer",tblTransactions[Destination Type],"Account",tblTransactions[Destination Name],$D161,tblTransactions[Transaction Status],"Reconciled")+SUMIFS(tblTransactions[Amount],tblTransactions[Transaction Type],"Adjustment",tblTransactions[Source Account],$D161,tblTransactions[Transaction Status],"Completed",tblTransactions[Amount],"&gt;0")+SUMIFS(tblTransactions[Amount],tblTransactions[Transaction Type],"Adjustment",tblTransactions[Source Account],$D161,tblTransactions[Transaction Status],"Reconciled",tblTransactions[Amount],"&gt;0"),0))</f>
      </c>
      <c r="G161" s="1">
        <f>IF($D161="","",IFERROR(SUMIFS(tblTransactions[Amount],tblTransactions[Transaction Type],"Expense",tblTransactions[Source Account],$D161,tblTransactions[Transaction Status],"Completed")+SUMIFS(tblTransactions[Amount],tblTransactions[Transaction Type],"Expense",tblTransactions[Source Account],$D161,tblTransactions[Transaction Status],"Reconciled")+SUMIFS(tblTransactions[Amount],tblTransactions[Transaction Type],"Transfer",tblTransactions[Source Account],$D161,tblTransactions[Transaction Status],"Completed")+SUMIFS(tblTransactions[Amount],tblTransactions[Transaction Type],"Transfer",tblTransactions[Source Account],$D161,tblTransactions[Transaction Status],"Reconciled")-SUMIFS(tblTransactions[Amount],tblTransactions[Transaction Type],"Adjustment",tblTransactions[Source Account],$D161,tblTransactions[Transaction Status],"Completed",tblTransactions[Amount],"&lt;0")-SUMIFS(tblTransactions[Amount],tblTransactions[Transaction Type],"Adjustment",tblTransactions[Source Account],$D161,tblTransactions[Transaction Status],"Reconciled",tblTransactions[Amount],"&lt;0"),0))</f>
      </c>
      <c r="H161" s="1">
        <f>IF($D161="","",$E161+$F161-$G161)</f>
      </c>
      <c r="I161" s="4">
        <f>IF($D161="","",IFERROR(1/(1/AGGREGATE(14,6,tblTransactions[Transaction Date]/(((tblTransactions[Source Account]=$D161)+((tblTransactions[Transaction Type]="Transfer")*(tblTransactions[Destination Type]="Account")*(tblTransactions[Destination Name]=$D161)))*((tblTransactions[Transaction Status]="Completed")+(tblTransactions[Transaction Status]="Reconciled"))),1)),""))</f>
      </c>
      <c r="J161" s="1">
        <f>IF($D161="","",IFERROR(INDEX(tblAccounts[Account Type],ROW()-1),""))</f>
      </c>
      <c r="K161" s="1">
        <f>IF($D161="","",IFERROR(INDEX(tblAccounts[Include in Dashboard],ROW()-1),""))</f>
      </c>
      <c r="L161" s="1">
        <f>IF($D161="","",IFERROR(INDEX(tblAccounts[Status],ROW()-1),""))</f>
      </c>
    </row>
    <row r="162">
      <c r="D162" s="1">
        <f>IFERROR(IF(INDEX(tblAccounts[Account Name],ROW()-1)="","",INDEX(tblAccounts[Account Name],ROW()-1)),"")</f>
      </c>
      <c r="E162" s="1">
        <f>IF($D162="","",IFERROR(INDEX(tblAccounts[Opening Balance],ROW()-1),0))</f>
      </c>
      <c r="F162" s="1">
        <f>IF($D162="","",IFERROR(SUMIFS(tblTransactions[Amount],tblTransactions[Transaction Type],"Income",tblTransactions[Source Account],$D162,tblTransactions[Transaction Status],"Completed")+SUMIFS(tblTransactions[Amount],tblTransactions[Transaction Type],"Income",tblTransactions[Source Account],$D162,tblTransactions[Transaction Status],"Reconciled")+SUMIFS(tblTransactions[Amount],tblTransactions[Transaction Type],"Transfer",tblTransactions[Destination Type],"Account",tblTransactions[Destination Name],$D162,tblTransactions[Transaction Status],"Completed")+SUMIFS(tblTransactions[Amount],tblTransactions[Transaction Type],"Transfer",tblTransactions[Destination Type],"Account",tblTransactions[Destination Name],$D162,tblTransactions[Transaction Status],"Reconciled")+SUMIFS(tblTransactions[Amount],tblTransactions[Transaction Type],"Adjustment",tblTransactions[Source Account],$D162,tblTransactions[Transaction Status],"Completed",tblTransactions[Amount],"&gt;0")+SUMIFS(tblTransactions[Amount],tblTransactions[Transaction Type],"Adjustment",tblTransactions[Source Account],$D162,tblTransactions[Transaction Status],"Reconciled",tblTransactions[Amount],"&gt;0"),0))</f>
      </c>
      <c r="G162" s="1">
        <f>IF($D162="","",IFERROR(SUMIFS(tblTransactions[Amount],tblTransactions[Transaction Type],"Expense",tblTransactions[Source Account],$D162,tblTransactions[Transaction Status],"Completed")+SUMIFS(tblTransactions[Amount],tblTransactions[Transaction Type],"Expense",tblTransactions[Source Account],$D162,tblTransactions[Transaction Status],"Reconciled")+SUMIFS(tblTransactions[Amount],tblTransactions[Transaction Type],"Transfer",tblTransactions[Source Account],$D162,tblTransactions[Transaction Status],"Completed")+SUMIFS(tblTransactions[Amount],tblTransactions[Transaction Type],"Transfer",tblTransactions[Source Account],$D162,tblTransactions[Transaction Status],"Reconciled")-SUMIFS(tblTransactions[Amount],tblTransactions[Transaction Type],"Adjustment",tblTransactions[Source Account],$D162,tblTransactions[Transaction Status],"Completed",tblTransactions[Amount],"&lt;0")-SUMIFS(tblTransactions[Amount],tblTransactions[Transaction Type],"Adjustment",tblTransactions[Source Account],$D162,tblTransactions[Transaction Status],"Reconciled",tblTransactions[Amount],"&lt;0"),0))</f>
      </c>
      <c r="H162" s="1">
        <f>IF($D162="","",$E162+$F162-$G162)</f>
      </c>
      <c r="I162" s="4">
        <f>IF($D162="","",IFERROR(1/(1/AGGREGATE(14,6,tblTransactions[Transaction Date]/(((tblTransactions[Source Account]=$D162)+((tblTransactions[Transaction Type]="Transfer")*(tblTransactions[Destination Type]="Account")*(tblTransactions[Destination Name]=$D162)))*((tblTransactions[Transaction Status]="Completed")+(tblTransactions[Transaction Status]="Reconciled"))),1)),""))</f>
      </c>
      <c r="J162" s="1">
        <f>IF($D162="","",IFERROR(INDEX(tblAccounts[Account Type],ROW()-1),""))</f>
      </c>
      <c r="K162" s="1">
        <f>IF($D162="","",IFERROR(INDEX(tblAccounts[Include in Dashboard],ROW()-1),""))</f>
      </c>
      <c r="L162" s="1">
        <f>IF($D162="","",IFERROR(INDEX(tblAccounts[Status],ROW()-1),""))</f>
      </c>
    </row>
    <row r="163">
      <c r="D163" s="1">
        <f>IFERROR(IF(INDEX(tblAccounts[Account Name],ROW()-1)="","",INDEX(tblAccounts[Account Name],ROW()-1)),"")</f>
      </c>
      <c r="E163" s="1">
        <f>IF($D163="","",IFERROR(INDEX(tblAccounts[Opening Balance],ROW()-1),0))</f>
      </c>
      <c r="F163" s="1">
        <f>IF($D163="","",IFERROR(SUMIFS(tblTransactions[Amount],tblTransactions[Transaction Type],"Income",tblTransactions[Source Account],$D163,tblTransactions[Transaction Status],"Completed")+SUMIFS(tblTransactions[Amount],tblTransactions[Transaction Type],"Income",tblTransactions[Source Account],$D163,tblTransactions[Transaction Status],"Reconciled")+SUMIFS(tblTransactions[Amount],tblTransactions[Transaction Type],"Transfer",tblTransactions[Destination Type],"Account",tblTransactions[Destination Name],$D163,tblTransactions[Transaction Status],"Completed")+SUMIFS(tblTransactions[Amount],tblTransactions[Transaction Type],"Transfer",tblTransactions[Destination Type],"Account",tblTransactions[Destination Name],$D163,tblTransactions[Transaction Status],"Reconciled")+SUMIFS(tblTransactions[Amount],tblTransactions[Transaction Type],"Adjustment",tblTransactions[Source Account],$D163,tblTransactions[Transaction Status],"Completed",tblTransactions[Amount],"&gt;0")+SUMIFS(tblTransactions[Amount],tblTransactions[Transaction Type],"Adjustment",tblTransactions[Source Account],$D163,tblTransactions[Transaction Status],"Reconciled",tblTransactions[Amount],"&gt;0"),0))</f>
      </c>
      <c r="G163" s="1">
        <f>IF($D163="","",IFERROR(SUMIFS(tblTransactions[Amount],tblTransactions[Transaction Type],"Expense",tblTransactions[Source Account],$D163,tblTransactions[Transaction Status],"Completed")+SUMIFS(tblTransactions[Amount],tblTransactions[Transaction Type],"Expense",tblTransactions[Source Account],$D163,tblTransactions[Transaction Status],"Reconciled")+SUMIFS(tblTransactions[Amount],tblTransactions[Transaction Type],"Transfer",tblTransactions[Source Account],$D163,tblTransactions[Transaction Status],"Completed")+SUMIFS(tblTransactions[Amount],tblTransactions[Transaction Type],"Transfer",tblTransactions[Source Account],$D163,tblTransactions[Transaction Status],"Reconciled")-SUMIFS(tblTransactions[Amount],tblTransactions[Transaction Type],"Adjustment",tblTransactions[Source Account],$D163,tblTransactions[Transaction Status],"Completed",tblTransactions[Amount],"&lt;0")-SUMIFS(tblTransactions[Amount],tblTransactions[Transaction Type],"Adjustment",tblTransactions[Source Account],$D163,tblTransactions[Transaction Status],"Reconciled",tblTransactions[Amount],"&lt;0"),0))</f>
      </c>
      <c r="H163" s="1">
        <f>IF($D163="","",$E163+$F163-$G163)</f>
      </c>
      <c r="I163" s="4">
        <f>IF($D163="","",IFERROR(1/(1/AGGREGATE(14,6,tblTransactions[Transaction Date]/(((tblTransactions[Source Account]=$D163)+((tblTransactions[Transaction Type]="Transfer")*(tblTransactions[Destination Type]="Account")*(tblTransactions[Destination Name]=$D163)))*((tblTransactions[Transaction Status]="Completed")+(tblTransactions[Transaction Status]="Reconciled"))),1)),""))</f>
      </c>
      <c r="J163" s="1">
        <f>IF($D163="","",IFERROR(INDEX(tblAccounts[Account Type],ROW()-1),""))</f>
      </c>
      <c r="K163" s="1">
        <f>IF($D163="","",IFERROR(INDEX(tblAccounts[Include in Dashboard],ROW()-1),""))</f>
      </c>
      <c r="L163" s="1">
        <f>IF($D163="","",IFERROR(INDEX(tblAccounts[Status],ROW()-1),""))</f>
      </c>
    </row>
    <row r="164">
      <c r="D164" s="1">
        <f>IFERROR(IF(INDEX(tblAccounts[Account Name],ROW()-1)="","",INDEX(tblAccounts[Account Name],ROW()-1)),"")</f>
      </c>
      <c r="E164" s="1">
        <f>IF($D164="","",IFERROR(INDEX(tblAccounts[Opening Balance],ROW()-1),0))</f>
      </c>
      <c r="F164" s="1">
        <f>IF($D164="","",IFERROR(SUMIFS(tblTransactions[Amount],tblTransactions[Transaction Type],"Income",tblTransactions[Source Account],$D164,tblTransactions[Transaction Status],"Completed")+SUMIFS(tblTransactions[Amount],tblTransactions[Transaction Type],"Income",tblTransactions[Source Account],$D164,tblTransactions[Transaction Status],"Reconciled")+SUMIFS(tblTransactions[Amount],tblTransactions[Transaction Type],"Transfer",tblTransactions[Destination Type],"Account",tblTransactions[Destination Name],$D164,tblTransactions[Transaction Status],"Completed")+SUMIFS(tblTransactions[Amount],tblTransactions[Transaction Type],"Transfer",tblTransactions[Destination Type],"Account",tblTransactions[Destination Name],$D164,tblTransactions[Transaction Status],"Reconciled")+SUMIFS(tblTransactions[Amount],tblTransactions[Transaction Type],"Adjustment",tblTransactions[Source Account],$D164,tblTransactions[Transaction Status],"Completed",tblTransactions[Amount],"&gt;0")+SUMIFS(tblTransactions[Amount],tblTransactions[Transaction Type],"Adjustment",tblTransactions[Source Account],$D164,tblTransactions[Transaction Status],"Reconciled",tblTransactions[Amount],"&gt;0"),0))</f>
      </c>
      <c r="G164" s="1">
        <f>IF($D164="","",IFERROR(SUMIFS(tblTransactions[Amount],tblTransactions[Transaction Type],"Expense",tblTransactions[Source Account],$D164,tblTransactions[Transaction Status],"Completed")+SUMIFS(tblTransactions[Amount],tblTransactions[Transaction Type],"Expense",tblTransactions[Source Account],$D164,tblTransactions[Transaction Status],"Reconciled")+SUMIFS(tblTransactions[Amount],tblTransactions[Transaction Type],"Transfer",tblTransactions[Source Account],$D164,tblTransactions[Transaction Status],"Completed")+SUMIFS(tblTransactions[Amount],tblTransactions[Transaction Type],"Transfer",tblTransactions[Source Account],$D164,tblTransactions[Transaction Status],"Reconciled")-SUMIFS(tblTransactions[Amount],tblTransactions[Transaction Type],"Adjustment",tblTransactions[Source Account],$D164,tblTransactions[Transaction Status],"Completed",tblTransactions[Amount],"&lt;0")-SUMIFS(tblTransactions[Amount],tblTransactions[Transaction Type],"Adjustment",tblTransactions[Source Account],$D164,tblTransactions[Transaction Status],"Reconciled",tblTransactions[Amount],"&lt;0"),0))</f>
      </c>
      <c r="H164" s="1">
        <f>IF($D164="","",$E164+$F164-$G164)</f>
      </c>
      <c r="I164" s="4">
        <f>IF($D164="","",IFERROR(1/(1/AGGREGATE(14,6,tblTransactions[Transaction Date]/(((tblTransactions[Source Account]=$D164)+((tblTransactions[Transaction Type]="Transfer")*(tblTransactions[Destination Type]="Account")*(tblTransactions[Destination Name]=$D164)))*((tblTransactions[Transaction Status]="Completed")+(tblTransactions[Transaction Status]="Reconciled"))),1)),""))</f>
      </c>
      <c r="J164" s="1">
        <f>IF($D164="","",IFERROR(INDEX(tblAccounts[Account Type],ROW()-1),""))</f>
      </c>
      <c r="K164" s="1">
        <f>IF($D164="","",IFERROR(INDEX(tblAccounts[Include in Dashboard],ROW()-1),""))</f>
      </c>
      <c r="L164" s="1">
        <f>IF($D164="","",IFERROR(INDEX(tblAccounts[Status],ROW()-1),""))</f>
      </c>
    </row>
    <row r="165">
      <c r="D165" s="1">
        <f>IFERROR(IF(INDEX(tblAccounts[Account Name],ROW()-1)="","",INDEX(tblAccounts[Account Name],ROW()-1)),"")</f>
      </c>
      <c r="E165" s="1">
        <f>IF($D165="","",IFERROR(INDEX(tblAccounts[Opening Balance],ROW()-1),0))</f>
      </c>
      <c r="F165" s="1">
        <f>IF($D165="","",IFERROR(SUMIFS(tblTransactions[Amount],tblTransactions[Transaction Type],"Income",tblTransactions[Source Account],$D165,tblTransactions[Transaction Status],"Completed")+SUMIFS(tblTransactions[Amount],tblTransactions[Transaction Type],"Income",tblTransactions[Source Account],$D165,tblTransactions[Transaction Status],"Reconciled")+SUMIFS(tblTransactions[Amount],tblTransactions[Transaction Type],"Transfer",tblTransactions[Destination Type],"Account",tblTransactions[Destination Name],$D165,tblTransactions[Transaction Status],"Completed")+SUMIFS(tblTransactions[Amount],tblTransactions[Transaction Type],"Transfer",tblTransactions[Destination Type],"Account",tblTransactions[Destination Name],$D165,tblTransactions[Transaction Status],"Reconciled")+SUMIFS(tblTransactions[Amount],tblTransactions[Transaction Type],"Adjustment",tblTransactions[Source Account],$D165,tblTransactions[Transaction Status],"Completed",tblTransactions[Amount],"&gt;0")+SUMIFS(tblTransactions[Amount],tblTransactions[Transaction Type],"Adjustment",tblTransactions[Source Account],$D165,tblTransactions[Transaction Status],"Reconciled",tblTransactions[Amount],"&gt;0"),0))</f>
      </c>
      <c r="G165" s="1">
        <f>IF($D165="","",IFERROR(SUMIFS(tblTransactions[Amount],tblTransactions[Transaction Type],"Expense",tblTransactions[Source Account],$D165,tblTransactions[Transaction Status],"Completed")+SUMIFS(tblTransactions[Amount],tblTransactions[Transaction Type],"Expense",tblTransactions[Source Account],$D165,tblTransactions[Transaction Status],"Reconciled")+SUMIFS(tblTransactions[Amount],tblTransactions[Transaction Type],"Transfer",tblTransactions[Source Account],$D165,tblTransactions[Transaction Status],"Completed")+SUMIFS(tblTransactions[Amount],tblTransactions[Transaction Type],"Transfer",tblTransactions[Source Account],$D165,tblTransactions[Transaction Status],"Reconciled")-SUMIFS(tblTransactions[Amount],tblTransactions[Transaction Type],"Adjustment",tblTransactions[Source Account],$D165,tblTransactions[Transaction Status],"Completed",tblTransactions[Amount],"&lt;0")-SUMIFS(tblTransactions[Amount],tblTransactions[Transaction Type],"Adjustment",tblTransactions[Source Account],$D165,tblTransactions[Transaction Status],"Reconciled",tblTransactions[Amount],"&lt;0"),0))</f>
      </c>
      <c r="H165" s="1">
        <f>IF($D165="","",$E165+$F165-$G165)</f>
      </c>
      <c r="I165" s="4">
        <f>IF($D165="","",IFERROR(1/(1/AGGREGATE(14,6,tblTransactions[Transaction Date]/(((tblTransactions[Source Account]=$D165)+((tblTransactions[Transaction Type]="Transfer")*(tblTransactions[Destination Type]="Account")*(tblTransactions[Destination Name]=$D165)))*((tblTransactions[Transaction Status]="Completed")+(tblTransactions[Transaction Status]="Reconciled"))),1)),""))</f>
      </c>
      <c r="J165" s="1">
        <f>IF($D165="","",IFERROR(INDEX(tblAccounts[Account Type],ROW()-1),""))</f>
      </c>
      <c r="K165" s="1">
        <f>IF($D165="","",IFERROR(INDEX(tblAccounts[Include in Dashboard],ROW()-1),""))</f>
      </c>
      <c r="L165" s="1">
        <f>IF($D165="","",IFERROR(INDEX(tblAccounts[Status],ROW()-1),""))</f>
      </c>
    </row>
    <row r="166">
      <c r="D166" s="1">
        <f>IFERROR(IF(INDEX(tblAccounts[Account Name],ROW()-1)="","",INDEX(tblAccounts[Account Name],ROW()-1)),"")</f>
      </c>
      <c r="E166" s="1">
        <f>IF($D166="","",IFERROR(INDEX(tblAccounts[Opening Balance],ROW()-1),0))</f>
      </c>
      <c r="F166" s="1">
        <f>IF($D166="","",IFERROR(SUMIFS(tblTransactions[Amount],tblTransactions[Transaction Type],"Income",tblTransactions[Source Account],$D166,tblTransactions[Transaction Status],"Completed")+SUMIFS(tblTransactions[Amount],tblTransactions[Transaction Type],"Income",tblTransactions[Source Account],$D166,tblTransactions[Transaction Status],"Reconciled")+SUMIFS(tblTransactions[Amount],tblTransactions[Transaction Type],"Transfer",tblTransactions[Destination Type],"Account",tblTransactions[Destination Name],$D166,tblTransactions[Transaction Status],"Completed")+SUMIFS(tblTransactions[Amount],tblTransactions[Transaction Type],"Transfer",tblTransactions[Destination Type],"Account",tblTransactions[Destination Name],$D166,tblTransactions[Transaction Status],"Reconciled")+SUMIFS(tblTransactions[Amount],tblTransactions[Transaction Type],"Adjustment",tblTransactions[Source Account],$D166,tblTransactions[Transaction Status],"Completed",tblTransactions[Amount],"&gt;0")+SUMIFS(tblTransactions[Amount],tblTransactions[Transaction Type],"Adjustment",tblTransactions[Source Account],$D166,tblTransactions[Transaction Status],"Reconciled",tblTransactions[Amount],"&gt;0"),0))</f>
      </c>
      <c r="G166" s="1">
        <f>IF($D166="","",IFERROR(SUMIFS(tblTransactions[Amount],tblTransactions[Transaction Type],"Expense",tblTransactions[Source Account],$D166,tblTransactions[Transaction Status],"Completed")+SUMIFS(tblTransactions[Amount],tblTransactions[Transaction Type],"Expense",tblTransactions[Source Account],$D166,tblTransactions[Transaction Status],"Reconciled")+SUMIFS(tblTransactions[Amount],tblTransactions[Transaction Type],"Transfer",tblTransactions[Source Account],$D166,tblTransactions[Transaction Status],"Completed")+SUMIFS(tblTransactions[Amount],tblTransactions[Transaction Type],"Transfer",tblTransactions[Source Account],$D166,tblTransactions[Transaction Status],"Reconciled")-SUMIFS(tblTransactions[Amount],tblTransactions[Transaction Type],"Adjustment",tblTransactions[Source Account],$D166,tblTransactions[Transaction Status],"Completed",tblTransactions[Amount],"&lt;0")-SUMIFS(tblTransactions[Amount],tblTransactions[Transaction Type],"Adjustment",tblTransactions[Source Account],$D166,tblTransactions[Transaction Status],"Reconciled",tblTransactions[Amount],"&lt;0"),0))</f>
      </c>
      <c r="H166" s="1">
        <f>IF($D166="","",$E166+$F166-$G166)</f>
      </c>
      <c r="I166" s="4">
        <f>IF($D166="","",IFERROR(1/(1/AGGREGATE(14,6,tblTransactions[Transaction Date]/(((tblTransactions[Source Account]=$D166)+((tblTransactions[Transaction Type]="Transfer")*(tblTransactions[Destination Type]="Account")*(tblTransactions[Destination Name]=$D166)))*((tblTransactions[Transaction Status]="Completed")+(tblTransactions[Transaction Status]="Reconciled"))),1)),""))</f>
      </c>
      <c r="J166" s="1">
        <f>IF($D166="","",IFERROR(INDEX(tblAccounts[Account Type],ROW()-1),""))</f>
      </c>
      <c r="K166" s="1">
        <f>IF($D166="","",IFERROR(INDEX(tblAccounts[Include in Dashboard],ROW()-1),""))</f>
      </c>
      <c r="L166" s="1">
        <f>IF($D166="","",IFERROR(INDEX(tblAccounts[Status],ROW()-1),""))</f>
      </c>
    </row>
    <row r="167">
      <c r="D167" s="1">
        <f>IFERROR(IF(INDEX(tblAccounts[Account Name],ROW()-1)="","",INDEX(tblAccounts[Account Name],ROW()-1)),"")</f>
      </c>
      <c r="E167" s="1">
        <f>IF($D167="","",IFERROR(INDEX(tblAccounts[Opening Balance],ROW()-1),0))</f>
      </c>
      <c r="F167" s="1">
        <f>IF($D167="","",IFERROR(SUMIFS(tblTransactions[Amount],tblTransactions[Transaction Type],"Income",tblTransactions[Source Account],$D167,tblTransactions[Transaction Status],"Completed")+SUMIFS(tblTransactions[Amount],tblTransactions[Transaction Type],"Income",tblTransactions[Source Account],$D167,tblTransactions[Transaction Status],"Reconciled")+SUMIFS(tblTransactions[Amount],tblTransactions[Transaction Type],"Transfer",tblTransactions[Destination Type],"Account",tblTransactions[Destination Name],$D167,tblTransactions[Transaction Status],"Completed")+SUMIFS(tblTransactions[Amount],tblTransactions[Transaction Type],"Transfer",tblTransactions[Destination Type],"Account",tblTransactions[Destination Name],$D167,tblTransactions[Transaction Status],"Reconciled")+SUMIFS(tblTransactions[Amount],tblTransactions[Transaction Type],"Adjustment",tblTransactions[Source Account],$D167,tblTransactions[Transaction Status],"Completed",tblTransactions[Amount],"&gt;0")+SUMIFS(tblTransactions[Amount],tblTransactions[Transaction Type],"Adjustment",tblTransactions[Source Account],$D167,tblTransactions[Transaction Status],"Reconciled",tblTransactions[Amount],"&gt;0"),0))</f>
      </c>
      <c r="G167" s="1">
        <f>IF($D167="","",IFERROR(SUMIFS(tblTransactions[Amount],tblTransactions[Transaction Type],"Expense",tblTransactions[Source Account],$D167,tblTransactions[Transaction Status],"Completed")+SUMIFS(tblTransactions[Amount],tblTransactions[Transaction Type],"Expense",tblTransactions[Source Account],$D167,tblTransactions[Transaction Status],"Reconciled")+SUMIFS(tblTransactions[Amount],tblTransactions[Transaction Type],"Transfer",tblTransactions[Source Account],$D167,tblTransactions[Transaction Status],"Completed")+SUMIFS(tblTransactions[Amount],tblTransactions[Transaction Type],"Transfer",tblTransactions[Source Account],$D167,tblTransactions[Transaction Status],"Reconciled")-SUMIFS(tblTransactions[Amount],tblTransactions[Transaction Type],"Adjustment",tblTransactions[Source Account],$D167,tblTransactions[Transaction Status],"Completed",tblTransactions[Amount],"&lt;0")-SUMIFS(tblTransactions[Amount],tblTransactions[Transaction Type],"Adjustment",tblTransactions[Source Account],$D167,tblTransactions[Transaction Status],"Reconciled",tblTransactions[Amount],"&lt;0"),0))</f>
      </c>
      <c r="H167" s="1">
        <f>IF($D167="","",$E167+$F167-$G167)</f>
      </c>
      <c r="I167" s="4">
        <f>IF($D167="","",IFERROR(1/(1/AGGREGATE(14,6,tblTransactions[Transaction Date]/(((tblTransactions[Source Account]=$D167)+((tblTransactions[Transaction Type]="Transfer")*(tblTransactions[Destination Type]="Account")*(tblTransactions[Destination Name]=$D167)))*((tblTransactions[Transaction Status]="Completed")+(tblTransactions[Transaction Status]="Reconciled"))),1)),""))</f>
      </c>
      <c r="J167" s="1">
        <f>IF($D167="","",IFERROR(INDEX(tblAccounts[Account Type],ROW()-1),""))</f>
      </c>
      <c r="K167" s="1">
        <f>IF($D167="","",IFERROR(INDEX(tblAccounts[Include in Dashboard],ROW()-1),""))</f>
      </c>
      <c r="L167" s="1">
        <f>IF($D167="","",IFERROR(INDEX(tblAccounts[Status],ROW()-1),""))</f>
      </c>
    </row>
    <row r="168">
      <c r="D168" s="1">
        <f>IFERROR(IF(INDEX(tblAccounts[Account Name],ROW()-1)="","",INDEX(tblAccounts[Account Name],ROW()-1)),"")</f>
      </c>
      <c r="E168" s="1">
        <f>IF($D168="","",IFERROR(INDEX(tblAccounts[Opening Balance],ROW()-1),0))</f>
      </c>
      <c r="F168" s="1">
        <f>IF($D168="","",IFERROR(SUMIFS(tblTransactions[Amount],tblTransactions[Transaction Type],"Income",tblTransactions[Source Account],$D168,tblTransactions[Transaction Status],"Completed")+SUMIFS(tblTransactions[Amount],tblTransactions[Transaction Type],"Income",tblTransactions[Source Account],$D168,tblTransactions[Transaction Status],"Reconciled")+SUMIFS(tblTransactions[Amount],tblTransactions[Transaction Type],"Transfer",tblTransactions[Destination Type],"Account",tblTransactions[Destination Name],$D168,tblTransactions[Transaction Status],"Completed")+SUMIFS(tblTransactions[Amount],tblTransactions[Transaction Type],"Transfer",tblTransactions[Destination Type],"Account",tblTransactions[Destination Name],$D168,tblTransactions[Transaction Status],"Reconciled")+SUMIFS(tblTransactions[Amount],tblTransactions[Transaction Type],"Adjustment",tblTransactions[Source Account],$D168,tblTransactions[Transaction Status],"Completed",tblTransactions[Amount],"&gt;0")+SUMIFS(tblTransactions[Amount],tblTransactions[Transaction Type],"Adjustment",tblTransactions[Source Account],$D168,tblTransactions[Transaction Status],"Reconciled",tblTransactions[Amount],"&gt;0"),0))</f>
      </c>
      <c r="G168" s="1">
        <f>IF($D168="","",IFERROR(SUMIFS(tblTransactions[Amount],tblTransactions[Transaction Type],"Expense",tblTransactions[Source Account],$D168,tblTransactions[Transaction Status],"Completed")+SUMIFS(tblTransactions[Amount],tblTransactions[Transaction Type],"Expense",tblTransactions[Source Account],$D168,tblTransactions[Transaction Status],"Reconciled")+SUMIFS(tblTransactions[Amount],tblTransactions[Transaction Type],"Transfer",tblTransactions[Source Account],$D168,tblTransactions[Transaction Status],"Completed")+SUMIFS(tblTransactions[Amount],tblTransactions[Transaction Type],"Transfer",tblTransactions[Source Account],$D168,tblTransactions[Transaction Status],"Reconciled")-SUMIFS(tblTransactions[Amount],tblTransactions[Transaction Type],"Adjustment",tblTransactions[Source Account],$D168,tblTransactions[Transaction Status],"Completed",tblTransactions[Amount],"&lt;0")-SUMIFS(tblTransactions[Amount],tblTransactions[Transaction Type],"Adjustment",tblTransactions[Source Account],$D168,tblTransactions[Transaction Status],"Reconciled",tblTransactions[Amount],"&lt;0"),0))</f>
      </c>
      <c r="H168" s="1">
        <f>IF($D168="","",$E168+$F168-$G168)</f>
      </c>
      <c r="I168" s="4">
        <f>IF($D168="","",IFERROR(1/(1/AGGREGATE(14,6,tblTransactions[Transaction Date]/(((tblTransactions[Source Account]=$D168)+((tblTransactions[Transaction Type]="Transfer")*(tblTransactions[Destination Type]="Account")*(tblTransactions[Destination Name]=$D168)))*((tblTransactions[Transaction Status]="Completed")+(tblTransactions[Transaction Status]="Reconciled"))),1)),""))</f>
      </c>
      <c r="J168" s="1">
        <f>IF($D168="","",IFERROR(INDEX(tblAccounts[Account Type],ROW()-1),""))</f>
      </c>
      <c r="K168" s="1">
        <f>IF($D168="","",IFERROR(INDEX(tblAccounts[Include in Dashboard],ROW()-1),""))</f>
      </c>
      <c r="L168" s="1">
        <f>IF($D168="","",IFERROR(INDEX(tblAccounts[Status],ROW()-1),""))</f>
      </c>
    </row>
    <row r="169">
      <c r="D169" s="1">
        <f>IFERROR(IF(INDEX(tblAccounts[Account Name],ROW()-1)="","",INDEX(tblAccounts[Account Name],ROW()-1)),"")</f>
      </c>
      <c r="E169" s="1">
        <f>IF($D169="","",IFERROR(INDEX(tblAccounts[Opening Balance],ROW()-1),0))</f>
      </c>
      <c r="F169" s="1">
        <f>IF($D169="","",IFERROR(SUMIFS(tblTransactions[Amount],tblTransactions[Transaction Type],"Income",tblTransactions[Source Account],$D169,tblTransactions[Transaction Status],"Completed")+SUMIFS(tblTransactions[Amount],tblTransactions[Transaction Type],"Income",tblTransactions[Source Account],$D169,tblTransactions[Transaction Status],"Reconciled")+SUMIFS(tblTransactions[Amount],tblTransactions[Transaction Type],"Transfer",tblTransactions[Destination Type],"Account",tblTransactions[Destination Name],$D169,tblTransactions[Transaction Status],"Completed")+SUMIFS(tblTransactions[Amount],tblTransactions[Transaction Type],"Transfer",tblTransactions[Destination Type],"Account",tblTransactions[Destination Name],$D169,tblTransactions[Transaction Status],"Reconciled")+SUMIFS(tblTransactions[Amount],tblTransactions[Transaction Type],"Adjustment",tblTransactions[Source Account],$D169,tblTransactions[Transaction Status],"Completed",tblTransactions[Amount],"&gt;0")+SUMIFS(tblTransactions[Amount],tblTransactions[Transaction Type],"Adjustment",tblTransactions[Source Account],$D169,tblTransactions[Transaction Status],"Reconciled",tblTransactions[Amount],"&gt;0"),0))</f>
      </c>
      <c r="G169" s="1">
        <f>IF($D169="","",IFERROR(SUMIFS(tblTransactions[Amount],tblTransactions[Transaction Type],"Expense",tblTransactions[Source Account],$D169,tblTransactions[Transaction Status],"Completed")+SUMIFS(tblTransactions[Amount],tblTransactions[Transaction Type],"Expense",tblTransactions[Source Account],$D169,tblTransactions[Transaction Status],"Reconciled")+SUMIFS(tblTransactions[Amount],tblTransactions[Transaction Type],"Transfer",tblTransactions[Source Account],$D169,tblTransactions[Transaction Status],"Completed")+SUMIFS(tblTransactions[Amount],tblTransactions[Transaction Type],"Transfer",tblTransactions[Source Account],$D169,tblTransactions[Transaction Status],"Reconciled")-SUMIFS(tblTransactions[Amount],tblTransactions[Transaction Type],"Adjustment",tblTransactions[Source Account],$D169,tblTransactions[Transaction Status],"Completed",tblTransactions[Amount],"&lt;0")-SUMIFS(tblTransactions[Amount],tblTransactions[Transaction Type],"Adjustment",tblTransactions[Source Account],$D169,tblTransactions[Transaction Status],"Reconciled",tblTransactions[Amount],"&lt;0"),0))</f>
      </c>
      <c r="H169" s="1">
        <f>IF($D169="","",$E169+$F169-$G169)</f>
      </c>
      <c r="I169" s="4">
        <f>IF($D169="","",IFERROR(1/(1/AGGREGATE(14,6,tblTransactions[Transaction Date]/(((tblTransactions[Source Account]=$D169)+((tblTransactions[Transaction Type]="Transfer")*(tblTransactions[Destination Type]="Account")*(tblTransactions[Destination Name]=$D169)))*((tblTransactions[Transaction Status]="Completed")+(tblTransactions[Transaction Status]="Reconciled"))),1)),""))</f>
      </c>
      <c r="J169" s="1">
        <f>IF($D169="","",IFERROR(INDEX(tblAccounts[Account Type],ROW()-1),""))</f>
      </c>
      <c r="K169" s="1">
        <f>IF($D169="","",IFERROR(INDEX(tblAccounts[Include in Dashboard],ROW()-1),""))</f>
      </c>
      <c r="L169" s="1">
        <f>IF($D169="","",IFERROR(INDEX(tblAccounts[Status],ROW()-1),""))</f>
      </c>
    </row>
    <row r="170">
      <c r="D170" s="1">
        <f>IFERROR(IF(INDEX(tblAccounts[Account Name],ROW()-1)="","",INDEX(tblAccounts[Account Name],ROW()-1)),"")</f>
      </c>
      <c r="E170" s="1">
        <f>IF($D170="","",IFERROR(INDEX(tblAccounts[Opening Balance],ROW()-1),0))</f>
      </c>
      <c r="F170" s="1">
        <f>IF($D170="","",IFERROR(SUMIFS(tblTransactions[Amount],tblTransactions[Transaction Type],"Income",tblTransactions[Source Account],$D170,tblTransactions[Transaction Status],"Completed")+SUMIFS(tblTransactions[Amount],tblTransactions[Transaction Type],"Income",tblTransactions[Source Account],$D170,tblTransactions[Transaction Status],"Reconciled")+SUMIFS(tblTransactions[Amount],tblTransactions[Transaction Type],"Transfer",tblTransactions[Destination Type],"Account",tblTransactions[Destination Name],$D170,tblTransactions[Transaction Status],"Completed")+SUMIFS(tblTransactions[Amount],tblTransactions[Transaction Type],"Transfer",tblTransactions[Destination Type],"Account",tblTransactions[Destination Name],$D170,tblTransactions[Transaction Status],"Reconciled")+SUMIFS(tblTransactions[Amount],tblTransactions[Transaction Type],"Adjustment",tblTransactions[Source Account],$D170,tblTransactions[Transaction Status],"Completed",tblTransactions[Amount],"&gt;0")+SUMIFS(tblTransactions[Amount],tblTransactions[Transaction Type],"Adjustment",tblTransactions[Source Account],$D170,tblTransactions[Transaction Status],"Reconciled",tblTransactions[Amount],"&gt;0"),0))</f>
      </c>
      <c r="G170" s="1">
        <f>IF($D170="","",IFERROR(SUMIFS(tblTransactions[Amount],tblTransactions[Transaction Type],"Expense",tblTransactions[Source Account],$D170,tblTransactions[Transaction Status],"Completed")+SUMIFS(tblTransactions[Amount],tblTransactions[Transaction Type],"Expense",tblTransactions[Source Account],$D170,tblTransactions[Transaction Status],"Reconciled")+SUMIFS(tblTransactions[Amount],tblTransactions[Transaction Type],"Transfer",tblTransactions[Source Account],$D170,tblTransactions[Transaction Status],"Completed")+SUMIFS(tblTransactions[Amount],tblTransactions[Transaction Type],"Transfer",tblTransactions[Source Account],$D170,tblTransactions[Transaction Status],"Reconciled")-SUMIFS(tblTransactions[Amount],tblTransactions[Transaction Type],"Adjustment",tblTransactions[Source Account],$D170,tblTransactions[Transaction Status],"Completed",tblTransactions[Amount],"&lt;0")-SUMIFS(tblTransactions[Amount],tblTransactions[Transaction Type],"Adjustment",tblTransactions[Source Account],$D170,tblTransactions[Transaction Status],"Reconciled",tblTransactions[Amount],"&lt;0"),0))</f>
      </c>
      <c r="H170" s="1">
        <f>IF($D170="","",$E170+$F170-$G170)</f>
      </c>
      <c r="I170" s="4">
        <f>IF($D170="","",IFERROR(1/(1/AGGREGATE(14,6,tblTransactions[Transaction Date]/(((tblTransactions[Source Account]=$D170)+((tblTransactions[Transaction Type]="Transfer")*(tblTransactions[Destination Type]="Account")*(tblTransactions[Destination Name]=$D170)))*((tblTransactions[Transaction Status]="Completed")+(tblTransactions[Transaction Status]="Reconciled"))),1)),""))</f>
      </c>
      <c r="J170" s="1">
        <f>IF($D170="","",IFERROR(INDEX(tblAccounts[Account Type],ROW()-1),""))</f>
      </c>
      <c r="K170" s="1">
        <f>IF($D170="","",IFERROR(INDEX(tblAccounts[Include in Dashboard],ROW()-1),""))</f>
      </c>
      <c r="L170" s="1">
        <f>IF($D170="","",IFERROR(INDEX(tblAccounts[Status],ROW()-1),""))</f>
      </c>
    </row>
    <row r="171">
      <c r="D171" s="1">
        <f>IFERROR(IF(INDEX(tblAccounts[Account Name],ROW()-1)="","",INDEX(tblAccounts[Account Name],ROW()-1)),"")</f>
      </c>
      <c r="E171" s="1">
        <f>IF($D171="","",IFERROR(INDEX(tblAccounts[Opening Balance],ROW()-1),0))</f>
      </c>
      <c r="F171" s="1">
        <f>IF($D171="","",IFERROR(SUMIFS(tblTransactions[Amount],tblTransactions[Transaction Type],"Income",tblTransactions[Source Account],$D171,tblTransactions[Transaction Status],"Completed")+SUMIFS(tblTransactions[Amount],tblTransactions[Transaction Type],"Income",tblTransactions[Source Account],$D171,tblTransactions[Transaction Status],"Reconciled")+SUMIFS(tblTransactions[Amount],tblTransactions[Transaction Type],"Transfer",tblTransactions[Destination Type],"Account",tblTransactions[Destination Name],$D171,tblTransactions[Transaction Status],"Completed")+SUMIFS(tblTransactions[Amount],tblTransactions[Transaction Type],"Transfer",tblTransactions[Destination Type],"Account",tblTransactions[Destination Name],$D171,tblTransactions[Transaction Status],"Reconciled")+SUMIFS(tblTransactions[Amount],tblTransactions[Transaction Type],"Adjustment",tblTransactions[Source Account],$D171,tblTransactions[Transaction Status],"Completed",tblTransactions[Amount],"&gt;0")+SUMIFS(tblTransactions[Amount],tblTransactions[Transaction Type],"Adjustment",tblTransactions[Source Account],$D171,tblTransactions[Transaction Status],"Reconciled",tblTransactions[Amount],"&gt;0"),0))</f>
      </c>
      <c r="G171" s="1">
        <f>IF($D171="","",IFERROR(SUMIFS(tblTransactions[Amount],tblTransactions[Transaction Type],"Expense",tblTransactions[Source Account],$D171,tblTransactions[Transaction Status],"Completed")+SUMIFS(tblTransactions[Amount],tblTransactions[Transaction Type],"Expense",tblTransactions[Source Account],$D171,tblTransactions[Transaction Status],"Reconciled")+SUMIFS(tblTransactions[Amount],tblTransactions[Transaction Type],"Transfer",tblTransactions[Source Account],$D171,tblTransactions[Transaction Status],"Completed")+SUMIFS(tblTransactions[Amount],tblTransactions[Transaction Type],"Transfer",tblTransactions[Source Account],$D171,tblTransactions[Transaction Status],"Reconciled")-SUMIFS(tblTransactions[Amount],tblTransactions[Transaction Type],"Adjustment",tblTransactions[Source Account],$D171,tblTransactions[Transaction Status],"Completed",tblTransactions[Amount],"&lt;0")-SUMIFS(tblTransactions[Amount],tblTransactions[Transaction Type],"Adjustment",tblTransactions[Source Account],$D171,tblTransactions[Transaction Status],"Reconciled",tblTransactions[Amount],"&lt;0"),0))</f>
      </c>
      <c r="H171" s="1">
        <f>IF($D171="","",$E171+$F171-$G171)</f>
      </c>
      <c r="I171" s="4">
        <f>IF($D171="","",IFERROR(1/(1/AGGREGATE(14,6,tblTransactions[Transaction Date]/(((tblTransactions[Source Account]=$D171)+((tblTransactions[Transaction Type]="Transfer")*(tblTransactions[Destination Type]="Account")*(tblTransactions[Destination Name]=$D171)))*((tblTransactions[Transaction Status]="Completed")+(tblTransactions[Transaction Status]="Reconciled"))),1)),""))</f>
      </c>
      <c r="J171" s="1">
        <f>IF($D171="","",IFERROR(INDEX(tblAccounts[Account Type],ROW()-1),""))</f>
      </c>
      <c r="K171" s="1">
        <f>IF($D171="","",IFERROR(INDEX(tblAccounts[Include in Dashboard],ROW()-1),""))</f>
      </c>
      <c r="L171" s="1">
        <f>IF($D171="","",IFERROR(INDEX(tblAccounts[Status],ROW()-1),""))</f>
      </c>
    </row>
    <row r="172">
      <c r="D172" s="1">
        <f>IFERROR(IF(INDEX(tblAccounts[Account Name],ROW()-1)="","",INDEX(tblAccounts[Account Name],ROW()-1)),"")</f>
      </c>
      <c r="E172" s="1">
        <f>IF($D172="","",IFERROR(INDEX(tblAccounts[Opening Balance],ROW()-1),0))</f>
      </c>
      <c r="F172" s="1">
        <f>IF($D172="","",IFERROR(SUMIFS(tblTransactions[Amount],tblTransactions[Transaction Type],"Income",tblTransactions[Source Account],$D172,tblTransactions[Transaction Status],"Completed")+SUMIFS(tblTransactions[Amount],tblTransactions[Transaction Type],"Income",tblTransactions[Source Account],$D172,tblTransactions[Transaction Status],"Reconciled")+SUMIFS(tblTransactions[Amount],tblTransactions[Transaction Type],"Transfer",tblTransactions[Destination Type],"Account",tblTransactions[Destination Name],$D172,tblTransactions[Transaction Status],"Completed")+SUMIFS(tblTransactions[Amount],tblTransactions[Transaction Type],"Transfer",tblTransactions[Destination Type],"Account",tblTransactions[Destination Name],$D172,tblTransactions[Transaction Status],"Reconciled")+SUMIFS(tblTransactions[Amount],tblTransactions[Transaction Type],"Adjustment",tblTransactions[Source Account],$D172,tblTransactions[Transaction Status],"Completed",tblTransactions[Amount],"&gt;0")+SUMIFS(tblTransactions[Amount],tblTransactions[Transaction Type],"Adjustment",tblTransactions[Source Account],$D172,tblTransactions[Transaction Status],"Reconciled",tblTransactions[Amount],"&gt;0"),0))</f>
      </c>
      <c r="G172" s="1">
        <f>IF($D172="","",IFERROR(SUMIFS(tblTransactions[Amount],tblTransactions[Transaction Type],"Expense",tblTransactions[Source Account],$D172,tblTransactions[Transaction Status],"Completed")+SUMIFS(tblTransactions[Amount],tblTransactions[Transaction Type],"Expense",tblTransactions[Source Account],$D172,tblTransactions[Transaction Status],"Reconciled")+SUMIFS(tblTransactions[Amount],tblTransactions[Transaction Type],"Transfer",tblTransactions[Source Account],$D172,tblTransactions[Transaction Status],"Completed")+SUMIFS(tblTransactions[Amount],tblTransactions[Transaction Type],"Transfer",tblTransactions[Source Account],$D172,tblTransactions[Transaction Status],"Reconciled")-SUMIFS(tblTransactions[Amount],tblTransactions[Transaction Type],"Adjustment",tblTransactions[Source Account],$D172,tblTransactions[Transaction Status],"Completed",tblTransactions[Amount],"&lt;0")-SUMIFS(tblTransactions[Amount],tblTransactions[Transaction Type],"Adjustment",tblTransactions[Source Account],$D172,tblTransactions[Transaction Status],"Reconciled",tblTransactions[Amount],"&lt;0"),0))</f>
      </c>
      <c r="H172" s="1">
        <f>IF($D172="","",$E172+$F172-$G172)</f>
      </c>
      <c r="I172" s="4">
        <f>IF($D172="","",IFERROR(1/(1/AGGREGATE(14,6,tblTransactions[Transaction Date]/(((tblTransactions[Source Account]=$D172)+((tblTransactions[Transaction Type]="Transfer")*(tblTransactions[Destination Type]="Account")*(tblTransactions[Destination Name]=$D172)))*((tblTransactions[Transaction Status]="Completed")+(tblTransactions[Transaction Status]="Reconciled"))),1)),""))</f>
      </c>
      <c r="J172" s="1">
        <f>IF($D172="","",IFERROR(INDEX(tblAccounts[Account Type],ROW()-1),""))</f>
      </c>
      <c r="K172" s="1">
        <f>IF($D172="","",IFERROR(INDEX(tblAccounts[Include in Dashboard],ROW()-1),""))</f>
      </c>
      <c r="L172" s="1">
        <f>IF($D172="","",IFERROR(INDEX(tblAccounts[Status],ROW()-1),""))</f>
      </c>
    </row>
    <row r="173">
      <c r="D173" s="1">
        <f>IFERROR(IF(INDEX(tblAccounts[Account Name],ROW()-1)="","",INDEX(tblAccounts[Account Name],ROW()-1)),"")</f>
      </c>
      <c r="E173" s="1">
        <f>IF($D173="","",IFERROR(INDEX(tblAccounts[Opening Balance],ROW()-1),0))</f>
      </c>
      <c r="F173" s="1">
        <f>IF($D173="","",IFERROR(SUMIFS(tblTransactions[Amount],tblTransactions[Transaction Type],"Income",tblTransactions[Source Account],$D173,tblTransactions[Transaction Status],"Completed")+SUMIFS(tblTransactions[Amount],tblTransactions[Transaction Type],"Income",tblTransactions[Source Account],$D173,tblTransactions[Transaction Status],"Reconciled")+SUMIFS(tblTransactions[Amount],tblTransactions[Transaction Type],"Transfer",tblTransactions[Destination Type],"Account",tblTransactions[Destination Name],$D173,tblTransactions[Transaction Status],"Completed")+SUMIFS(tblTransactions[Amount],tblTransactions[Transaction Type],"Transfer",tblTransactions[Destination Type],"Account",tblTransactions[Destination Name],$D173,tblTransactions[Transaction Status],"Reconciled")+SUMIFS(tblTransactions[Amount],tblTransactions[Transaction Type],"Adjustment",tblTransactions[Source Account],$D173,tblTransactions[Transaction Status],"Completed",tblTransactions[Amount],"&gt;0")+SUMIFS(tblTransactions[Amount],tblTransactions[Transaction Type],"Adjustment",tblTransactions[Source Account],$D173,tblTransactions[Transaction Status],"Reconciled",tblTransactions[Amount],"&gt;0"),0))</f>
      </c>
      <c r="G173" s="1">
        <f>IF($D173="","",IFERROR(SUMIFS(tblTransactions[Amount],tblTransactions[Transaction Type],"Expense",tblTransactions[Source Account],$D173,tblTransactions[Transaction Status],"Completed")+SUMIFS(tblTransactions[Amount],tblTransactions[Transaction Type],"Expense",tblTransactions[Source Account],$D173,tblTransactions[Transaction Status],"Reconciled")+SUMIFS(tblTransactions[Amount],tblTransactions[Transaction Type],"Transfer",tblTransactions[Source Account],$D173,tblTransactions[Transaction Status],"Completed")+SUMIFS(tblTransactions[Amount],tblTransactions[Transaction Type],"Transfer",tblTransactions[Source Account],$D173,tblTransactions[Transaction Status],"Reconciled")-SUMIFS(tblTransactions[Amount],tblTransactions[Transaction Type],"Adjustment",tblTransactions[Source Account],$D173,tblTransactions[Transaction Status],"Completed",tblTransactions[Amount],"&lt;0")-SUMIFS(tblTransactions[Amount],tblTransactions[Transaction Type],"Adjustment",tblTransactions[Source Account],$D173,tblTransactions[Transaction Status],"Reconciled",tblTransactions[Amount],"&lt;0"),0))</f>
      </c>
      <c r="H173" s="1">
        <f>IF($D173="","",$E173+$F173-$G173)</f>
      </c>
      <c r="I173" s="4">
        <f>IF($D173="","",IFERROR(1/(1/AGGREGATE(14,6,tblTransactions[Transaction Date]/(((tblTransactions[Source Account]=$D173)+((tblTransactions[Transaction Type]="Transfer")*(tblTransactions[Destination Type]="Account")*(tblTransactions[Destination Name]=$D173)))*((tblTransactions[Transaction Status]="Completed")+(tblTransactions[Transaction Status]="Reconciled"))),1)),""))</f>
      </c>
      <c r="J173" s="1">
        <f>IF($D173="","",IFERROR(INDEX(tblAccounts[Account Type],ROW()-1),""))</f>
      </c>
      <c r="K173" s="1">
        <f>IF($D173="","",IFERROR(INDEX(tblAccounts[Include in Dashboard],ROW()-1),""))</f>
      </c>
      <c r="L173" s="1">
        <f>IF($D173="","",IFERROR(INDEX(tblAccounts[Status],ROW()-1),""))</f>
      </c>
    </row>
    <row r="174">
      <c r="D174" s="1">
        <f>IFERROR(IF(INDEX(tblAccounts[Account Name],ROW()-1)="","",INDEX(tblAccounts[Account Name],ROW()-1)),"")</f>
      </c>
      <c r="E174" s="1">
        <f>IF($D174="","",IFERROR(INDEX(tblAccounts[Opening Balance],ROW()-1),0))</f>
      </c>
      <c r="F174" s="1">
        <f>IF($D174="","",IFERROR(SUMIFS(tblTransactions[Amount],tblTransactions[Transaction Type],"Income",tblTransactions[Source Account],$D174,tblTransactions[Transaction Status],"Completed")+SUMIFS(tblTransactions[Amount],tblTransactions[Transaction Type],"Income",tblTransactions[Source Account],$D174,tblTransactions[Transaction Status],"Reconciled")+SUMIFS(tblTransactions[Amount],tblTransactions[Transaction Type],"Transfer",tblTransactions[Destination Type],"Account",tblTransactions[Destination Name],$D174,tblTransactions[Transaction Status],"Completed")+SUMIFS(tblTransactions[Amount],tblTransactions[Transaction Type],"Transfer",tblTransactions[Destination Type],"Account",tblTransactions[Destination Name],$D174,tblTransactions[Transaction Status],"Reconciled")+SUMIFS(tblTransactions[Amount],tblTransactions[Transaction Type],"Adjustment",tblTransactions[Source Account],$D174,tblTransactions[Transaction Status],"Completed",tblTransactions[Amount],"&gt;0")+SUMIFS(tblTransactions[Amount],tblTransactions[Transaction Type],"Adjustment",tblTransactions[Source Account],$D174,tblTransactions[Transaction Status],"Reconciled",tblTransactions[Amount],"&gt;0"),0))</f>
      </c>
      <c r="G174" s="1">
        <f>IF($D174="","",IFERROR(SUMIFS(tblTransactions[Amount],tblTransactions[Transaction Type],"Expense",tblTransactions[Source Account],$D174,tblTransactions[Transaction Status],"Completed")+SUMIFS(tblTransactions[Amount],tblTransactions[Transaction Type],"Expense",tblTransactions[Source Account],$D174,tblTransactions[Transaction Status],"Reconciled")+SUMIFS(tblTransactions[Amount],tblTransactions[Transaction Type],"Transfer",tblTransactions[Source Account],$D174,tblTransactions[Transaction Status],"Completed")+SUMIFS(tblTransactions[Amount],tblTransactions[Transaction Type],"Transfer",tblTransactions[Source Account],$D174,tblTransactions[Transaction Status],"Reconciled")-SUMIFS(tblTransactions[Amount],tblTransactions[Transaction Type],"Adjustment",tblTransactions[Source Account],$D174,tblTransactions[Transaction Status],"Completed",tblTransactions[Amount],"&lt;0")-SUMIFS(tblTransactions[Amount],tblTransactions[Transaction Type],"Adjustment",tblTransactions[Source Account],$D174,tblTransactions[Transaction Status],"Reconciled",tblTransactions[Amount],"&lt;0"),0))</f>
      </c>
      <c r="H174" s="1">
        <f>IF($D174="","",$E174+$F174-$G174)</f>
      </c>
      <c r="I174" s="4">
        <f>IF($D174="","",IFERROR(1/(1/AGGREGATE(14,6,tblTransactions[Transaction Date]/(((tblTransactions[Source Account]=$D174)+((tblTransactions[Transaction Type]="Transfer")*(tblTransactions[Destination Type]="Account")*(tblTransactions[Destination Name]=$D174)))*((tblTransactions[Transaction Status]="Completed")+(tblTransactions[Transaction Status]="Reconciled"))),1)),""))</f>
      </c>
      <c r="J174" s="1">
        <f>IF($D174="","",IFERROR(INDEX(tblAccounts[Account Type],ROW()-1),""))</f>
      </c>
      <c r="K174" s="1">
        <f>IF($D174="","",IFERROR(INDEX(tblAccounts[Include in Dashboard],ROW()-1),""))</f>
      </c>
      <c r="L174" s="1">
        <f>IF($D174="","",IFERROR(INDEX(tblAccounts[Status],ROW()-1),""))</f>
      </c>
    </row>
    <row r="175">
      <c r="D175" s="1">
        <f>IFERROR(IF(INDEX(tblAccounts[Account Name],ROW()-1)="","",INDEX(tblAccounts[Account Name],ROW()-1)),"")</f>
      </c>
      <c r="E175" s="1">
        <f>IF($D175="","",IFERROR(INDEX(tblAccounts[Opening Balance],ROW()-1),0))</f>
      </c>
      <c r="F175" s="1">
        <f>IF($D175="","",IFERROR(SUMIFS(tblTransactions[Amount],tblTransactions[Transaction Type],"Income",tblTransactions[Source Account],$D175,tblTransactions[Transaction Status],"Completed")+SUMIFS(tblTransactions[Amount],tblTransactions[Transaction Type],"Income",tblTransactions[Source Account],$D175,tblTransactions[Transaction Status],"Reconciled")+SUMIFS(tblTransactions[Amount],tblTransactions[Transaction Type],"Transfer",tblTransactions[Destination Type],"Account",tblTransactions[Destination Name],$D175,tblTransactions[Transaction Status],"Completed")+SUMIFS(tblTransactions[Amount],tblTransactions[Transaction Type],"Transfer",tblTransactions[Destination Type],"Account",tblTransactions[Destination Name],$D175,tblTransactions[Transaction Status],"Reconciled")+SUMIFS(tblTransactions[Amount],tblTransactions[Transaction Type],"Adjustment",tblTransactions[Source Account],$D175,tblTransactions[Transaction Status],"Completed",tblTransactions[Amount],"&gt;0")+SUMIFS(tblTransactions[Amount],tblTransactions[Transaction Type],"Adjustment",tblTransactions[Source Account],$D175,tblTransactions[Transaction Status],"Reconciled",tblTransactions[Amount],"&gt;0"),0))</f>
      </c>
      <c r="G175" s="1">
        <f>IF($D175="","",IFERROR(SUMIFS(tblTransactions[Amount],tblTransactions[Transaction Type],"Expense",tblTransactions[Source Account],$D175,tblTransactions[Transaction Status],"Completed")+SUMIFS(tblTransactions[Amount],tblTransactions[Transaction Type],"Expense",tblTransactions[Source Account],$D175,tblTransactions[Transaction Status],"Reconciled")+SUMIFS(tblTransactions[Amount],tblTransactions[Transaction Type],"Transfer",tblTransactions[Source Account],$D175,tblTransactions[Transaction Status],"Completed")+SUMIFS(tblTransactions[Amount],tblTransactions[Transaction Type],"Transfer",tblTransactions[Source Account],$D175,tblTransactions[Transaction Status],"Reconciled")-SUMIFS(tblTransactions[Amount],tblTransactions[Transaction Type],"Adjustment",tblTransactions[Source Account],$D175,tblTransactions[Transaction Status],"Completed",tblTransactions[Amount],"&lt;0")-SUMIFS(tblTransactions[Amount],tblTransactions[Transaction Type],"Adjustment",tblTransactions[Source Account],$D175,tblTransactions[Transaction Status],"Reconciled",tblTransactions[Amount],"&lt;0"),0))</f>
      </c>
      <c r="H175" s="1">
        <f>IF($D175="","",$E175+$F175-$G175)</f>
      </c>
      <c r="I175" s="4">
        <f>IF($D175="","",IFERROR(1/(1/AGGREGATE(14,6,tblTransactions[Transaction Date]/(((tblTransactions[Source Account]=$D175)+((tblTransactions[Transaction Type]="Transfer")*(tblTransactions[Destination Type]="Account")*(tblTransactions[Destination Name]=$D175)))*((tblTransactions[Transaction Status]="Completed")+(tblTransactions[Transaction Status]="Reconciled"))),1)),""))</f>
      </c>
      <c r="J175" s="1">
        <f>IF($D175="","",IFERROR(INDEX(tblAccounts[Account Type],ROW()-1),""))</f>
      </c>
      <c r="K175" s="1">
        <f>IF($D175="","",IFERROR(INDEX(tblAccounts[Include in Dashboard],ROW()-1),""))</f>
      </c>
      <c r="L175" s="1">
        <f>IF($D175="","",IFERROR(INDEX(tblAccounts[Status],ROW()-1),""))</f>
      </c>
    </row>
    <row r="176">
      <c r="D176" s="1">
        <f>IFERROR(IF(INDEX(tblAccounts[Account Name],ROW()-1)="","",INDEX(tblAccounts[Account Name],ROW()-1)),"")</f>
      </c>
      <c r="E176" s="1">
        <f>IF($D176="","",IFERROR(INDEX(tblAccounts[Opening Balance],ROW()-1),0))</f>
      </c>
      <c r="F176" s="1">
        <f>IF($D176="","",IFERROR(SUMIFS(tblTransactions[Amount],tblTransactions[Transaction Type],"Income",tblTransactions[Source Account],$D176,tblTransactions[Transaction Status],"Completed")+SUMIFS(tblTransactions[Amount],tblTransactions[Transaction Type],"Income",tblTransactions[Source Account],$D176,tblTransactions[Transaction Status],"Reconciled")+SUMIFS(tblTransactions[Amount],tblTransactions[Transaction Type],"Transfer",tblTransactions[Destination Type],"Account",tblTransactions[Destination Name],$D176,tblTransactions[Transaction Status],"Completed")+SUMIFS(tblTransactions[Amount],tblTransactions[Transaction Type],"Transfer",tblTransactions[Destination Type],"Account",tblTransactions[Destination Name],$D176,tblTransactions[Transaction Status],"Reconciled")+SUMIFS(tblTransactions[Amount],tblTransactions[Transaction Type],"Adjustment",tblTransactions[Source Account],$D176,tblTransactions[Transaction Status],"Completed",tblTransactions[Amount],"&gt;0")+SUMIFS(tblTransactions[Amount],tblTransactions[Transaction Type],"Adjustment",tblTransactions[Source Account],$D176,tblTransactions[Transaction Status],"Reconciled",tblTransactions[Amount],"&gt;0"),0))</f>
      </c>
      <c r="G176" s="1">
        <f>IF($D176="","",IFERROR(SUMIFS(tblTransactions[Amount],tblTransactions[Transaction Type],"Expense",tblTransactions[Source Account],$D176,tblTransactions[Transaction Status],"Completed")+SUMIFS(tblTransactions[Amount],tblTransactions[Transaction Type],"Expense",tblTransactions[Source Account],$D176,tblTransactions[Transaction Status],"Reconciled")+SUMIFS(tblTransactions[Amount],tblTransactions[Transaction Type],"Transfer",tblTransactions[Source Account],$D176,tblTransactions[Transaction Status],"Completed")+SUMIFS(tblTransactions[Amount],tblTransactions[Transaction Type],"Transfer",tblTransactions[Source Account],$D176,tblTransactions[Transaction Status],"Reconciled")-SUMIFS(tblTransactions[Amount],tblTransactions[Transaction Type],"Adjustment",tblTransactions[Source Account],$D176,tblTransactions[Transaction Status],"Completed",tblTransactions[Amount],"&lt;0")-SUMIFS(tblTransactions[Amount],tblTransactions[Transaction Type],"Adjustment",tblTransactions[Source Account],$D176,tblTransactions[Transaction Status],"Reconciled",tblTransactions[Amount],"&lt;0"),0))</f>
      </c>
      <c r="H176" s="1">
        <f>IF($D176="","",$E176+$F176-$G176)</f>
      </c>
      <c r="I176" s="4">
        <f>IF($D176="","",IFERROR(1/(1/AGGREGATE(14,6,tblTransactions[Transaction Date]/(((tblTransactions[Source Account]=$D176)+((tblTransactions[Transaction Type]="Transfer")*(tblTransactions[Destination Type]="Account")*(tblTransactions[Destination Name]=$D176)))*((tblTransactions[Transaction Status]="Completed")+(tblTransactions[Transaction Status]="Reconciled"))),1)),""))</f>
      </c>
      <c r="J176" s="1">
        <f>IF($D176="","",IFERROR(INDEX(tblAccounts[Account Type],ROW()-1),""))</f>
      </c>
      <c r="K176" s="1">
        <f>IF($D176="","",IFERROR(INDEX(tblAccounts[Include in Dashboard],ROW()-1),""))</f>
      </c>
      <c r="L176" s="1">
        <f>IF($D176="","",IFERROR(INDEX(tblAccounts[Status],ROW()-1),""))</f>
      </c>
    </row>
    <row r="177">
      <c r="D177" s="1">
        <f>IFERROR(IF(INDEX(tblAccounts[Account Name],ROW()-1)="","",INDEX(tblAccounts[Account Name],ROW()-1)),"")</f>
      </c>
      <c r="E177" s="1">
        <f>IF($D177="","",IFERROR(INDEX(tblAccounts[Opening Balance],ROW()-1),0))</f>
      </c>
      <c r="F177" s="1">
        <f>IF($D177="","",IFERROR(SUMIFS(tblTransactions[Amount],tblTransactions[Transaction Type],"Income",tblTransactions[Source Account],$D177,tblTransactions[Transaction Status],"Completed")+SUMIFS(tblTransactions[Amount],tblTransactions[Transaction Type],"Income",tblTransactions[Source Account],$D177,tblTransactions[Transaction Status],"Reconciled")+SUMIFS(tblTransactions[Amount],tblTransactions[Transaction Type],"Transfer",tblTransactions[Destination Type],"Account",tblTransactions[Destination Name],$D177,tblTransactions[Transaction Status],"Completed")+SUMIFS(tblTransactions[Amount],tblTransactions[Transaction Type],"Transfer",tblTransactions[Destination Type],"Account",tblTransactions[Destination Name],$D177,tblTransactions[Transaction Status],"Reconciled")+SUMIFS(tblTransactions[Amount],tblTransactions[Transaction Type],"Adjustment",tblTransactions[Source Account],$D177,tblTransactions[Transaction Status],"Completed",tblTransactions[Amount],"&gt;0")+SUMIFS(tblTransactions[Amount],tblTransactions[Transaction Type],"Adjustment",tblTransactions[Source Account],$D177,tblTransactions[Transaction Status],"Reconciled",tblTransactions[Amount],"&gt;0"),0))</f>
      </c>
      <c r="G177" s="1">
        <f>IF($D177="","",IFERROR(SUMIFS(tblTransactions[Amount],tblTransactions[Transaction Type],"Expense",tblTransactions[Source Account],$D177,tblTransactions[Transaction Status],"Completed")+SUMIFS(tblTransactions[Amount],tblTransactions[Transaction Type],"Expense",tblTransactions[Source Account],$D177,tblTransactions[Transaction Status],"Reconciled")+SUMIFS(tblTransactions[Amount],tblTransactions[Transaction Type],"Transfer",tblTransactions[Source Account],$D177,tblTransactions[Transaction Status],"Completed")+SUMIFS(tblTransactions[Amount],tblTransactions[Transaction Type],"Transfer",tblTransactions[Source Account],$D177,tblTransactions[Transaction Status],"Reconciled")-SUMIFS(tblTransactions[Amount],tblTransactions[Transaction Type],"Adjustment",tblTransactions[Source Account],$D177,tblTransactions[Transaction Status],"Completed",tblTransactions[Amount],"&lt;0")-SUMIFS(tblTransactions[Amount],tblTransactions[Transaction Type],"Adjustment",tblTransactions[Source Account],$D177,tblTransactions[Transaction Status],"Reconciled",tblTransactions[Amount],"&lt;0"),0))</f>
      </c>
      <c r="H177" s="1">
        <f>IF($D177="","",$E177+$F177-$G177)</f>
      </c>
      <c r="I177" s="4">
        <f>IF($D177="","",IFERROR(1/(1/AGGREGATE(14,6,tblTransactions[Transaction Date]/(((tblTransactions[Source Account]=$D177)+((tblTransactions[Transaction Type]="Transfer")*(tblTransactions[Destination Type]="Account")*(tblTransactions[Destination Name]=$D177)))*((tblTransactions[Transaction Status]="Completed")+(tblTransactions[Transaction Status]="Reconciled"))),1)),""))</f>
      </c>
      <c r="J177" s="1">
        <f>IF($D177="","",IFERROR(INDEX(tblAccounts[Account Type],ROW()-1),""))</f>
      </c>
      <c r="K177" s="1">
        <f>IF($D177="","",IFERROR(INDEX(tblAccounts[Include in Dashboard],ROW()-1),""))</f>
      </c>
      <c r="L177" s="1">
        <f>IF($D177="","",IFERROR(INDEX(tblAccounts[Status],ROW()-1),""))</f>
      </c>
    </row>
    <row r="178">
      <c r="D178" s="1">
        <f>IFERROR(IF(INDEX(tblAccounts[Account Name],ROW()-1)="","",INDEX(tblAccounts[Account Name],ROW()-1)),"")</f>
      </c>
      <c r="E178" s="1">
        <f>IF($D178="","",IFERROR(INDEX(tblAccounts[Opening Balance],ROW()-1),0))</f>
      </c>
      <c r="F178" s="1">
        <f>IF($D178="","",IFERROR(SUMIFS(tblTransactions[Amount],tblTransactions[Transaction Type],"Income",tblTransactions[Source Account],$D178,tblTransactions[Transaction Status],"Completed")+SUMIFS(tblTransactions[Amount],tblTransactions[Transaction Type],"Income",tblTransactions[Source Account],$D178,tblTransactions[Transaction Status],"Reconciled")+SUMIFS(tblTransactions[Amount],tblTransactions[Transaction Type],"Transfer",tblTransactions[Destination Type],"Account",tblTransactions[Destination Name],$D178,tblTransactions[Transaction Status],"Completed")+SUMIFS(tblTransactions[Amount],tblTransactions[Transaction Type],"Transfer",tblTransactions[Destination Type],"Account",tblTransactions[Destination Name],$D178,tblTransactions[Transaction Status],"Reconciled")+SUMIFS(tblTransactions[Amount],tblTransactions[Transaction Type],"Adjustment",tblTransactions[Source Account],$D178,tblTransactions[Transaction Status],"Completed",tblTransactions[Amount],"&gt;0")+SUMIFS(tblTransactions[Amount],tblTransactions[Transaction Type],"Adjustment",tblTransactions[Source Account],$D178,tblTransactions[Transaction Status],"Reconciled",tblTransactions[Amount],"&gt;0"),0))</f>
      </c>
      <c r="G178" s="1">
        <f>IF($D178="","",IFERROR(SUMIFS(tblTransactions[Amount],tblTransactions[Transaction Type],"Expense",tblTransactions[Source Account],$D178,tblTransactions[Transaction Status],"Completed")+SUMIFS(tblTransactions[Amount],tblTransactions[Transaction Type],"Expense",tblTransactions[Source Account],$D178,tblTransactions[Transaction Status],"Reconciled")+SUMIFS(tblTransactions[Amount],tblTransactions[Transaction Type],"Transfer",tblTransactions[Source Account],$D178,tblTransactions[Transaction Status],"Completed")+SUMIFS(tblTransactions[Amount],tblTransactions[Transaction Type],"Transfer",tblTransactions[Source Account],$D178,tblTransactions[Transaction Status],"Reconciled")-SUMIFS(tblTransactions[Amount],tblTransactions[Transaction Type],"Adjustment",tblTransactions[Source Account],$D178,tblTransactions[Transaction Status],"Completed",tblTransactions[Amount],"&lt;0")-SUMIFS(tblTransactions[Amount],tblTransactions[Transaction Type],"Adjustment",tblTransactions[Source Account],$D178,tblTransactions[Transaction Status],"Reconciled",tblTransactions[Amount],"&lt;0"),0))</f>
      </c>
      <c r="H178" s="1">
        <f>IF($D178="","",$E178+$F178-$G178)</f>
      </c>
      <c r="I178" s="4">
        <f>IF($D178="","",IFERROR(1/(1/AGGREGATE(14,6,tblTransactions[Transaction Date]/(((tblTransactions[Source Account]=$D178)+((tblTransactions[Transaction Type]="Transfer")*(tblTransactions[Destination Type]="Account")*(tblTransactions[Destination Name]=$D178)))*((tblTransactions[Transaction Status]="Completed")+(tblTransactions[Transaction Status]="Reconciled"))),1)),""))</f>
      </c>
      <c r="J178" s="1">
        <f>IF($D178="","",IFERROR(INDEX(tblAccounts[Account Type],ROW()-1),""))</f>
      </c>
      <c r="K178" s="1">
        <f>IF($D178="","",IFERROR(INDEX(tblAccounts[Include in Dashboard],ROW()-1),""))</f>
      </c>
      <c r="L178" s="1">
        <f>IF($D178="","",IFERROR(INDEX(tblAccounts[Status],ROW()-1),""))</f>
      </c>
    </row>
    <row r="179">
      <c r="D179" s="1">
        <f>IFERROR(IF(INDEX(tblAccounts[Account Name],ROW()-1)="","",INDEX(tblAccounts[Account Name],ROW()-1)),"")</f>
      </c>
      <c r="E179" s="1">
        <f>IF($D179="","",IFERROR(INDEX(tblAccounts[Opening Balance],ROW()-1),0))</f>
      </c>
      <c r="F179" s="1">
        <f>IF($D179="","",IFERROR(SUMIFS(tblTransactions[Amount],tblTransactions[Transaction Type],"Income",tblTransactions[Source Account],$D179,tblTransactions[Transaction Status],"Completed")+SUMIFS(tblTransactions[Amount],tblTransactions[Transaction Type],"Income",tblTransactions[Source Account],$D179,tblTransactions[Transaction Status],"Reconciled")+SUMIFS(tblTransactions[Amount],tblTransactions[Transaction Type],"Transfer",tblTransactions[Destination Type],"Account",tblTransactions[Destination Name],$D179,tblTransactions[Transaction Status],"Completed")+SUMIFS(tblTransactions[Amount],tblTransactions[Transaction Type],"Transfer",tblTransactions[Destination Type],"Account",tblTransactions[Destination Name],$D179,tblTransactions[Transaction Status],"Reconciled")+SUMIFS(tblTransactions[Amount],tblTransactions[Transaction Type],"Adjustment",tblTransactions[Source Account],$D179,tblTransactions[Transaction Status],"Completed",tblTransactions[Amount],"&gt;0")+SUMIFS(tblTransactions[Amount],tblTransactions[Transaction Type],"Adjustment",tblTransactions[Source Account],$D179,tblTransactions[Transaction Status],"Reconciled",tblTransactions[Amount],"&gt;0"),0))</f>
      </c>
      <c r="G179" s="1">
        <f>IF($D179="","",IFERROR(SUMIFS(tblTransactions[Amount],tblTransactions[Transaction Type],"Expense",tblTransactions[Source Account],$D179,tblTransactions[Transaction Status],"Completed")+SUMIFS(tblTransactions[Amount],tblTransactions[Transaction Type],"Expense",tblTransactions[Source Account],$D179,tblTransactions[Transaction Status],"Reconciled")+SUMIFS(tblTransactions[Amount],tblTransactions[Transaction Type],"Transfer",tblTransactions[Source Account],$D179,tblTransactions[Transaction Status],"Completed")+SUMIFS(tblTransactions[Amount],tblTransactions[Transaction Type],"Transfer",tblTransactions[Source Account],$D179,tblTransactions[Transaction Status],"Reconciled")-SUMIFS(tblTransactions[Amount],tblTransactions[Transaction Type],"Adjustment",tblTransactions[Source Account],$D179,tblTransactions[Transaction Status],"Completed",tblTransactions[Amount],"&lt;0")-SUMIFS(tblTransactions[Amount],tblTransactions[Transaction Type],"Adjustment",tblTransactions[Source Account],$D179,tblTransactions[Transaction Status],"Reconciled",tblTransactions[Amount],"&lt;0"),0))</f>
      </c>
      <c r="H179" s="1">
        <f>IF($D179="","",$E179+$F179-$G179)</f>
      </c>
      <c r="I179" s="4">
        <f>IF($D179="","",IFERROR(1/(1/AGGREGATE(14,6,tblTransactions[Transaction Date]/(((tblTransactions[Source Account]=$D179)+((tblTransactions[Transaction Type]="Transfer")*(tblTransactions[Destination Type]="Account")*(tblTransactions[Destination Name]=$D179)))*((tblTransactions[Transaction Status]="Completed")+(tblTransactions[Transaction Status]="Reconciled"))),1)),""))</f>
      </c>
      <c r="J179" s="1">
        <f>IF($D179="","",IFERROR(INDEX(tblAccounts[Account Type],ROW()-1),""))</f>
      </c>
      <c r="K179" s="1">
        <f>IF($D179="","",IFERROR(INDEX(tblAccounts[Include in Dashboard],ROW()-1),""))</f>
      </c>
      <c r="L179" s="1">
        <f>IF($D179="","",IFERROR(INDEX(tblAccounts[Status],ROW()-1),""))</f>
      </c>
    </row>
    <row r="180">
      <c r="D180" s="1">
        <f>IFERROR(IF(INDEX(tblAccounts[Account Name],ROW()-1)="","",INDEX(tblAccounts[Account Name],ROW()-1)),"")</f>
      </c>
      <c r="E180" s="1">
        <f>IF($D180="","",IFERROR(INDEX(tblAccounts[Opening Balance],ROW()-1),0))</f>
      </c>
      <c r="F180" s="1">
        <f>IF($D180="","",IFERROR(SUMIFS(tblTransactions[Amount],tblTransactions[Transaction Type],"Income",tblTransactions[Source Account],$D180,tblTransactions[Transaction Status],"Completed")+SUMIFS(tblTransactions[Amount],tblTransactions[Transaction Type],"Income",tblTransactions[Source Account],$D180,tblTransactions[Transaction Status],"Reconciled")+SUMIFS(tblTransactions[Amount],tblTransactions[Transaction Type],"Transfer",tblTransactions[Destination Type],"Account",tblTransactions[Destination Name],$D180,tblTransactions[Transaction Status],"Completed")+SUMIFS(tblTransactions[Amount],tblTransactions[Transaction Type],"Transfer",tblTransactions[Destination Type],"Account",tblTransactions[Destination Name],$D180,tblTransactions[Transaction Status],"Reconciled")+SUMIFS(tblTransactions[Amount],tblTransactions[Transaction Type],"Adjustment",tblTransactions[Source Account],$D180,tblTransactions[Transaction Status],"Completed",tblTransactions[Amount],"&gt;0")+SUMIFS(tblTransactions[Amount],tblTransactions[Transaction Type],"Adjustment",tblTransactions[Source Account],$D180,tblTransactions[Transaction Status],"Reconciled",tblTransactions[Amount],"&gt;0"),0))</f>
      </c>
      <c r="G180" s="1">
        <f>IF($D180="","",IFERROR(SUMIFS(tblTransactions[Amount],tblTransactions[Transaction Type],"Expense",tblTransactions[Source Account],$D180,tblTransactions[Transaction Status],"Completed")+SUMIFS(tblTransactions[Amount],tblTransactions[Transaction Type],"Expense",tblTransactions[Source Account],$D180,tblTransactions[Transaction Status],"Reconciled")+SUMIFS(tblTransactions[Amount],tblTransactions[Transaction Type],"Transfer",tblTransactions[Source Account],$D180,tblTransactions[Transaction Status],"Completed")+SUMIFS(tblTransactions[Amount],tblTransactions[Transaction Type],"Transfer",tblTransactions[Source Account],$D180,tblTransactions[Transaction Status],"Reconciled")-SUMIFS(tblTransactions[Amount],tblTransactions[Transaction Type],"Adjustment",tblTransactions[Source Account],$D180,tblTransactions[Transaction Status],"Completed",tblTransactions[Amount],"&lt;0")-SUMIFS(tblTransactions[Amount],tblTransactions[Transaction Type],"Adjustment",tblTransactions[Source Account],$D180,tblTransactions[Transaction Status],"Reconciled",tblTransactions[Amount],"&lt;0"),0))</f>
      </c>
      <c r="H180" s="1">
        <f>IF($D180="","",$E180+$F180-$G180)</f>
      </c>
      <c r="I180" s="4">
        <f>IF($D180="","",IFERROR(1/(1/AGGREGATE(14,6,tblTransactions[Transaction Date]/(((tblTransactions[Source Account]=$D180)+((tblTransactions[Transaction Type]="Transfer")*(tblTransactions[Destination Type]="Account")*(tblTransactions[Destination Name]=$D180)))*((tblTransactions[Transaction Status]="Completed")+(tblTransactions[Transaction Status]="Reconciled"))),1)),""))</f>
      </c>
      <c r="J180" s="1">
        <f>IF($D180="","",IFERROR(INDEX(tblAccounts[Account Type],ROW()-1),""))</f>
      </c>
      <c r="K180" s="1">
        <f>IF($D180="","",IFERROR(INDEX(tblAccounts[Include in Dashboard],ROW()-1),""))</f>
      </c>
      <c r="L180" s="1">
        <f>IF($D180="","",IFERROR(INDEX(tblAccounts[Status],ROW()-1),""))</f>
      </c>
    </row>
    <row r="181">
      <c r="D181" s="1">
        <f>IFERROR(IF(INDEX(tblAccounts[Account Name],ROW()-1)="","",INDEX(tblAccounts[Account Name],ROW()-1)),"")</f>
      </c>
      <c r="E181" s="1">
        <f>IF($D181="","",IFERROR(INDEX(tblAccounts[Opening Balance],ROW()-1),0))</f>
      </c>
      <c r="F181" s="1">
        <f>IF($D181="","",IFERROR(SUMIFS(tblTransactions[Amount],tblTransactions[Transaction Type],"Income",tblTransactions[Source Account],$D181,tblTransactions[Transaction Status],"Completed")+SUMIFS(tblTransactions[Amount],tblTransactions[Transaction Type],"Income",tblTransactions[Source Account],$D181,tblTransactions[Transaction Status],"Reconciled")+SUMIFS(tblTransactions[Amount],tblTransactions[Transaction Type],"Transfer",tblTransactions[Destination Type],"Account",tblTransactions[Destination Name],$D181,tblTransactions[Transaction Status],"Completed")+SUMIFS(tblTransactions[Amount],tblTransactions[Transaction Type],"Transfer",tblTransactions[Destination Type],"Account",tblTransactions[Destination Name],$D181,tblTransactions[Transaction Status],"Reconciled")+SUMIFS(tblTransactions[Amount],tblTransactions[Transaction Type],"Adjustment",tblTransactions[Source Account],$D181,tblTransactions[Transaction Status],"Completed",tblTransactions[Amount],"&gt;0")+SUMIFS(tblTransactions[Amount],tblTransactions[Transaction Type],"Adjustment",tblTransactions[Source Account],$D181,tblTransactions[Transaction Status],"Reconciled",tblTransactions[Amount],"&gt;0"),0))</f>
      </c>
      <c r="G181" s="1">
        <f>IF($D181="","",IFERROR(SUMIFS(tblTransactions[Amount],tblTransactions[Transaction Type],"Expense",tblTransactions[Source Account],$D181,tblTransactions[Transaction Status],"Completed")+SUMIFS(tblTransactions[Amount],tblTransactions[Transaction Type],"Expense",tblTransactions[Source Account],$D181,tblTransactions[Transaction Status],"Reconciled")+SUMIFS(tblTransactions[Amount],tblTransactions[Transaction Type],"Transfer",tblTransactions[Source Account],$D181,tblTransactions[Transaction Status],"Completed")+SUMIFS(tblTransactions[Amount],tblTransactions[Transaction Type],"Transfer",tblTransactions[Source Account],$D181,tblTransactions[Transaction Status],"Reconciled")-SUMIFS(tblTransactions[Amount],tblTransactions[Transaction Type],"Adjustment",tblTransactions[Source Account],$D181,tblTransactions[Transaction Status],"Completed",tblTransactions[Amount],"&lt;0")-SUMIFS(tblTransactions[Amount],tblTransactions[Transaction Type],"Adjustment",tblTransactions[Source Account],$D181,tblTransactions[Transaction Status],"Reconciled",tblTransactions[Amount],"&lt;0"),0))</f>
      </c>
      <c r="H181" s="1">
        <f>IF($D181="","",$E181+$F181-$G181)</f>
      </c>
      <c r="I181" s="4">
        <f>IF($D181="","",IFERROR(1/(1/AGGREGATE(14,6,tblTransactions[Transaction Date]/(((tblTransactions[Source Account]=$D181)+((tblTransactions[Transaction Type]="Transfer")*(tblTransactions[Destination Type]="Account")*(tblTransactions[Destination Name]=$D181)))*((tblTransactions[Transaction Status]="Completed")+(tblTransactions[Transaction Status]="Reconciled"))),1)),""))</f>
      </c>
      <c r="J181" s="1">
        <f>IF($D181="","",IFERROR(INDEX(tblAccounts[Account Type],ROW()-1),""))</f>
      </c>
      <c r="K181" s="1">
        <f>IF($D181="","",IFERROR(INDEX(tblAccounts[Include in Dashboard],ROW()-1),""))</f>
      </c>
      <c r="L181" s="1">
        <f>IF($D181="","",IFERROR(INDEX(tblAccounts[Status],ROW()-1),""))</f>
      </c>
    </row>
    <row r="182">
      <c r="D182" s="1">
        <f>IFERROR(IF(INDEX(tblAccounts[Account Name],ROW()-1)="","",INDEX(tblAccounts[Account Name],ROW()-1)),"")</f>
      </c>
      <c r="E182" s="1">
        <f>IF($D182="","",IFERROR(INDEX(tblAccounts[Opening Balance],ROW()-1),0))</f>
      </c>
      <c r="F182" s="1">
        <f>IF($D182="","",IFERROR(SUMIFS(tblTransactions[Amount],tblTransactions[Transaction Type],"Income",tblTransactions[Source Account],$D182,tblTransactions[Transaction Status],"Completed")+SUMIFS(tblTransactions[Amount],tblTransactions[Transaction Type],"Income",tblTransactions[Source Account],$D182,tblTransactions[Transaction Status],"Reconciled")+SUMIFS(tblTransactions[Amount],tblTransactions[Transaction Type],"Transfer",tblTransactions[Destination Type],"Account",tblTransactions[Destination Name],$D182,tblTransactions[Transaction Status],"Completed")+SUMIFS(tblTransactions[Amount],tblTransactions[Transaction Type],"Transfer",tblTransactions[Destination Type],"Account",tblTransactions[Destination Name],$D182,tblTransactions[Transaction Status],"Reconciled")+SUMIFS(tblTransactions[Amount],tblTransactions[Transaction Type],"Adjustment",tblTransactions[Source Account],$D182,tblTransactions[Transaction Status],"Completed",tblTransactions[Amount],"&gt;0")+SUMIFS(tblTransactions[Amount],tblTransactions[Transaction Type],"Adjustment",tblTransactions[Source Account],$D182,tblTransactions[Transaction Status],"Reconciled",tblTransactions[Amount],"&gt;0"),0))</f>
      </c>
      <c r="G182" s="1">
        <f>IF($D182="","",IFERROR(SUMIFS(tblTransactions[Amount],tblTransactions[Transaction Type],"Expense",tblTransactions[Source Account],$D182,tblTransactions[Transaction Status],"Completed")+SUMIFS(tblTransactions[Amount],tblTransactions[Transaction Type],"Expense",tblTransactions[Source Account],$D182,tblTransactions[Transaction Status],"Reconciled")+SUMIFS(tblTransactions[Amount],tblTransactions[Transaction Type],"Transfer",tblTransactions[Source Account],$D182,tblTransactions[Transaction Status],"Completed")+SUMIFS(tblTransactions[Amount],tblTransactions[Transaction Type],"Transfer",tblTransactions[Source Account],$D182,tblTransactions[Transaction Status],"Reconciled")-SUMIFS(tblTransactions[Amount],tblTransactions[Transaction Type],"Adjustment",tblTransactions[Source Account],$D182,tblTransactions[Transaction Status],"Completed",tblTransactions[Amount],"&lt;0")-SUMIFS(tblTransactions[Amount],tblTransactions[Transaction Type],"Adjustment",tblTransactions[Source Account],$D182,tblTransactions[Transaction Status],"Reconciled",tblTransactions[Amount],"&lt;0"),0))</f>
      </c>
      <c r="H182" s="1">
        <f>IF($D182="","",$E182+$F182-$G182)</f>
      </c>
      <c r="I182" s="4">
        <f>IF($D182="","",IFERROR(1/(1/AGGREGATE(14,6,tblTransactions[Transaction Date]/(((tblTransactions[Source Account]=$D182)+((tblTransactions[Transaction Type]="Transfer")*(tblTransactions[Destination Type]="Account")*(tblTransactions[Destination Name]=$D182)))*((tblTransactions[Transaction Status]="Completed")+(tblTransactions[Transaction Status]="Reconciled"))),1)),""))</f>
      </c>
      <c r="J182" s="1">
        <f>IF($D182="","",IFERROR(INDEX(tblAccounts[Account Type],ROW()-1),""))</f>
      </c>
      <c r="K182" s="1">
        <f>IF($D182="","",IFERROR(INDEX(tblAccounts[Include in Dashboard],ROW()-1),""))</f>
      </c>
      <c r="L182" s="1">
        <f>IF($D182="","",IFERROR(INDEX(tblAccounts[Status],ROW()-1),""))</f>
      </c>
    </row>
    <row r="183">
      <c r="D183" s="1">
        <f>IFERROR(IF(INDEX(tblAccounts[Account Name],ROW()-1)="","",INDEX(tblAccounts[Account Name],ROW()-1)),"")</f>
      </c>
      <c r="E183" s="1">
        <f>IF($D183="","",IFERROR(INDEX(tblAccounts[Opening Balance],ROW()-1),0))</f>
      </c>
      <c r="F183" s="1">
        <f>IF($D183="","",IFERROR(SUMIFS(tblTransactions[Amount],tblTransactions[Transaction Type],"Income",tblTransactions[Source Account],$D183,tblTransactions[Transaction Status],"Completed")+SUMIFS(tblTransactions[Amount],tblTransactions[Transaction Type],"Income",tblTransactions[Source Account],$D183,tblTransactions[Transaction Status],"Reconciled")+SUMIFS(tblTransactions[Amount],tblTransactions[Transaction Type],"Transfer",tblTransactions[Destination Type],"Account",tblTransactions[Destination Name],$D183,tblTransactions[Transaction Status],"Completed")+SUMIFS(tblTransactions[Amount],tblTransactions[Transaction Type],"Transfer",tblTransactions[Destination Type],"Account",tblTransactions[Destination Name],$D183,tblTransactions[Transaction Status],"Reconciled")+SUMIFS(tblTransactions[Amount],tblTransactions[Transaction Type],"Adjustment",tblTransactions[Source Account],$D183,tblTransactions[Transaction Status],"Completed",tblTransactions[Amount],"&gt;0")+SUMIFS(tblTransactions[Amount],tblTransactions[Transaction Type],"Adjustment",tblTransactions[Source Account],$D183,tblTransactions[Transaction Status],"Reconciled",tblTransactions[Amount],"&gt;0"),0))</f>
      </c>
      <c r="G183" s="1">
        <f>IF($D183="","",IFERROR(SUMIFS(tblTransactions[Amount],tblTransactions[Transaction Type],"Expense",tblTransactions[Source Account],$D183,tblTransactions[Transaction Status],"Completed")+SUMIFS(tblTransactions[Amount],tblTransactions[Transaction Type],"Expense",tblTransactions[Source Account],$D183,tblTransactions[Transaction Status],"Reconciled")+SUMIFS(tblTransactions[Amount],tblTransactions[Transaction Type],"Transfer",tblTransactions[Source Account],$D183,tblTransactions[Transaction Status],"Completed")+SUMIFS(tblTransactions[Amount],tblTransactions[Transaction Type],"Transfer",tblTransactions[Source Account],$D183,tblTransactions[Transaction Status],"Reconciled")-SUMIFS(tblTransactions[Amount],tblTransactions[Transaction Type],"Adjustment",tblTransactions[Source Account],$D183,tblTransactions[Transaction Status],"Completed",tblTransactions[Amount],"&lt;0")-SUMIFS(tblTransactions[Amount],tblTransactions[Transaction Type],"Adjustment",tblTransactions[Source Account],$D183,tblTransactions[Transaction Status],"Reconciled",tblTransactions[Amount],"&lt;0"),0))</f>
      </c>
      <c r="H183" s="1">
        <f>IF($D183="","",$E183+$F183-$G183)</f>
      </c>
      <c r="I183" s="4">
        <f>IF($D183="","",IFERROR(1/(1/AGGREGATE(14,6,tblTransactions[Transaction Date]/(((tblTransactions[Source Account]=$D183)+((tblTransactions[Transaction Type]="Transfer")*(tblTransactions[Destination Type]="Account")*(tblTransactions[Destination Name]=$D183)))*((tblTransactions[Transaction Status]="Completed")+(tblTransactions[Transaction Status]="Reconciled"))),1)),""))</f>
      </c>
      <c r="J183" s="1">
        <f>IF($D183="","",IFERROR(INDEX(tblAccounts[Account Type],ROW()-1),""))</f>
      </c>
      <c r="K183" s="1">
        <f>IF($D183="","",IFERROR(INDEX(tblAccounts[Include in Dashboard],ROW()-1),""))</f>
      </c>
      <c r="L183" s="1">
        <f>IF($D183="","",IFERROR(INDEX(tblAccounts[Status],ROW()-1),""))</f>
      </c>
    </row>
    <row r="184">
      <c r="D184" s="1">
        <f>IFERROR(IF(INDEX(tblAccounts[Account Name],ROW()-1)="","",INDEX(tblAccounts[Account Name],ROW()-1)),"")</f>
      </c>
      <c r="E184" s="1">
        <f>IF($D184="","",IFERROR(INDEX(tblAccounts[Opening Balance],ROW()-1),0))</f>
      </c>
      <c r="F184" s="1">
        <f>IF($D184="","",IFERROR(SUMIFS(tblTransactions[Amount],tblTransactions[Transaction Type],"Income",tblTransactions[Source Account],$D184,tblTransactions[Transaction Status],"Completed")+SUMIFS(tblTransactions[Amount],tblTransactions[Transaction Type],"Income",tblTransactions[Source Account],$D184,tblTransactions[Transaction Status],"Reconciled")+SUMIFS(tblTransactions[Amount],tblTransactions[Transaction Type],"Transfer",tblTransactions[Destination Type],"Account",tblTransactions[Destination Name],$D184,tblTransactions[Transaction Status],"Completed")+SUMIFS(tblTransactions[Amount],tblTransactions[Transaction Type],"Transfer",tblTransactions[Destination Type],"Account",tblTransactions[Destination Name],$D184,tblTransactions[Transaction Status],"Reconciled")+SUMIFS(tblTransactions[Amount],tblTransactions[Transaction Type],"Adjustment",tblTransactions[Source Account],$D184,tblTransactions[Transaction Status],"Completed",tblTransactions[Amount],"&gt;0")+SUMIFS(tblTransactions[Amount],tblTransactions[Transaction Type],"Adjustment",tblTransactions[Source Account],$D184,tblTransactions[Transaction Status],"Reconciled",tblTransactions[Amount],"&gt;0"),0))</f>
      </c>
      <c r="G184" s="1">
        <f>IF($D184="","",IFERROR(SUMIFS(tblTransactions[Amount],tblTransactions[Transaction Type],"Expense",tblTransactions[Source Account],$D184,tblTransactions[Transaction Status],"Completed")+SUMIFS(tblTransactions[Amount],tblTransactions[Transaction Type],"Expense",tblTransactions[Source Account],$D184,tblTransactions[Transaction Status],"Reconciled")+SUMIFS(tblTransactions[Amount],tblTransactions[Transaction Type],"Transfer",tblTransactions[Source Account],$D184,tblTransactions[Transaction Status],"Completed")+SUMIFS(tblTransactions[Amount],tblTransactions[Transaction Type],"Transfer",tblTransactions[Source Account],$D184,tblTransactions[Transaction Status],"Reconciled")-SUMIFS(tblTransactions[Amount],tblTransactions[Transaction Type],"Adjustment",tblTransactions[Source Account],$D184,tblTransactions[Transaction Status],"Completed",tblTransactions[Amount],"&lt;0")-SUMIFS(tblTransactions[Amount],tblTransactions[Transaction Type],"Adjustment",tblTransactions[Source Account],$D184,tblTransactions[Transaction Status],"Reconciled",tblTransactions[Amount],"&lt;0"),0))</f>
      </c>
      <c r="H184" s="1">
        <f>IF($D184="","",$E184+$F184-$G184)</f>
      </c>
      <c r="I184" s="4">
        <f>IF($D184="","",IFERROR(1/(1/AGGREGATE(14,6,tblTransactions[Transaction Date]/(((tblTransactions[Source Account]=$D184)+((tblTransactions[Transaction Type]="Transfer")*(tblTransactions[Destination Type]="Account")*(tblTransactions[Destination Name]=$D184)))*((tblTransactions[Transaction Status]="Completed")+(tblTransactions[Transaction Status]="Reconciled"))),1)),""))</f>
      </c>
      <c r="J184" s="1">
        <f>IF($D184="","",IFERROR(INDEX(tblAccounts[Account Type],ROW()-1),""))</f>
      </c>
      <c r="K184" s="1">
        <f>IF($D184="","",IFERROR(INDEX(tblAccounts[Include in Dashboard],ROW()-1),""))</f>
      </c>
      <c r="L184" s="1">
        <f>IF($D184="","",IFERROR(INDEX(tblAccounts[Status],ROW()-1),""))</f>
      </c>
    </row>
    <row r="185">
      <c r="D185" s="1">
        <f>IFERROR(IF(INDEX(tblAccounts[Account Name],ROW()-1)="","",INDEX(tblAccounts[Account Name],ROW()-1)),"")</f>
      </c>
      <c r="E185" s="1">
        <f>IF($D185="","",IFERROR(INDEX(tblAccounts[Opening Balance],ROW()-1),0))</f>
      </c>
      <c r="F185" s="1">
        <f>IF($D185="","",IFERROR(SUMIFS(tblTransactions[Amount],tblTransactions[Transaction Type],"Income",tblTransactions[Source Account],$D185,tblTransactions[Transaction Status],"Completed")+SUMIFS(tblTransactions[Amount],tblTransactions[Transaction Type],"Income",tblTransactions[Source Account],$D185,tblTransactions[Transaction Status],"Reconciled")+SUMIFS(tblTransactions[Amount],tblTransactions[Transaction Type],"Transfer",tblTransactions[Destination Type],"Account",tblTransactions[Destination Name],$D185,tblTransactions[Transaction Status],"Completed")+SUMIFS(tblTransactions[Amount],tblTransactions[Transaction Type],"Transfer",tblTransactions[Destination Type],"Account",tblTransactions[Destination Name],$D185,tblTransactions[Transaction Status],"Reconciled")+SUMIFS(tblTransactions[Amount],tblTransactions[Transaction Type],"Adjustment",tblTransactions[Source Account],$D185,tblTransactions[Transaction Status],"Completed",tblTransactions[Amount],"&gt;0")+SUMIFS(tblTransactions[Amount],tblTransactions[Transaction Type],"Adjustment",tblTransactions[Source Account],$D185,tblTransactions[Transaction Status],"Reconciled",tblTransactions[Amount],"&gt;0"),0))</f>
      </c>
      <c r="G185" s="1">
        <f>IF($D185="","",IFERROR(SUMIFS(tblTransactions[Amount],tblTransactions[Transaction Type],"Expense",tblTransactions[Source Account],$D185,tblTransactions[Transaction Status],"Completed")+SUMIFS(tblTransactions[Amount],tblTransactions[Transaction Type],"Expense",tblTransactions[Source Account],$D185,tblTransactions[Transaction Status],"Reconciled")+SUMIFS(tblTransactions[Amount],tblTransactions[Transaction Type],"Transfer",tblTransactions[Source Account],$D185,tblTransactions[Transaction Status],"Completed")+SUMIFS(tblTransactions[Amount],tblTransactions[Transaction Type],"Transfer",tblTransactions[Source Account],$D185,tblTransactions[Transaction Status],"Reconciled")-SUMIFS(tblTransactions[Amount],tblTransactions[Transaction Type],"Adjustment",tblTransactions[Source Account],$D185,tblTransactions[Transaction Status],"Completed",tblTransactions[Amount],"&lt;0")-SUMIFS(tblTransactions[Amount],tblTransactions[Transaction Type],"Adjustment",tblTransactions[Source Account],$D185,tblTransactions[Transaction Status],"Reconciled",tblTransactions[Amount],"&lt;0"),0))</f>
      </c>
      <c r="H185" s="1">
        <f>IF($D185="","",$E185+$F185-$G185)</f>
      </c>
      <c r="I185" s="4">
        <f>IF($D185="","",IFERROR(1/(1/AGGREGATE(14,6,tblTransactions[Transaction Date]/(((tblTransactions[Source Account]=$D185)+((tblTransactions[Transaction Type]="Transfer")*(tblTransactions[Destination Type]="Account")*(tblTransactions[Destination Name]=$D185)))*((tblTransactions[Transaction Status]="Completed")+(tblTransactions[Transaction Status]="Reconciled"))),1)),""))</f>
      </c>
      <c r="J185" s="1">
        <f>IF($D185="","",IFERROR(INDEX(tblAccounts[Account Type],ROW()-1),""))</f>
      </c>
      <c r="K185" s="1">
        <f>IF($D185="","",IFERROR(INDEX(tblAccounts[Include in Dashboard],ROW()-1),""))</f>
      </c>
      <c r="L185" s="1">
        <f>IF($D185="","",IFERROR(INDEX(tblAccounts[Status],ROW()-1),""))</f>
      </c>
    </row>
    <row r="186">
      <c r="D186" s="1">
        <f>IFERROR(IF(INDEX(tblAccounts[Account Name],ROW()-1)="","",INDEX(tblAccounts[Account Name],ROW()-1)),"")</f>
      </c>
      <c r="E186" s="1">
        <f>IF($D186="","",IFERROR(INDEX(tblAccounts[Opening Balance],ROW()-1),0))</f>
      </c>
      <c r="F186" s="1">
        <f>IF($D186="","",IFERROR(SUMIFS(tblTransactions[Amount],tblTransactions[Transaction Type],"Income",tblTransactions[Source Account],$D186,tblTransactions[Transaction Status],"Completed")+SUMIFS(tblTransactions[Amount],tblTransactions[Transaction Type],"Income",tblTransactions[Source Account],$D186,tblTransactions[Transaction Status],"Reconciled")+SUMIFS(tblTransactions[Amount],tblTransactions[Transaction Type],"Transfer",tblTransactions[Destination Type],"Account",tblTransactions[Destination Name],$D186,tblTransactions[Transaction Status],"Completed")+SUMIFS(tblTransactions[Amount],tblTransactions[Transaction Type],"Transfer",tblTransactions[Destination Type],"Account",tblTransactions[Destination Name],$D186,tblTransactions[Transaction Status],"Reconciled")+SUMIFS(tblTransactions[Amount],tblTransactions[Transaction Type],"Adjustment",tblTransactions[Source Account],$D186,tblTransactions[Transaction Status],"Completed",tblTransactions[Amount],"&gt;0")+SUMIFS(tblTransactions[Amount],tblTransactions[Transaction Type],"Adjustment",tblTransactions[Source Account],$D186,tblTransactions[Transaction Status],"Reconciled",tblTransactions[Amount],"&gt;0"),0))</f>
      </c>
      <c r="G186" s="1">
        <f>IF($D186="","",IFERROR(SUMIFS(tblTransactions[Amount],tblTransactions[Transaction Type],"Expense",tblTransactions[Source Account],$D186,tblTransactions[Transaction Status],"Completed")+SUMIFS(tblTransactions[Amount],tblTransactions[Transaction Type],"Expense",tblTransactions[Source Account],$D186,tblTransactions[Transaction Status],"Reconciled")+SUMIFS(tblTransactions[Amount],tblTransactions[Transaction Type],"Transfer",tblTransactions[Source Account],$D186,tblTransactions[Transaction Status],"Completed")+SUMIFS(tblTransactions[Amount],tblTransactions[Transaction Type],"Transfer",tblTransactions[Source Account],$D186,tblTransactions[Transaction Status],"Reconciled")-SUMIFS(tblTransactions[Amount],tblTransactions[Transaction Type],"Adjustment",tblTransactions[Source Account],$D186,tblTransactions[Transaction Status],"Completed",tblTransactions[Amount],"&lt;0")-SUMIFS(tblTransactions[Amount],tblTransactions[Transaction Type],"Adjustment",tblTransactions[Source Account],$D186,tblTransactions[Transaction Status],"Reconciled",tblTransactions[Amount],"&lt;0"),0))</f>
      </c>
      <c r="H186" s="1">
        <f>IF($D186="","",$E186+$F186-$G186)</f>
      </c>
      <c r="I186" s="4">
        <f>IF($D186="","",IFERROR(1/(1/AGGREGATE(14,6,tblTransactions[Transaction Date]/(((tblTransactions[Source Account]=$D186)+((tblTransactions[Transaction Type]="Transfer")*(tblTransactions[Destination Type]="Account")*(tblTransactions[Destination Name]=$D186)))*((tblTransactions[Transaction Status]="Completed")+(tblTransactions[Transaction Status]="Reconciled"))),1)),""))</f>
      </c>
      <c r="J186" s="1">
        <f>IF($D186="","",IFERROR(INDEX(tblAccounts[Account Type],ROW()-1),""))</f>
      </c>
      <c r="K186" s="1">
        <f>IF($D186="","",IFERROR(INDEX(tblAccounts[Include in Dashboard],ROW()-1),""))</f>
      </c>
      <c r="L186" s="1">
        <f>IF($D186="","",IFERROR(INDEX(tblAccounts[Status],ROW()-1),""))</f>
      </c>
    </row>
    <row r="187">
      <c r="D187" s="1">
        <f>IFERROR(IF(INDEX(tblAccounts[Account Name],ROW()-1)="","",INDEX(tblAccounts[Account Name],ROW()-1)),"")</f>
      </c>
      <c r="E187" s="1">
        <f>IF($D187="","",IFERROR(INDEX(tblAccounts[Opening Balance],ROW()-1),0))</f>
      </c>
      <c r="F187" s="1">
        <f>IF($D187="","",IFERROR(SUMIFS(tblTransactions[Amount],tblTransactions[Transaction Type],"Income",tblTransactions[Source Account],$D187,tblTransactions[Transaction Status],"Completed")+SUMIFS(tblTransactions[Amount],tblTransactions[Transaction Type],"Income",tblTransactions[Source Account],$D187,tblTransactions[Transaction Status],"Reconciled")+SUMIFS(tblTransactions[Amount],tblTransactions[Transaction Type],"Transfer",tblTransactions[Destination Type],"Account",tblTransactions[Destination Name],$D187,tblTransactions[Transaction Status],"Completed")+SUMIFS(tblTransactions[Amount],tblTransactions[Transaction Type],"Transfer",tblTransactions[Destination Type],"Account",tblTransactions[Destination Name],$D187,tblTransactions[Transaction Status],"Reconciled")+SUMIFS(tblTransactions[Amount],tblTransactions[Transaction Type],"Adjustment",tblTransactions[Source Account],$D187,tblTransactions[Transaction Status],"Completed",tblTransactions[Amount],"&gt;0")+SUMIFS(tblTransactions[Amount],tblTransactions[Transaction Type],"Adjustment",tblTransactions[Source Account],$D187,tblTransactions[Transaction Status],"Reconciled",tblTransactions[Amount],"&gt;0"),0))</f>
      </c>
      <c r="G187" s="1">
        <f>IF($D187="","",IFERROR(SUMIFS(tblTransactions[Amount],tblTransactions[Transaction Type],"Expense",tblTransactions[Source Account],$D187,tblTransactions[Transaction Status],"Completed")+SUMIFS(tblTransactions[Amount],tblTransactions[Transaction Type],"Expense",tblTransactions[Source Account],$D187,tblTransactions[Transaction Status],"Reconciled")+SUMIFS(tblTransactions[Amount],tblTransactions[Transaction Type],"Transfer",tblTransactions[Source Account],$D187,tblTransactions[Transaction Status],"Completed")+SUMIFS(tblTransactions[Amount],tblTransactions[Transaction Type],"Transfer",tblTransactions[Source Account],$D187,tblTransactions[Transaction Status],"Reconciled")-SUMIFS(tblTransactions[Amount],tblTransactions[Transaction Type],"Adjustment",tblTransactions[Source Account],$D187,tblTransactions[Transaction Status],"Completed",tblTransactions[Amount],"&lt;0")-SUMIFS(tblTransactions[Amount],tblTransactions[Transaction Type],"Adjustment",tblTransactions[Source Account],$D187,tblTransactions[Transaction Status],"Reconciled",tblTransactions[Amount],"&lt;0"),0))</f>
      </c>
      <c r="H187" s="1">
        <f>IF($D187="","",$E187+$F187-$G187)</f>
      </c>
      <c r="I187" s="4">
        <f>IF($D187="","",IFERROR(1/(1/AGGREGATE(14,6,tblTransactions[Transaction Date]/(((tblTransactions[Source Account]=$D187)+((tblTransactions[Transaction Type]="Transfer")*(tblTransactions[Destination Type]="Account")*(tblTransactions[Destination Name]=$D187)))*((tblTransactions[Transaction Status]="Completed")+(tblTransactions[Transaction Status]="Reconciled"))),1)),""))</f>
      </c>
      <c r="J187" s="1">
        <f>IF($D187="","",IFERROR(INDEX(tblAccounts[Account Type],ROW()-1),""))</f>
      </c>
      <c r="K187" s="1">
        <f>IF($D187="","",IFERROR(INDEX(tblAccounts[Include in Dashboard],ROW()-1),""))</f>
      </c>
      <c r="L187" s="1">
        <f>IF($D187="","",IFERROR(INDEX(tblAccounts[Status],ROW()-1),""))</f>
      </c>
    </row>
    <row r="188">
      <c r="D188" s="1">
        <f>IFERROR(IF(INDEX(tblAccounts[Account Name],ROW()-1)="","",INDEX(tblAccounts[Account Name],ROW()-1)),"")</f>
      </c>
      <c r="E188" s="1">
        <f>IF($D188="","",IFERROR(INDEX(tblAccounts[Opening Balance],ROW()-1),0))</f>
      </c>
      <c r="F188" s="1">
        <f>IF($D188="","",IFERROR(SUMIFS(tblTransactions[Amount],tblTransactions[Transaction Type],"Income",tblTransactions[Source Account],$D188,tblTransactions[Transaction Status],"Completed")+SUMIFS(tblTransactions[Amount],tblTransactions[Transaction Type],"Income",tblTransactions[Source Account],$D188,tblTransactions[Transaction Status],"Reconciled")+SUMIFS(tblTransactions[Amount],tblTransactions[Transaction Type],"Transfer",tblTransactions[Destination Type],"Account",tblTransactions[Destination Name],$D188,tblTransactions[Transaction Status],"Completed")+SUMIFS(tblTransactions[Amount],tblTransactions[Transaction Type],"Transfer",tblTransactions[Destination Type],"Account",tblTransactions[Destination Name],$D188,tblTransactions[Transaction Status],"Reconciled")+SUMIFS(tblTransactions[Amount],tblTransactions[Transaction Type],"Adjustment",tblTransactions[Source Account],$D188,tblTransactions[Transaction Status],"Completed",tblTransactions[Amount],"&gt;0")+SUMIFS(tblTransactions[Amount],tblTransactions[Transaction Type],"Adjustment",tblTransactions[Source Account],$D188,tblTransactions[Transaction Status],"Reconciled",tblTransactions[Amount],"&gt;0"),0))</f>
      </c>
      <c r="G188" s="1">
        <f>IF($D188="","",IFERROR(SUMIFS(tblTransactions[Amount],tblTransactions[Transaction Type],"Expense",tblTransactions[Source Account],$D188,tblTransactions[Transaction Status],"Completed")+SUMIFS(tblTransactions[Amount],tblTransactions[Transaction Type],"Expense",tblTransactions[Source Account],$D188,tblTransactions[Transaction Status],"Reconciled")+SUMIFS(tblTransactions[Amount],tblTransactions[Transaction Type],"Transfer",tblTransactions[Source Account],$D188,tblTransactions[Transaction Status],"Completed")+SUMIFS(tblTransactions[Amount],tblTransactions[Transaction Type],"Transfer",tblTransactions[Source Account],$D188,tblTransactions[Transaction Status],"Reconciled")-SUMIFS(tblTransactions[Amount],tblTransactions[Transaction Type],"Adjustment",tblTransactions[Source Account],$D188,tblTransactions[Transaction Status],"Completed",tblTransactions[Amount],"&lt;0")-SUMIFS(tblTransactions[Amount],tblTransactions[Transaction Type],"Adjustment",tblTransactions[Source Account],$D188,tblTransactions[Transaction Status],"Reconciled",tblTransactions[Amount],"&lt;0"),0))</f>
      </c>
      <c r="H188" s="1">
        <f>IF($D188="","",$E188+$F188-$G188)</f>
      </c>
      <c r="I188" s="4">
        <f>IF($D188="","",IFERROR(1/(1/AGGREGATE(14,6,tblTransactions[Transaction Date]/(((tblTransactions[Source Account]=$D188)+((tblTransactions[Transaction Type]="Transfer")*(tblTransactions[Destination Type]="Account")*(tblTransactions[Destination Name]=$D188)))*((tblTransactions[Transaction Status]="Completed")+(tblTransactions[Transaction Status]="Reconciled"))),1)),""))</f>
      </c>
      <c r="J188" s="1">
        <f>IF($D188="","",IFERROR(INDEX(tblAccounts[Account Type],ROW()-1),""))</f>
      </c>
      <c r="K188" s="1">
        <f>IF($D188="","",IFERROR(INDEX(tblAccounts[Include in Dashboard],ROW()-1),""))</f>
      </c>
      <c r="L188" s="1">
        <f>IF($D188="","",IFERROR(INDEX(tblAccounts[Status],ROW()-1),""))</f>
      </c>
    </row>
    <row r="189">
      <c r="D189" s="1">
        <f>IFERROR(IF(INDEX(tblAccounts[Account Name],ROW()-1)="","",INDEX(tblAccounts[Account Name],ROW()-1)),"")</f>
      </c>
      <c r="E189" s="1">
        <f>IF($D189="","",IFERROR(INDEX(tblAccounts[Opening Balance],ROW()-1),0))</f>
      </c>
      <c r="F189" s="1">
        <f>IF($D189="","",IFERROR(SUMIFS(tblTransactions[Amount],tblTransactions[Transaction Type],"Income",tblTransactions[Source Account],$D189,tblTransactions[Transaction Status],"Completed")+SUMIFS(tblTransactions[Amount],tblTransactions[Transaction Type],"Income",tblTransactions[Source Account],$D189,tblTransactions[Transaction Status],"Reconciled")+SUMIFS(tblTransactions[Amount],tblTransactions[Transaction Type],"Transfer",tblTransactions[Destination Type],"Account",tblTransactions[Destination Name],$D189,tblTransactions[Transaction Status],"Completed")+SUMIFS(tblTransactions[Amount],tblTransactions[Transaction Type],"Transfer",tblTransactions[Destination Type],"Account",tblTransactions[Destination Name],$D189,tblTransactions[Transaction Status],"Reconciled")+SUMIFS(tblTransactions[Amount],tblTransactions[Transaction Type],"Adjustment",tblTransactions[Source Account],$D189,tblTransactions[Transaction Status],"Completed",tblTransactions[Amount],"&gt;0")+SUMIFS(tblTransactions[Amount],tblTransactions[Transaction Type],"Adjustment",tblTransactions[Source Account],$D189,tblTransactions[Transaction Status],"Reconciled",tblTransactions[Amount],"&gt;0"),0))</f>
      </c>
      <c r="G189" s="1">
        <f>IF($D189="","",IFERROR(SUMIFS(tblTransactions[Amount],tblTransactions[Transaction Type],"Expense",tblTransactions[Source Account],$D189,tblTransactions[Transaction Status],"Completed")+SUMIFS(tblTransactions[Amount],tblTransactions[Transaction Type],"Expense",tblTransactions[Source Account],$D189,tblTransactions[Transaction Status],"Reconciled")+SUMIFS(tblTransactions[Amount],tblTransactions[Transaction Type],"Transfer",tblTransactions[Source Account],$D189,tblTransactions[Transaction Status],"Completed")+SUMIFS(tblTransactions[Amount],tblTransactions[Transaction Type],"Transfer",tblTransactions[Source Account],$D189,tblTransactions[Transaction Status],"Reconciled")-SUMIFS(tblTransactions[Amount],tblTransactions[Transaction Type],"Adjustment",tblTransactions[Source Account],$D189,tblTransactions[Transaction Status],"Completed",tblTransactions[Amount],"&lt;0")-SUMIFS(tblTransactions[Amount],tblTransactions[Transaction Type],"Adjustment",tblTransactions[Source Account],$D189,tblTransactions[Transaction Status],"Reconciled",tblTransactions[Amount],"&lt;0"),0))</f>
      </c>
      <c r="H189" s="1">
        <f>IF($D189="","",$E189+$F189-$G189)</f>
      </c>
      <c r="I189" s="4">
        <f>IF($D189="","",IFERROR(1/(1/AGGREGATE(14,6,tblTransactions[Transaction Date]/(((tblTransactions[Source Account]=$D189)+((tblTransactions[Transaction Type]="Transfer")*(tblTransactions[Destination Type]="Account")*(tblTransactions[Destination Name]=$D189)))*((tblTransactions[Transaction Status]="Completed")+(tblTransactions[Transaction Status]="Reconciled"))),1)),""))</f>
      </c>
      <c r="J189" s="1">
        <f>IF($D189="","",IFERROR(INDEX(tblAccounts[Account Type],ROW()-1),""))</f>
      </c>
      <c r="K189" s="1">
        <f>IF($D189="","",IFERROR(INDEX(tblAccounts[Include in Dashboard],ROW()-1),""))</f>
      </c>
      <c r="L189" s="1">
        <f>IF($D189="","",IFERROR(INDEX(tblAccounts[Status],ROW()-1),""))</f>
      </c>
    </row>
    <row r="190">
      <c r="D190" s="1">
        <f>IFERROR(IF(INDEX(tblAccounts[Account Name],ROW()-1)="","",INDEX(tblAccounts[Account Name],ROW()-1)),"")</f>
      </c>
      <c r="E190" s="1">
        <f>IF($D190="","",IFERROR(INDEX(tblAccounts[Opening Balance],ROW()-1),0))</f>
      </c>
      <c r="F190" s="1">
        <f>IF($D190="","",IFERROR(SUMIFS(tblTransactions[Amount],tblTransactions[Transaction Type],"Income",tblTransactions[Source Account],$D190,tblTransactions[Transaction Status],"Completed")+SUMIFS(tblTransactions[Amount],tblTransactions[Transaction Type],"Income",tblTransactions[Source Account],$D190,tblTransactions[Transaction Status],"Reconciled")+SUMIFS(tblTransactions[Amount],tblTransactions[Transaction Type],"Transfer",tblTransactions[Destination Type],"Account",tblTransactions[Destination Name],$D190,tblTransactions[Transaction Status],"Completed")+SUMIFS(tblTransactions[Amount],tblTransactions[Transaction Type],"Transfer",tblTransactions[Destination Type],"Account",tblTransactions[Destination Name],$D190,tblTransactions[Transaction Status],"Reconciled")+SUMIFS(tblTransactions[Amount],tblTransactions[Transaction Type],"Adjustment",tblTransactions[Source Account],$D190,tblTransactions[Transaction Status],"Completed",tblTransactions[Amount],"&gt;0")+SUMIFS(tblTransactions[Amount],tblTransactions[Transaction Type],"Adjustment",tblTransactions[Source Account],$D190,tblTransactions[Transaction Status],"Reconciled",tblTransactions[Amount],"&gt;0"),0))</f>
      </c>
      <c r="G190" s="1">
        <f>IF($D190="","",IFERROR(SUMIFS(tblTransactions[Amount],tblTransactions[Transaction Type],"Expense",tblTransactions[Source Account],$D190,tblTransactions[Transaction Status],"Completed")+SUMIFS(tblTransactions[Amount],tblTransactions[Transaction Type],"Expense",tblTransactions[Source Account],$D190,tblTransactions[Transaction Status],"Reconciled")+SUMIFS(tblTransactions[Amount],tblTransactions[Transaction Type],"Transfer",tblTransactions[Source Account],$D190,tblTransactions[Transaction Status],"Completed")+SUMIFS(tblTransactions[Amount],tblTransactions[Transaction Type],"Transfer",tblTransactions[Source Account],$D190,tblTransactions[Transaction Status],"Reconciled")-SUMIFS(tblTransactions[Amount],tblTransactions[Transaction Type],"Adjustment",tblTransactions[Source Account],$D190,tblTransactions[Transaction Status],"Completed",tblTransactions[Amount],"&lt;0")-SUMIFS(tblTransactions[Amount],tblTransactions[Transaction Type],"Adjustment",tblTransactions[Source Account],$D190,tblTransactions[Transaction Status],"Reconciled",tblTransactions[Amount],"&lt;0"),0))</f>
      </c>
      <c r="H190" s="1">
        <f>IF($D190="","",$E190+$F190-$G190)</f>
      </c>
      <c r="I190" s="4">
        <f>IF($D190="","",IFERROR(1/(1/AGGREGATE(14,6,tblTransactions[Transaction Date]/(((tblTransactions[Source Account]=$D190)+((tblTransactions[Transaction Type]="Transfer")*(tblTransactions[Destination Type]="Account")*(tblTransactions[Destination Name]=$D190)))*((tblTransactions[Transaction Status]="Completed")+(tblTransactions[Transaction Status]="Reconciled"))),1)),""))</f>
      </c>
      <c r="J190" s="1">
        <f>IF($D190="","",IFERROR(INDEX(tblAccounts[Account Type],ROW()-1),""))</f>
      </c>
      <c r="K190" s="1">
        <f>IF($D190="","",IFERROR(INDEX(tblAccounts[Include in Dashboard],ROW()-1),""))</f>
      </c>
      <c r="L190" s="1">
        <f>IF($D190="","",IFERROR(INDEX(tblAccounts[Status],ROW()-1),""))</f>
      </c>
    </row>
    <row r="191">
      <c r="D191" s="1">
        <f>IFERROR(IF(INDEX(tblAccounts[Account Name],ROW()-1)="","",INDEX(tblAccounts[Account Name],ROW()-1)),"")</f>
      </c>
      <c r="E191" s="1">
        <f>IF($D191="","",IFERROR(INDEX(tblAccounts[Opening Balance],ROW()-1),0))</f>
      </c>
      <c r="F191" s="1">
        <f>IF($D191="","",IFERROR(SUMIFS(tblTransactions[Amount],tblTransactions[Transaction Type],"Income",tblTransactions[Source Account],$D191,tblTransactions[Transaction Status],"Completed")+SUMIFS(tblTransactions[Amount],tblTransactions[Transaction Type],"Income",tblTransactions[Source Account],$D191,tblTransactions[Transaction Status],"Reconciled")+SUMIFS(tblTransactions[Amount],tblTransactions[Transaction Type],"Transfer",tblTransactions[Destination Type],"Account",tblTransactions[Destination Name],$D191,tblTransactions[Transaction Status],"Completed")+SUMIFS(tblTransactions[Amount],tblTransactions[Transaction Type],"Transfer",tblTransactions[Destination Type],"Account",tblTransactions[Destination Name],$D191,tblTransactions[Transaction Status],"Reconciled")+SUMIFS(tblTransactions[Amount],tblTransactions[Transaction Type],"Adjustment",tblTransactions[Source Account],$D191,tblTransactions[Transaction Status],"Completed",tblTransactions[Amount],"&gt;0")+SUMIFS(tblTransactions[Amount],tblTransactions[Transaction Type],"Adjustment",tblTransactions[Source Account],$D191,tblTransactions[Transaction Status],"Reconciled",tblTransactions[Amount],"&gt;0"),0))</f>
      </c>
      <c r="G191" s="1">
        <f>IF($D191="","",IFERROR(SUMIFS(tblTransactions[Amount],tblTransactions[Transaction Type],"Expense",tblTransactions[Source Account],$D191,tblTransactions[Transaction Status],"Completed")+SUMIFS(tblTransactions[Amount],tblTransactions[Transaction Type],"Expense",tblTransactions[Source Account],$D191,tblTransactions[Transaction Status],"Reconciled")+SUMIFS(tblTransactions[Amount],tblTransactions[Transaction Type],"Transfer",tblTransactions[Source Account],$D191,tblTransactions[Transaction Status],"Completed")+SUMIFS(tblTransactions[Amount],tblTransactions[Transaction Type],"Transfer",tblTransactions[Source Account],$D191,tblTransactions[Transaction Status],"Reconciled")-SUMIFS(tblTransactions[Amount],tblTransactions[Transaction Type],"Adjustment",tblTransactions[Source Account],$D191,tblTransactions[Transaction Status],"Completed",tblTransactions[Amount],"&lt;0")-SUMIFS(tblTransactions[Amount],tblTransactions[Transaction Type],"Adjustment",tblTransactions[Source Account],$D191,tblTransactions[Transaction Status],"Reconciled",tblTransactions[Amount],"&lt;0"),0))</f>
      </c>
      <c r="H191" s="1">
        <f>IF($D191="","",$E191+$F191-$G191)</f>
      </c>
      <c r="I191" s="4">
        <f>IF($D191="","",IFERROR(1/(1/AGGREGATE(14,6,tblTransactions[Transaction Date]/(((tblTransactions[Source Account]=$D191)+((tblTransactions[Transaction Type]="Transfer")*(tblTransactions[Destination Type]="Account")*(tblTransactions[Destination Name]=$D191)))*((tblTransactions[Transaction Status]="Completed")+(tblTransactions[Transaction Status]="Reconciled"))),1)),""))</f>
      </c>
      <c r="J191" s="1">
        <f>IF($D191="","",IFERROR(INDEX(tblAccounts[Account Type],ROW()-1),""))</f>
      </c>
      <c r="K191" s="1">
        <f>IF($D191="","",IFERROR(INDEX(tblAccounts[Include in Dashboard],ROW()-1),""))</f>
      </c>
      <c r="L191" s="1">
        <f>IF($D191="","",IFERROR(INDEX(tblAccounts[Status],ROW()-1),""))</f>
      </c>
    </row>
    <row r="192">
      <c r="D192" s="1">
        <f>IFERROR(IF(INDEX(tblAccounts[Account Name],ROW()-1)="","",INDEX(tblAccounts[Account Name],ROW()-1)),"")</f>
      </c>
      <c r="E192" s="1">
        <f>IF($D192="","",IFERROR(INDEX(tblAccounts[Opening Balance],ROW()-1),0))</f>
      </c>
      <c r="F192" s="1">
        <f>IF($D192="","",IFERROR(SUMIFS(tblTransactions[Amount],tblTransactions[Transaction Type],"Income",tblTransactions[Source Account],$D192,tblTransactions[Transaction Status],"Completed")+SUMIFS(tblTransactions[Amount],tblTransactions[Transaction Type],"Income",tblTransactions[Source Account],$D192,tblTransactions[Transaction Status],"Reconciled")+SUMIFS(tblTransactions[Amount],tblTransactions[Transaction Type],"Transfer",tblTransactions[Destination Type],"Account",tblTransactions[Destination Name],$D192,tblTransactions[Transaction Status],"Completed")+SUMIFS(tblTransactions[Amount],tblTransactions[Transaction Type],"Transfer",tblTransactions[Destination Type],"Account",tblTransactions[Destination Name],$D192,tblTransactions[Transaction Status],"Reconciled")+SUMIFS(tblTransactions[Amount],tblTransactions[Transaction Type],"Adjustment",tblTransactions[Source Account],$D192,tblTransactions[Transaction Status],"Completed",tblTransactions[Amount],"&gt;0")+SUMIFS(tblTransactions[Amount],tblTransactions[Transaction Type],"Adjustment",tblTransactions[Source Account],$D192,tblTransactions[Transaction Status],"Reconciled",tblTransactions[Amount],"&gt;0"),0))</f>
      </c>
      <c r="G192" s="1">
        <f>IF($D192="","",IFERROR(SUMIFS(tblTransactions[Amount],tblTransactions[Transaction Type],"Expense",tblTransactions[Source Account],$D192,tblTransactions[Transaction Status],"Completed")+SUMIFS(tblTransactions[Amount],tblTransactions[Transaction Type],"Expense",tblTransactions[Source Account],$D192,tblTransactions[Transaction Status],"Reconciled")+SUMIFS(tblTransactions[Amount],tblTransactions[Transaction Type],"Transfer",tblTransactions[Source Account],$D192,tblTransactions[Transaction Status],"Completed")+SUMIFS(tblTransactions[Amount],tblTransactions[Transaction Type],"Transfer",tblTransactions[Source Account],$D192,tblTransactions[Transaction Status],"Reconciled")-SUMIFS(tblTransactions[Amount],tblTransactions[Transaction Type],"Adjustment",tblTransactions[Source Account],$D192,tblTransactions[Transaction Status],"Completed",tblTransactions[Amount],"&lt;0")-SUMIFS(tblTransactions[Amount],tblTransactions[Transaction Type],"Adjustment",tblTransactions[Source Account],$D192,tblTransactions[Transaction Status],"Reconciled",tblTransactions[Amount],"&lt;0"),0))</f>
      </c>
      <c r="H192" s="1">
        <f>IF($D192="","",$E192+$F192-$G192)</f>
      </c>
      <c r="I192" s="4">
        <f>IF($D192="","",IFERROR(1/(1/AGGREGATE(14,6,tblTransactions[Transaction Date]/(((tblTransactions[Source Account]=$D192)+((tblTransactions[Transaction Type]="Transfer")*(tblTransactions[Destination Type]="Account")*(tblTransactions[Destination Name]=$D192)))*((tblTransactions[Transaction Status]="Completed")+(tblTransactions[Transaction Status]="Reconciled"))),1)),""))</f>
      </c>
      <c r="J192" s="1">
        <f>IF($D192="","",IFERROR(INDEX(tblAccounts[Account Type],ROW()-1),""))</f>
      </c>
      <c r="K192" s="1">
        <f>IF($D192="","",IFERROR(INDEX(tblAccounts[Include in Dashboard],ROW()-1),""))</f>
      </c>
      <c r="L192" s="1">
        <f>IF($D192="","",IFERROR(INDEX(tblAccounts[Status],ROW()-1),""))</f>
      </c>
    </row>
    <row r="193">
      <c r="D193" s="1">
        <f>IFERROR(IF(INDEX(tblAccounts[Account Name],ROW()-1)="","",INDEX(tblAccounts[Account Name],ROW()-1)),"")</f>
      </c>
      <c r="E193" s="1">
        <f>IF($D193="","",IFERROR(INDEX(tblAccounts[Opening Balance],ROW()-1),0))</f>
      </c>
      <c r="F193" s="1">
        <f>IF($D193="","",IFERROR(SUMIFS(tblTransactions[Amount],tblTransactions[Transaction Type],"Income",tblTransactions[Source Account],$D193,tblTransactions[Transaction Status],"Completed")+SUMIFS(tblTransactions[Amount],tblTransactions[Transaction Type],"Income",tblTransactions[Source Account],$D193,tblTransactions[Transaction Status],"Reconciled")+SUMIFS(tblTransactions[Amount],tblTransactions[Transaction Type],"Transfer",tblTransactions[Destination Type],"Account",tblTransactions[Destination Name],$D193,tblTransactions[Transaction Status],"Completed")+SUMIFS(tblTransactions[Amount],tblTransactions[Transaction Type],"Transfer",tblTransactions[Destination Type],"Account",tblTransactions[Destination Name],$D193,tblTransactions[Transaction Status],"Reconciled")+SUMIFS(tblTransactions[Amount],tblTransactions[Transaction Type],"Adjustment",tblTransactions[Source Account],$D193,tblTransactions[Transaction Status],"Completed",tblTransactions[Amount],"&gt;0")+SUMIFS(tblTransactions[Amount],tblTransactions[Transaction Type],"Adjustment",tblTransactions[Source Account],$D193,tblTransactions[Transaction Status],"Reconciled",tblTransactions[Amount],"&gt;0"),0))</f>
      </c>
      <c r="G193" s="1">
        <f>IF($D193="","",IFERROR(SUMIFS(tblTransactions[Amount],tblTransactions[Transaction Type],"Expense",tblTransactions[Source Account],$D193,tblTransactions[Transaction Status],"Completed")+SUMIFS(tblTransactions[Amount],tblTransactions[Transaction Type],"Expense",tblTransactions[Source Account],$D193,tblTransactions[Transaction Status],"Reconciled")+SUMIFS(tblTransactions[Amount],tblTransactions[Transaction Type],"Transfer",tblTransactions[Source Account],$D193,tblTransactions[Transaction Status],"Completed")+SUMIFS(tblTransactions[Amount],tblTransactions[Transaction Type],"Transfer",tblTransactions[Source Account],$D193,tblTransactions[Transaction Status],"Reconciled")-SUMIFS(tblTransactions[Amount],tblTransactions[Transaction Type],"Adjustment",tblTransactions[Source Account],$D193,tblTransactions[Transaction Status],"Completed",tblTransactions[Amount],"&lt;0")-SUMIFS(tblTransactions[Amount],tblTransactions[Transaction Type],"Adjustment",tblTransactions[Source Account],$D193,tblTransactions[Transaction Status],"Reconciled",tblTransactions[Amount],"&lt;0"),0))</f>
      </c>
      <c r="H193" s="1">
        <f>IF($D193="","",$E193+$F193-$G193)</f>
      </c>
      <c r="I193" s="4">
        <f>IF($D193="","",IFERROR(1/(1/AGGREGATE(14,6,tblTransactions[Transaction Date]/(((tblTransactions[Source Account]=$D193)+((tblTransactions[Transaction Type]="Transfer")*(tblTransactions[Destination Type]="Account")*(tblTransactions[Destination Name]=$D193)))*((tblTransactions[Transaction Status]="Completed")+(tblTransactions[Transaction Status]="Reconciled"))),1)),""))</f>
      </c>
      <c r="J193" s="1">
        <f>IF($D193="","",IFERROR(INDEX(tblAccounts[Account Type],ROW()-1),""))</f>
      </c>
      <c r="K193" s="1">
        <f>IF($D193="","",IFERROR(INDEX(tblAccounts[Include in Dashboard],ROW()-1),""))</f>
      </c>
      <c r="L193" s="1">
        <f>IF($D193="","",IFERROR(INDEX(tblAccounts[Status],ROW()-1),""))</f>
      </c>
    </row>
    <row r="194">
      <c r="D194" s="1">
        <f>IFERROR(IF(INDEX(tblAccounts[Account Name],ROW()-1)="","",INDEX(tblAccounts[Account Name],ROW()-1)),"")</f>
      </c>
      <c r="E194" s="1">
        <f>IF($D194="","",IFERROR(INDEX(tblAccounts[Opening Balance],ROW()-1),0))</f>
      </c>
      <c r="F194" s="1">
        <f>IF($D194="","",IFERROR(SUMIFS(tblTransactions[Amount],tblTransactions[Transaction Type],"Income",tblTransactions[Source Account],$D194,tblTransactions[Transaction Status],"Completed")+SUMIFS(tblTransactions[Amount],tblTransactions[Transaction Type],"Income",tblTransactions[Source Account],$D194,tblTransactions[Transaction Status],"Reconciled")+SUMIFS(tblTransactions[Amount],tblTransactions[Transaction Type],"Transfer",tblTransactions[Destination Type],"Account",tblTransactions[Destination Name],$D194,tblTransactions[Transaction Status],"Completed")+SUMIFS(tblTransactions[Amount],tblTransactions[Transaction Type],"Transfer",tblTransactions[Destination Type],"Account",tblTransactions[Destination Name],$D194,tblTransactions[Transaction Status],"Reconciled")+SUMIFS(tblTransactions[Amount],tblTransactions[Transaction Type],"Adjustment",tblTransactions[Source Account],$D194,tblTransactions[Transaction Status],"Completed",tblTransactions[Amount],"&gt;0")+SUMIFS(tblTransactions[Amount],tblTransactions[Transaction Type],"Adjustment",tblTransactions[Source Account],$D194,tblTransactions[Transaction Status],"Reconciled",tblTransactions[Amount],"&gt;0"),0))</f>
      </c>
      <c r="G194" s="1">
        <f>IF($D194="","",IFERROR(SUMIFS(tblTransactions[Amount],tblTransactions[Transaction Type],"Expense",tblTransactions[Source Account],$D194,tblTransactions[Transaction Status],"Completed")+SUMIFS(tblTransactions[Amount],tblTransactions[Transaction Type],"Expense",tblTransactions[Source Account],$D194,tblTransactions[Transaction Status],"Reconciled")+SUMIFS(tblTransactions[Amount],tblTransactions[Transaction Type],"Transfer",tblTransactions[Source Account],$D194,tblTransactions[Transaction Status],"Completed")+SUMIFS(tblTransactions[Amount],tblTransactions[Transaction Type],"Transfer",tblTransactions[Source Account],$D194,tblTransactions[Transaction Status],"Reconciled")-SUMIFS(tblTransactions[Amount],tblTransactions[Transaction Type],"Adjustment",tblTransactions[Source Account],$D194,tblTransactions[Transaction Status],"Completed",tblTransactions[Amount],"&lt;0")-SUMIFS(tblTransactions[Amount],tblTransactions[Transaction Type],"Adjustment",tblTransactions[Source Account],$D194,tblTransactions[Transaction Status],"Reconciled",tblTransactions[Amount],"&lt;0"),0))</f>
      </c>
      <c r="H194" s="1">
        <f>IF($D194="","",$E194+$F194-$G194)</f>
      </c>
      <c r="I194" s="4">
        <f>IF($D194="","",IFERROR(1/(1/AGGREGATE(14,6,tblTransactions[Transaction Date]/(((tblTransactions[Source Account]=$D194)+((tblTransactions[Transaction Type]="Transfer")*(tblTransactions[Destination Type]="Account")*(tblTransactions[Destination Name]=$D194)))*((tblTransactions[Transaction Status]="Completed")+(tblTransactions[Transaction Status]="Reconciled"))),1)),""))</f>
      </c>
      <c r="J194" s="1">
        <f>IF($D194="","",IFERROR(INDEX(tblAccounts[Account Type],ROW()-1),""))</f>
      </c>
      <c r="K194" s="1">
        <f>IF($D194="","",IFERROR(INDEX(tblAccounts[Include in Dashboard],ROW()-1),""))</f>
      </c>
      <c r="L194" s="1">
        <f>IF($D194="","",IFERROR(INDEX(tblAccounts[Status],ROW()-1),""))</f>
      </c>
    </row>
    <row r="195">
      <c r="D195" s="1">
        <f>IFERROR(IF(INDEX(tblAccounts[Account Name],ROW()-1)="","",INDEX(tblAccounts[Account Name],ROW()-1)),"")</f>
      </c>
      <c r="E195" s="1">
        <f>IF($D195="","",IFERROR(INDEX(tblAccounts[Opening Balance],ROW()-1),0))</f>
      </c>
      <c r="F195" s="1">
        <f>IF($D195="","",IFERROR(SUMIFS(tblTransactions[Amount],tblTransactions[Transaction Type],"Income",tblTransactions[Source Account],$D195,tblTransactions[Transaction Status],"Completed")+SUMIFS(tblTransactions[Amount],tblTransactions[Transaction Type],"Income",tblTransactions[Source Account],$D195,tblTransactions[Transaction Status],"Reconciled")+SUMIFS(tblTransactions[Amount],tblTransactions[Transaction Type],"Transfer",tblTransactions[Destination Type],"Account",tblTransactions[Destination Name],$D195,tblTransactions[Transaction Status],"Completed")+SUMIFS(tblTransactions[Amount],tblTransactions[Transaction Type],"Transfer",tblTransactions[Destination Type],"Account",tblTransactions[Destination Name],$D195,tblTransactions[Transaction Status],"Reconciled")+SUMIFS(tblTransactions[Amount],tblTransactions[Transaction Type],"Adjustment",tblTransactions[Source Account],$D195,tblTransactions[Transaction Status],"Completed",tblTransactions[Amount],"&gt;0")+SUMIFS(tblTransactions[Amount],tblTransactions[Transaction Type],"Adjustment",tblTransactions[Source Account],$D195,tblTransactions[Transaction Status],"Reconciled",tblTransactions[Amount],"&gt;0"),0))</f>
      </c>
      <c r="G195" s="1">
        <f>IF($D195="","",IFERROR(SUMIFS(tblTransactions[Amount],tblTransactions[Transaction Type],"Expense",tblTransactions[Source Account],$D195,tblTransactions[Transaction Status],"Completed")+SUMIFS(tblTransactions[Amount],tblTransactions[Transaction Type],"Expense",tblTransactions[Source Account],$D195,tblTransactions[Transaction Status],"Reconciled")+SUMIFS(tblTransactions[Amount],tblTransactions[Transaction Type],"Transfer",tblTransactions[Source Account],$D195,tblTransactions[Transaction Status],"Completed")+SUMIFS(tblTransactions[Amount],tblTransactions[Transaction Type],"Transfer",tblTransactions[Source Account],$D195,tblTransactions[Transaction Status],"Reconciled")-SUMIFS(tblTransactions[Amount],tblTransactions[Transaction Type],"Adjustment",tblTransactions[Source Account],$D195,tblTransactions[Transaction Status],"Completed",tblTransactions[Amount],"&lt;0")-SUMIFS(tblTransactions[Amount],tblTransactions[Transaction Type],"Adjustment",tblTransactions[Source Account],$D195,tblTransactions[Transaction Status],"Reconciled",tblTransactions[Amount],"&lt;0"),0))</f>
      </c>
      <c r="H195" s="1">
        <f>IF($D195="","",$E195+$F195-$G195)</f>
      </c>
      <c r="I195" s="4">
        <f>IF($D195="","",IFERROR(1/(1/AGGREGATE(14,6,tblTransactions[Transaction Date]/(((tblTransactions[Source Account]=$D195)+((tblTransactions[Transaction Type]="Transfer")*(tblTransactions[Destination Type]="Account")*(tblTransactions[Destination Name]=$D195)))*((tblTransactions[Transaction Status]="Completed")+(tblTransactions[Transaction Status]="Reconciled"))),1)),""))</f>
      </c>
      <c r="J195" s="1">
        <f>IF($D195="","",IFERROR(INDEX(tblAccounts[Account Type],ROW()-1),""))</f>
      </c>
      <c r="K195" s="1">
        <f>IF($D195="","",IFERROR(INDEX(tblAccounts[Include in Dashboard],ROW()-1),""))</f>
      </c>
      <c r="L195" s="1">
        <f>IF($D195="","",IFERROR(INDEX(tblAccounts[Status],ROW()-1),""))</f>
      </c>
    </row>
    <row r="196">
      <c r="D196" s="1">
        <f>IFERROR(IF(INDEX(tblAccounts[Account Name],ROW()-1)="","",INDEX(tblAccounts[Account Name],ROW()-1)),"")</f>
      </c>
      <c r="E196" s="1">
        <f>IF($D196="","",IFERROR(INDEX(tblAccounts[Opening Balance],ROW()-1),0))</f>
      </c>
      <c r="F196" s="1">
        <f>IF($D196="","",IFERROR(SUMIFS(tblTransactions[Amount],tblTransactions[Transaction Type],"Income",tblTransactions[Source Account],$D196,tblTransactions[Transaction Status],"Completed")+SUMIFS(tblTransactions[Amount],tblTransactions[Transaction Type],"Income",tblTransactions[Source Account],$D196,tblTransactions[Transaction Status],"Reconciled")+SUMIFS(tblTransactions[Amount],tblTransactions[Transaction Type],"Transfer",tblTransactions[Destination Type],"Account",tblTransactions[Destination Name],$D196,tblTransactions[Transaction Status],"Completed")+SUMIFS(tblTransactions[Amount],tblTransactions[Transaction Type],"Transfer",tblTransactions[Destination Type],"Account",tblTransactions[Destination Name],$D196,tblTransactions[Transaction Status],"Reconciled")+SUMIFS(tblTransactions[Amount],tblTransactions[Transaction Type],"Adjustment",tblTransactions[Source Account],$D196,tblTransactions[Transaction Status],"Completed",tblTransactions[Amount],"&gt;0")+SUMIFS(tblTransactions[Amount],tblTransactions[Transaction Type],"Adjustment",tblTransactions[Source Account],$D196,tblTransactions[Transaction Status],"Reconciled",tblTransactions[Amount],"&gt;0"),0))</f>
      </c>
      <c r="G196" s="1">
        <f>IF($D196="","",IFERROR(SUMIFS(tblTransactions[Amount],tblTransactions[Transaction Type],"Expense",tblTransactions[Source Account],$D196,tblTransactions[Transaction Status],"Completed")+SUMIFS(tblTransactions[Amount],tblTransactions[Transaction Type],"Expense",tblTransactions[Source Account],$D196,tblTransactions[Transaction Status],"Reconciled")+SUMIFS(tblTransactions[Amount],tblTransactions[Transaction Type],"Transfer",tblTransactions[Source Account],$D196,tblTransactions[Transaction Status],"Completed")+SUMIFS(tblTransactions[Amount],tblTransactions[Transaction Type],"Transfer",tblTransactions[Source Account],$D196,tblTransactions[Transaction Status],"Reconciled")-SUMIFS(tblTransactions[Amount],tblTransactions[Transaction Type],"Adjustment",tblTransactions[Source Account],$D196,tblTransactions[Transaction Status],"Completed",tblTransactions[Amount],"&lt;0")-SUMIFS(tblTransactions[Amount],tblTransactions[Transaction Type],"Adjustment",tblTransactions[Source Account],$D196,tblTransactions[Transaction Status],"Reconciled",tblTransactions[Amount],"&lt;0"),0))</f>
      </c>
      <c r="H196" s="1">
        <f>IF($D196="","",$E196+$F196-$G196)</f>
      </c>
      <c r="I196" s="4">
        <f>IF($D196="","",IFERROR(1/(1/AGGREGATE(14,6,tblTransactions[Transaction Date]/(((tblTransactions[Source Account]=$D196)+((tblTransactions[Transaction Type]="Transfer")*(tblTransactions[Destination Type]="Account")*(tblTransactions[Destination Name]=$D196)))*((tblTransactions[Transaction Status]="Completed")+(tblTransactions[Transaction Status]="Reconciled"))),1)),""))</f>
      </c>
      <c r="J196" s="1">
        <f>IF($D196="","",IFERROR(INDEX(tblAccounts[Account Type],ROW()-1),""))</f>
      </c>
      <c r="K196" s="1">
        <f>IF($D196="","",IFERROR(INDEX(tblAccounts[Include in Dashboard],ROW()-1),""))</f>
      </c>
      <c r="L196" s="1">
        <f>IF($D196="","",IFERROR(INDEX(tblAccounts[Status],ROW()-1),""))</f>
      </c>
    </row>
    <row r="197">
      <c r="D197" s="1">
        <f>IFERROR(IF(INDEX(tblAccounts[Account Name],ROW()-1)="","",INDEX(tblAccounts[Account Name],ROW()-1)),"")</f>
      </c>
      <c r="E197" s="1">
        <f>IF($D197="","",IFERROR(INDEX(tblAccounts[Opening Balance],ROW()-1),0))</f>
      </c>
      <c r="F197" s="1">
        <f>IF($D197="","",IFERROR(SUMIFS(tblTransactions[Amount],tblTransactions[Transaction Type],"Income",tblTransactions[Source Account],$D197,tblTransactions[Transaction Status],"Completed")+SUMIFS(tblTransactions[Amount],tblTransactions[Transaction Type],"Income",tblTransactions[Source Account],$D197,tblTransactions[Transaction Status],"Reconciled")+SUMIFS(tblTransactions[Amount],tblTransactions[Transaction Type],"Transfer",tblTransactions[Destination Type],"Account",tblTransactions[Destination Name],$D197,tblTransactions[Transaction Status],"Completed")+SUMIFS(tblTransactions[Amount],tblTransactions[Transaction Type],"Transfer",tblTransactions[Destination Type],"Account",tblTransactions[Destination Name],$D197,tblTransactions[Transaction Status],"Reconciled")+SUMIFS(tblTransactions[Amount],tblTransactions[Transaction Type],"Adjustment",tblTransactions[Source Account],$D197,tblTransactions[Transaction Status],"Completed",tblTransactions[Amount],"&gt;0")+SUMIFS(tblTransactions[Amount],tblTransactions[Transaction Type],"Adjustment",tblTransactions[Source Account],$D197,tblTransactions[Transaction Status],"Reconciled",tblTransactions[Amount],"&gt;0"),0))</f>
      </c>
      <c r="G197" s="1">
        <f>IF($D197="","",IFERROR(SUMIFS(tblTransactions[Amount],tblTransactions[Transaction Type],"Expense",tblTransactions[Source Account],$D197,tblTransactions[Transaction Status],"Completed")+SUMIFS(tblTransactions[Amount],tblTransactions[Transaction Type],"Expense",tblTransactions[Source Account],$D197,tblTransactions[Transaction Status],"Reconciled")+SUMIFS(tblTransactions[Amount],tblTransactions[Transaction Type],"Transfer",tblTransactions[Source Account],$D197,tblTransactions[Transaction Status],"Completed")+SUMIFS(tblTransactions[Amount],tblTransactions[Transaction Type],"Transfer",tblTransactions[Source Account],$D197,tblTransactions[Transaction Status],"Reconciled")-SUMIFS(tblTransactions[Amount],tblTransactions[Transaction Type],"Adjustment",tblTransactions[Source Account],$D197,tblTransactions[Transaction Status],"Completed",tblTransactions[Amount],"&lt;0")-SUMIFS(tblTransactions[Amount],tblTransactions[Transaction Type],"Adjustment",tblTransactions[Source Account],$D197,tblTransactions[Transaction Status],"Reconciled",tblTransactions[Amount],"&lt;0"),0))</f>
      </c>
      <c r="H197" s="1">
        <f>IF($D197="","",$E197+$F197-$G197)</f>
      </c>
      <c r="I197" s="4">
        <f>IF($D197="","",IFERROR(1/(1/AGGREGATE(14,6,tblTransactions[Transaction Date]/(((tblTransactions[Source Account]=$D197)+((tblTransactions[Transaction Type]="Transfer")*(tblTransactions[Destination Type]="Account")*(tblTransactions[Destination Name]=$D197)))*((tblTransactions[Transaction Status]="Completed")+(tblTransactions[Transaction Status]="Reconciled"))),1)),""))</f>
      </c>
      <c r="J197" s="1">
        <f>IF($D197="","",IFERROR(INDEX(tblAccounts[Account Type],ROW()-1),""))</f>
      </c>
      <c r="K197" s="1">
        <f>IF($D197="","",IFERROR(INDEX(tblAccounts[Include in Dashboard],ROW()-1),""))</f>
      </c>
      <c r="L197" s="1">
        <f>IF($D197="","",IFERROR(INDEX(tblAccounts[Status],ROW()-1),""))</f>
      </c>
    </row>
    <row r="198">
      <c r="D198" s="1">
        <f>IFERROR(IF(INDEX(tblAccounts[Account Name],ROW()-1)="","",INDEX(tblAccounts[Account Name],ROW()-1)),"")</f>
      </c>
      <c r="E198" s="1">
        <f>IF($D198="","",IFERROR(INDEX(tblAccounts[Opening Balance],ROW()-1),0))</f>
      </c>
      <c r="F198" s="1">
        <f>IF($D198="","",IFERROR(SUMIFS(tblTransactions[Amount],tblTransactions[Transaction Type],"Income",tblTransactions[Source Account],$D198,tblTransactions[Transaction Status],"Completed")+SUMIFS(tblTransactions[Amount],tblTransactions[Transaction Type],"Income",tblTransactions[Source Account],$D198,tblTransactions[Transaction Status],"Reconciled")+SUMIFS(tblTransactions[Amount],tblTransactions[Transaction Type],"Transfer",tblTransactions[Destination Type],"Account",tblTransactions[Destination Name],$D198,tblTransactions[Transaction Status],"Completed")+SUMIFS(tblTransactions[Amount],tblTransactions[Transaction Type],"Transfer",tblTransactions[Destination Type],"Account",tblTransactions[Destination Name],$D198,tblTransactions[Transaction Status],"Reconciled")+SUMIFS(tblTransactions[Amount],tblTransactions[Transaction Type],"Adjustment",tblTransactions[Source Account],$D198,tblTransactions[Transaction Status],"Completed",tblTransactions[Amount],"&gt;0")+SUMIFS(tblTransactions[Amount],tblTransactions[Transaction Type],"Adjustment",tblTransactions[Source Account],$D198,tblTransactions[Transaction Status],"Reconciled",tblTransactions[Amount],"&gt;0"),0))</f>
      </c>
      <c r="G198" s="1">
        <f>IF($D198="","",IFERROR(SUMIFS(tblTransactions[Amount],tblTransactions[Transaction Type],"Expense",tblTransactions[Source Account],$D198,tblTransactions[Transaction Status],"Completed")+SUMIFS(tblTransactions[Amount],tblTransactions[Transaction Type],"Expense",tblTransactions[Source Account],$D198,tblTransactions[Transaction Status],"Reconciled")+SUMIFS(tblTransactions[Amount],tblTransactions[Transaction Type],"Transfer",tblTransactions[Source Account],$D198,tblTransactions[Transaction Status],"Completed")+SUMIFS(tblTransactions[Amount],tblTransactions[Transaction Type],"Transfer",tblTransactions[Source Account],$D198,tblTransactions[Transaction Status],"Reconciled")-SUMIFS(tblTransactions[Amount],tblTransactions[Transaction Type],"Adjustment",tblTransactions[Source Account],$D198,tblTransactions[Transaction Status],"Completed",tblTransactions[Amount],"&lt;0")-SUMIFS(tblTransactions[Amount],tblTransactions[Transaction Type],"Adjustment",tblTransactions[Source Account],$D198,tblTransactions[Transaction Status],"Reconciled",tblTransactions[Amount],"&lt;0"),0))</f>
      </c>
      <c r="H198" s="1">
        <f>IF($D198="","",$E198+$F198-$G198)</f>
      </c>
      <c r="I198" s="4">
        <f>IF($D198="","",IFERROR(1/(1/AGGREGATE(14,6,tblTransactions[Transaction Date]/(((tblTransactions[Source Account]=$D198)+((tblTransactions[Transaction Type]="Transfer")*(tblTransactions[Destination Type]="Account")*(tblTransactions[Destination Name]=$D198)))*((tblTransactions[Transaction Status]="Completed")+(tblTransactions[Transaction Status]="Reconciled"))),1)),""))</f>
      </c>
      <c r="J198" s="1">
        <f>IF($D198="","",IFERROR(INDEX(tblAccounts[Account Type],ROW()-1),""))</f>
      </c>
      <c r="K198" s="1">
        <f>IF($D198="","",IFERROR(INDEX(tblAccounts[Include in Dashboard],ROW()-1),""))</f>
      </c>
      <c r="L198" s="1">
        <f>IF($D198="","",IFERROR(INDEX(tblAccounts[Status],ROW()-1),""))</f>
      </c>
    </row>
    <row r="199">
      <c r="D199" s="1">
        <f>IFERROR(IF(INDEX(tblAccounts[Account Name],ROW()-1)="","",INDEX(tblAccounts[Account Name],ROW()-1)),"")</f>
      </c>
      <c r="E199" s="1">
        <f>IF($D199="","",IFERROR(INDEX(tblAccounts[Opening Balance],ROW()-1),0))</f>
      </c>
      <c r="F199" s="1">
        <f>IF($D199="","",IFERROR(SUMIFS(tblTransactions[Amount],tblTransactions[Transaction Type],"Income",tblTransactions[Source Account],$D199,tblTransactions[Transaction Status],"Completed")+SUMIFS(tblTransactions[Amount],tblTransactions[Transaction Type],"Income",tblTransactions[Source Account],$D199,tblTransactions[Transaction Status],"Reconciled")+SUMIFS(tblTransactions[Amount],tblTransactions[Transaction Type],"Transfer",tblTransactions[Destination Type],"Account",tblTransactions[Destination Name],$D199,tblTransactions[Transaction Status],"Completed")+SUMIFS(tblTransactions[Amount],tblTransactions[Transaction Type],"Transfer",tblTransactions[Destination Type],"Account",tblTransactions[Destination Name],$D199,tblTransactions[Transaction Status],"Reconciled")+SUMIFS(tblTransactions[Amount],tblTransactions[Transaction Type],"Adjustment",tblTransactions[Source Account],$D199,tblTransactions[Transaction Status],"Completed",tblTransactions[Amount],"&gt;0")+SUMIFS(tblTransactions[Amount],tblTransactions[Transaction Type],"Adjustment",tblTransactions[Source Account],$D199,tblTransactions[Transaction Status],"Reconciled",tblTransactions[Amount],"&gt;0"),0))</f>
      </c>
      <c r="G199" s="1">
        <f>IF($D199="","",IFERROR(SUMIFS(tblTransactions[Amount],tblTransactions[Transaction Type],"Expense",tblTransactions[Source Account],$D199,tblTransactions[Transaction Status],"Completed")+SUMIFS(tblTransactions[Amount],tblTransactions[Transaction Type],"Expense",tblTransactions[Source Account],$D199,tblTransactions[Transaction Status],"Reconciled")+SUMIFS(tblTransactions[Amount],tblTransactions[Transaction Type],"Transfer",tblTransactions[Source Account],$D199,tblTransactions[Transaction Status],"Completed")+SUMIFS(tblTransactions[Amount],tblTransactions[Transaction Type],"Transfer",tblTransactions[Source Account],$D199,tblTransactions[Transaction Status],"Reconciled")-SUMIFS(tblTransactions[Amount],tblTransactions[Transaction Type],"Adjustment",tblTransactions[Source Account],$D199,tblTransactions[Transaction Status],"Completed",tblTransactions[Amount],"&lt;0")-SUMIFS(tblTransactions[Amount],tblTransactions[Transaction Type],"Adjustment",tblTransactions[Source Account],$D199,tblTransactions[Transaction Status],"Reconciled",tblTransactions[Amount],"&lt;0"),0))</f>
      </c>
      <c r="H199" s="1">
        <f>IF($D199="","",$E199+$F199-$G199)</f>
      </c>
      <c r="I199" s="4">
        <f>IF($D199="","",IFERROR(1/(1/AGGREGATE(14,6,tblTransactions[Transaction Date]/(((tblTransactions[Source Account]=$D199)+((tblTransactions[Transaction Type]="Transfer")*(tblTransactions[Destination Type]="Account")*(tblTransactions[Destination Name]=$D199)))*((tblTransactions[Transaction Status]="Completed")+(tblTransactions[Transaction Status]="Reconciled"))),1)),""))</f>
      </c>
      <c r="J199" s="1">
        <f>IF($D199="","",IFERROR(INDEX(tblAccounts[Account Type],ROW()-1),""))</f>
      </c>
      <c r="K199" s="1">
        <f>IF($D199="","",IFERROR(INDEX(tblAccounts[Include in Dashboard],ROW()-1),""))</f>
      </c>
      <c r="L199" s="1">
        <f>IF($D199="","",IFERROR(INDEX(tblAccounts[Status],ROW()-1),""))</f>
      </c>
    </row>
    <row r="200">
      <c r="D200" s="1">
        <f>IFERROR(IF(INDEX(tblAccounts[Account Name],ROW()-1)="","",INDEX(tblAccounts[Account Name],ROW()-1)),"")</f>
      </c>
      <c r="E200" s="1">
        <f>IF($D200="","",IFERROR(INDEX(tblAccounts[Opening Balance],ROW()-1),0))</f>
      </c>
      <c r="F200" s="1">
        <f>IF($D200="","",IFERROR(SUMIFS(tblTransactions[Amount],tblTransactions[Transaction Type],"Income",tblTransactions[Source Account],$D200,tblTransactions[Transaction Status],"Completed")+SUMIFS(tblTransactions[Amount],tblTransactions[Transaction Type],"Income",tblTransactions[Source Account],$D200,tblTransactions[Transaction Status],"Reconciled")+SUMIFS(tblTransactions[Amount],tblTransactions[Transaction Type],"Transfer",tblTransactions[Destination Type],"Account",tblTransactions[Destination Name],$D200,tblTransactions[Transaction Status],"Completed")+SUMIFS(tblTransactions[Amount],tblTransactions[Transaction Type],"Transfer",tblTransactions[Destination Type],"Account",tblTransactions[Destination Name],$D200,tblTransactions[Transaction Status],"Reconciled")+SUMIFS(tblTransactions[Amount],tblTransactions[Transaction Type],"Adjustment",tblTransactions[Source Account],$D200,tblTransactions[Transaction Status],"Completed",tblTransactions[Amount],"&gt;0")+SUMIFS(tblTransactions[Amount],tblTransactions[Transaction Type],"Adjustment",tblTransactions[Source Account],$D200,tblTransactions[Transaction Status],"Reconciled",tblTransactions[Amount],"&gt;0"),0))</f>
      </c>
      <c r="G200" s="1">
        <f>IF($D200="","",IFERROR(SUMIFS(tblTransactions[Amount],tblTransactions[Transaction Type],"Expense",tblTransactions[Source Account],$D200,tblTransactions[Transaction Status],"Completed")+SUMIFS(tblTransactions[Amount],tblTransactions[Transaction Type],"Expense",tblTransactions[Source Account],$D200,tblTransactions[Transaction Status],"Reconciled")+SUMIFS(tblTransactions[Amount],tblTransactions[Transaction Type],"Transfer",tblTransactions[Source Account],$D200,tblTransactions[Transaction Status],"Completed")+SUMIFS(tblTransactions[Amount],tblTransactions[Transaction Type],"Transfer",tblTransactions[Source Account],$D200,tblTransactions[Transaction Status],"Reconciled")-SUMIFS(tblTransactions[Amount],tblTransactions[Transaction Type],"Adjustment",tblTransactions[Source Account],$D200,tblTransactions[Transaction Status],"Completed",tblTransactions[Amount],"&lt;0")-SUMIFS(tblTransactions[Amount],tblTransactions[Transaction Type],"Adjustment",tblTransactions[Source Account],$D200,tblTransactions[Transaction Status],"Reconciled",tblTransactions[Amount],"&lt;0"),0))</f>
      </c>
      <c r="H200" s="1">
        <f>IF($D200="","",$E200+$F200-$G200)</f>
      </c>
      <c r="I200" s="4">
        <f>IF($D200="","",IFERROR(1/(1/AGGREGATE(14,6,tblTransactions[Transaction Date]/(((tblTransactions[Source Account]=$D200)+((tblTransactions[Transaction Type]="Transfer")*(tblTransactions[Destination Type]="Account")*(tblTransactions[Destination Name]=$D200)))*((tblTransactions[Transaction Status]="Completed")+(tblTransactions[Transaction Status]="Reconciled"))),1)),""))</f>
      </c>
      <c r="J200" s="1">
        <f>IF($D200="","",IFERROR(INDEX(tblAccounts[Account Type],ROW()-1),""))</f>
      </c>
      <c r="K200" s="1">
        <f>IF($D200="","",IFERROR(INDEX(tblAccounts[Include in Dashboard],ROW()-1),""))</f>
      </c>
      <c r="L200" s="1">
        <f>IF($D200="","",IFERROR(INDEX(tblAccounts[Status],ROW()-1),""))</f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