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DFA572D-1B66-4F61-A9DD-217A6931A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ategories" sheetId="2" r:id="rId2"/>
    <sheet name="Accounts" sheetId="3" r:id="rId3"/>
    <sheet name="Income Sources" sheetId="4" r:id="rId4"/>
    <sheet name="Assets" sheetId="5" r:id="rId5"/>
    <sheet name="Liabilities" sheetId="6" r:id="rId6"/>
    <sheet name="Recurring Commitments" sheetId="7" r:id="rId7"/>
    <sheet name="Transactions" sheetId="8" r:id="rId8"/>
    <sheet name="Goals" sheetId="9" r:id="rId9"/>
    <sheet name="Helpers" sheetId="10" state="hidden" r:id="rId10"/>
    <sheet name="Business Engine" sheetId="11" r:id="rId11"/>
    <sheet name="Analysis Engine" sheetId="12" r:id="rId12"/>
    <sheet name="Dashboard" sheetId="13" r:id="rId13"/>
    <sheet name="Insights" sheetId="14" r:id="rId14"/>
  </sheets>
  <definedNames>
    <definedName name="rngAccounts">Accounts!$B$2:$B$200</definedName>
    <definedName name="rngAccountStatus">Helpers!$A$70:$A$71</definedName>
    <definedName name="rngAccountType">Helpers!$A$91:$A$98</definedName>
    <definedName name="rngActiveAccounts">Helpers!$B$132</definedName>
    <definedName name="rngActiveAssets">Helpers!$B$134</definedName>
    <definedName name="rngActiveGoals">Helpers!$B$133</definedName>
    <definedName name="rngActiveLiabilities">Helpers!$B$135</definedName>
    <definedName name="rngAssets">Assets!$B$2:$B$200</definedName>
    <definedName name="rngAssetType">Helpers!$AG$2:$AG$25</definedName>
    <definedName name="rngBoolean">Helpers!$A$86:$A$87</definedName>
    <definedName name="rngCategories">Categories!$B$2:$B$200</definedName>
    <definedName name="rngCategoryType">Helpers!$A$102:$A$103</definedName>
    <definedName name="rngCurrency">Helpers!$A$2:$A$6</definedName>
    <definedName name="rngExpenseCategories">Helpers!$B$130</definedName>
    <definedName name="rngFinancialYears">Helpers!$A$126</definedName>
    <definedName name="rngFrequency">Helpers!$A$38:$A$41</definedName>
    <definedName name="rngGoals">Goals!$B$2:$B$200</definedName>
    <definedName name="rngGoalStatus">Helpers!$A$59:$A$61</definedName>
    <definedName name="rngIncomeCategories">Helpers!$B$131</definedName>
    <definedName name="rngIncomeSources">'Income Sources'!$B$2:$B$200</definedName>
    <definedName name="rngIncomeType">Helpers!$AI$2:$AI$10</definedName>
    <definedName name="rngLiabilities">Liabilities!$B$2:$B$200</definedName>
    <definedName name="rngLiabilityType">Helpers!$AH$2:$AH$11</definedName>
    <definedName name="rngMonths">Helpers!$B$111:$B$122</definedName>
    <definedName name="rngPaymentMethods">Helpers!$A$10:$A$17</definedName>
    <definedName name="rngPriority">Helpers!$A$45:$A$47</definedName>
    <definedName name="rngTransactionType">Helpers!$A$21:$A$24</definedName>
    <definedName name="valAccountStatus">Helpers!$B$147</definedName>
    <definedName name="valAccountTypes">Helpers!$B$140</definedName>
    <definedName name="valActiveAccounts">Helpers!$B$132</definedName>
    <definedName name="valActiveAssets">Helpers!$B$134</definedName>
    <definedName name="valActiveGoals">Helpers!$B$133</definedName>
    <definedName name="valActiveLiabilities">Helpers!$B$135</definedName>
    <definedName name="valCategoryTypes">Helpers!$B$141</definedName>
    <definedName name="valCommitmentStatus">Helpers!$B$148</definedName>
    <definedName name="valCurrencies">Helpers!$B$143</definedName>
    <definedName name="valDestinationTypes">Helpers!$B$144</definedName>
    <definedName name="valExpenseCategories">Helpers!$B$130</definedName>
    <definedName name="valFrequency">Helpers!$B$138</definedName>
    <definedName name="valGoalStatus">Helpers!$B$146</definedName>
    <definedName name="valIncomeCategories">Helpers!$B$131</definedName>
    <definedName name="valIncomeSources">Helpers!$B$136</definedName>
    <definedName name="valPaymentMethods">Helpers!$B$137</definedName>
    <definedName name="valPriority">Helpers!$B$139</definedName>
    <definedName name="valThemes">Helpers!$B$142</definedName>
    <definedName name="valTransactionTypes">Helpers!$B$145</definedName>
    <definedName name="rngDestinationType">Helpers!$A$28:$A$34</definedName>
    <definedName name="rngOwnershipType">Helpers!$A$81:$A$82</definedName>
    <definedName name="rngCommitmentStatus">Helpers!$A$75:$A$77</definedName>
    <definedName name="rngLiabilityStatus">Helpers!$A$65:$A$66</definedName>
    <definedName name="rngYesNo">Helpers!$A$86:$A$87</definedName>
    <definedName name="rngTransactionStatus">Helpers!$D$1:$D$4</definedName>
  </definedNames>
  <calcPr calcId="191029" calcMode="auto" fullCalcOnLoad="1" forceFullCalc="1"/>
</workbook>
</file>

<file path=xl/sharedStrings.xml><?xml version="1.0" encoding="utf-8"?>
<sst xmlns="http://schemas.openxmlformats.org/spreadsheetml/2006/main" count="664" uniqueCount="417">
  <si>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</si>
  <si>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</si>
  <si>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</si>
  <si>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</si>
  <si>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</si>
  <si>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</si>
  <si>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</si>
  <si>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</si>
  <si>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</si>
  <si>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</si>
  <si>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</si>
  <si>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</si>
  <si>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</si>
  <si>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</si>
  <si>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</si>
  <si>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</si>
  <si>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</si>
  <si>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</si>
  <si>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</si>
  <si>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</si>
  <si>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</si>
  <si>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</si>
  <si>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</si>
  <si>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</si>
  <si>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</si>
  <si>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</si>
  <si>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</si>
  <si>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</si>
  <si>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</si>
  <si>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</si>
  <si>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</si>
  <si>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</si>
  <si>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</si>
  <si>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</si>
  <si>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</si>
  <si>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</si>
  <si>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</si>
  <si>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</si>
  <si>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</si>
  <si>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</si>
  <si>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</si>
  <si>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</si>
  <si>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</si>
  <si>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</si>
  <si>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</si>
  <si>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</si>
  <si>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</si>
  <si>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</si>
  <si>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</si>
  <si>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</si>
  <si>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</si>
  <si>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</si>
  <si>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</si>
  <si>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</si>
  <si>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</si>
  <si>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</si>
  <si>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</si>
  <si>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</si>
  <si>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</si>
  <si>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</si>
  <si>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</si>
  <si>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</si>
  <si>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</si>
  <si>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</si>
  <si>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</si>
  <si>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</si>
  <si>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</si>
  <si>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</si>
  <si>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</si>
  <si>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</si>
  <si>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</si>
  <si>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</si>
  <si>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</si>
  <si>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</si>
  <si>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</si>
  <si>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</si>
  <si>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</si>
  <si>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</si>
  <si>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</si>
  <si>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</si>
  <si>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</si>
  <si>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</si>
  <si>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</si>
  <si>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</si>
  <si>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</si>
  <si>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</si>
  <si>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</si>
  <si>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</si>
  <si>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</si>
  <si>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</si>
  <si>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</si>
  <si>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</si>
  <si>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</si>
  <si>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</si>
  <si>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</si>
  <si>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</si>
  <si>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</si>
  <si>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</si>
  <si>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</si>
  <si>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</si>
  <si>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</si>
  <si>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</si>
  <si>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</si>
  <si>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</si>
  <si>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</si>
  <si>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</si>
  <si>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</si>
  <si>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</si>
  <si>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</si>
  <si>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</si>
  <si>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</si>
  <si>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</si>
  <si>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</si>
  <si>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</si>
  <si>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</si>
  <si>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</si>
  <si>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</si>
  <si>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</si>
  <si>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</si>
  <si>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</si>
  <si>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</si>
  <si>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</si>
  <si>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</si>
  <si>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</si>
  <si>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</si>
  <si>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</si>
  <si>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</si>
  <si>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</si>
  <si>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</si>
  <si>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</si>
  <si>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</si>
  <si>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</si>
  <si>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</si>
  <si>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</si>
  <si>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</si>
  <si>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</si>
  <si>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</si>
  <si>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</si>
  <si>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</si>
  <si>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</si>
  <si>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</si>
  <si>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</si>
  <si>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</si>
  <si>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</si>
  <si>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</si>
  <si>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</si>
  <si>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</si>
  <si>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</si>
  <si>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</si>
  <si>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</si>
  <si>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</si>
  <si>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</si>
  <si>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</si>
  <si>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</si>
  <si>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</si>
  <si>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</si>
  <si>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</si>
  <si>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</si>
  <si>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</si>
  <si>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</si>
  <si>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</si>
  <si>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</si>
  <si>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</si>
  <si>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</si>
  <si>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</si>
  <si>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</si>
  <si>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</si>
  <si>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</si>
  <si>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</si>
  <si>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</si>
  <si>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</si>
  <si>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</si>
  <si>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</si>
  <si>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</si>
  <si>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</si>
  <si>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</si>
  <si>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</si>
  <si>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</si>
  <si>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</si>
  <si>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</si>
  <si>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</si>
  <si>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</si>
  <si>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</si>
  <si>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</si>
  <si>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</si>
  <si>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</si>
  <si>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</si>
  <si>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</si>
  <si>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</si>
  <si>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</si>
  <si>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</si>
  <si>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</si>
  <si>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</si>
  <si>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</si>
  <si>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</si>
  <si>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</si>
  <si>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</si>
  <si>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</si>
  <si>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</si>
  <si>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</si>
  <si>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</si>
  <si>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</si>
  <si>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</si>
  <si>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</si>
  <si>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</si>
  <si>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</si>
  <si>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</si>
  <si>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</si>
  <si>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</si>
  <si>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</si>
  <si>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</si>
  <si>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</si>
  <si>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</si>
  <si>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</si>
  <si>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</si>
  <si>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</si>
  <si>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</si>
  <si>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</si>
  <si>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</si>
  <si>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</si>
  <si>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</si>
  <si>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</si>
  <si>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</si>
  <si>
    <t>As-Of Date</t>
  </si>
  <si>
    <t>SECTION 1 — Accounts Summary</t>
  </si>
  <si>
    <t>Total Active Account Balance</t>
  </si>
  <si>
    <t>Number of Active Accounts</t>
  </si>
  <si>
    <t>Cash Accounts Total</t>
  </si>
  <si>
    <t>Savings Accounts Total</t>
  </si>
  <si>
    <t>Investment Accounts Total</t>
  </si>
  <si>
    <t>Credit Accounts Total</t>
  </si>
  <si>
    <t>SECTION 2 — Income Summary</t>
  </si>
  <si>
    <t>Monthly Salary Income</t>
  </si>
  <si>
    <t>Monthly Business Income</t>
  </si>
  <si>
    <t>Monthly Freelance Income</t>
  </si>
  <si>
    <t>Monthly Investment Income</t>
  </si>
  <si>
    <t>Total Monthly Income</t>
  </si>
  <si>
    <t>Monthly Other Income</t>
  </si>
  <si>
    <t>Total Annual Income</t>
  </si>
  <si>
    <t>Active Income Source Count</t>
  </si>
  <si>
    <t>SECTION 3 — Expense Summary</t>
  </si>
  <si>
    <t>Current Month Expenses</t>
  </si>
  <si>
    <t>Previous Month Expenses</t>
  </si>
  <si>
    <t>Year-to-Date Expenses</t>
  </si>
  <si>
    <t>Expense Transaction Count</t>
  </si>
  <si>
    <t>SECTION 4 — Savings Summary</t>
  </si>
  <si>
    <t>Current Month Income</t>
  </si>
  <si>
    <t>Current Month Savings</t>
  </si>
  <si>
    <t>Savings Rate (%)</t>
  </si>
  <si>
    <t>Average Monthly Savings</t>
  </si>
  <si>
    <t>SECTION 5 — Asset Summary</t>
  </si>
  <si>
    <t>Total Purchase Value</t>
  </si>
  <si>
    <t>Total Current Value</t>
  </si>
  <si>
    <t>Total Appreciation Amount</t>
  </si>
  <si>
    <t>Weighted Appreciation %</t>
  </si>
  <si>
    <t>Active Asset Count</t>
  </si>
  <si>
    <t>SECTION 6 — Liability Summary</t>
  </si>
  <si>
    <t>Total Original Liability</t>
  </si>
  <si>
    <t>Total Outstanding Balance</t>
  </si>
  <si>
    <t>Total Monthly EMI</t>
  </si>
  <si>
    <t>Weighted Interest Rate</t>
  </si>
  <si>
    <t>Active Liability Count</t>
  </si>
  <si>
    <t>SECTION 7 — Net Worth</t>
  </si>
  <si>
    <t>Net Worth</t>
  </si>
  <si>
    <t>Liquid Net Worth</t>
  </si>
  <si>
    <t>Invested Net Worth</t>
  </si>
  <si>
    <t>SECTION 8 — Goal Summary</t>
  </si>
  <si>
    <t>Total Goal Target Amount</t>
  </si>
  <si>
    <t>Total Saved Toward Goals</t>
  </si>
  <si>
    <t>Remaining Goal Amount</t>
  </si>
  <si>
    <t>Active Goal Count</t>
  </si>
  <si>
    <t>Completed Goal Count</t>
  </si>
  <si>
    <t>Goal Completion %</t>
  </si>
  <si>
    <t>SECTION 9 — Monthly Financial Health</t>
  </si>
  <si>
    <t>Expenses</t>
  </si>
  <si>
    <t>Savings</t>
  </si>
  <si>
    <t>Savings Rate</t>
  </si>
  <si>
    <t>EMI Ratio</t>
  </si>
  <si>
    <t>Asset Allocation</t>
  </si>
  <si>
    <t>Debt Ratio</t>
  </si>
  <si>
    <t>CMStart</t>
  </si>
  <si>
    <t>NMStart</t>
  </si>
  <si>
    <t>PMStart</t>
  </si>
  <si>
    <t>YearStart</t>
  </si>
  <si>
    <t>AsOf</t>
  </si>
  <si>
    <t>NextYear</t>
  </si>
  <si>
    <t>SECTION 1 â€” Monthly Income Summary</t>
  </si>
  <si>
    <t>Metric</t>
  </si>
  <si>
    <t>Current Month</t>
  </si>
  <si>
    <t>Previous Month</t>
  </si>
  <si>
    <t>YTD (through As-Of)</t>
  </si>
  <si>
    <t>Total Income</t>
  </si>
  <si>
    <t>Other Income</t>
  </si>
  <si>
    <t>SECTION 2 â€” Monthly Expense Summary</t>
  </si>
  <si>
    <t>Total Expenses</t>
  </si>
  <si>
    <t>YTD</t>
  </si>
  <si>
    <t>Share of Current</t>
  </si>
  <si>
    <t>Rank</t>
  </si>
  <si>
    <t>Monthly Trend (calendar year of As-Of Date)</t>
  </si>
  <si>
    <t>Month</t>
  </si>
  <si>
    <t>SECTION 3 â€” Cash Flow Analysis</t>
  </si>
  <si>
    <t>MoM Expense Change</t>
  </si>
  <si>
    <t>MoM Expense Change %</t>
  </si>
  <si>
    <t>Running monthly table</t>
  </si>
  <si>
    <t>See Section 2 rows 30-41</t>
  </si>
  <si>
    <t>SECTION 4 â€” Asset Analysis</t>
  </si>
  <si>
    <t>Appreciation</t>
  </si>
  <si>
    <t>Allocation by Asset Type</t>
  </si>
  <si>
    <t>Allocation %</t>
  </si>
  <si>
    <t>SECTION 5 â€” Liability Analysis</t>
  </si>
  <si>
    <t>Est. Monthly Interest</t>
  </si>
  <si>
    <t>EMI Ratio (from BE)</t>
  </si>
  <si>
    <t>Debt Ratio (from BE)</t>
  </si>
  <si>
    <t>Liability breakdown by type</t>
  </si>
  <si>
    <t>Outstanding</t>
  </si>
  <si>
    <t>Mix %</t>
  </si>
  <si>
    <t>SECTION 6 â€” Goal Analysis</t>
  </si>
  <si>
    <t>Progress %</t>
  </si>
  <si>
    <t>Remaining</t>
  </si>
  <si>
    <t>Monthly Contribution Needed</t>
  </si>
  <si>
    <t>Overdue Flag</t>
  </si>
  <si>
    <t>Overdue Goal Count</t>
  </si>
  <si>
    <t>Goal Completion % (BE)</t>
  </si>
  <si>
    <t>Active Goal Count (BE)</t>
  </si>
  <si>
    <t>SECTION 7 â€” Category Analysis</t>
  </si>
  <si>
    <t>Income categories (current month)</t>
  </si>
  <si>
    <t>Expense categories ranked (see also Section 2 F17:F26)</t>
  </si>
  <si>
    <t>Largest Expense Category</t>
  </si>
  <si>
    <t>Largest Expense Amount</t>
  </si>
  <si>
    <t>SECTION 8 â€” Account Analysis</t>
  </si>
  <si>
    <t>Active Accounts</t>
  </si>
  <si>
    <t>Opening Balances (Active)</t>
  </si>
  <si>
    <t>Current Balances (placeholder)</t>
  </si>
  <si>
    <t>Cash Accounts Total (placeholder)</t>
  </si>
  <si>
    <t>Savings Accounts Total (placeholder)</t>
  </si>
  <si>
    <t>Investment Accounts Total (placeholder)</t>
  </si>
  <si>
    <t>Credit Accounts Total (placeholder)</t>
  </si>
  <si>
    <t>Balance summary</t>
  </si>
  <si>
    <t>Current balances pending Account Engine (BE returns 0)</t>
  </si>
  <si>
    <t>SECTION 9 â€” KPI Output Table (Dashboard source)</t>
  </si>
  <si>
    <t>KPI</t>
  </si>
  <si>
    <t>Value</t>
  </si>
  <si>
    <t>Monthly Income</t>
  </si>
  <si>
    <t>Monthly Expenses</t>
  </si>
  <si>
    <t>Monthly Savings</t>
  </si>
  <si>
    <t>Liquid Net Worth (placeholder)</t>
  </si>
  <si>
    <t>Asset Current Value</t>
  </si>
  <si>
    <t>Liability Outstanding</t>
  </si>
  <si>
    <t>Emergency Coverage Months (placeholder)</t>
  </si>
  <si>
    <t>CAT-001</t>
  </si>
  <si>
    <t>Payroll</t>
  </si>
  <si>
    <t>CAT-002</t>
  </si>
  <si>
    <t>Side work</t>
  </si>
  <si>
    <t>CAT-003</t>
  </si>
  <si>
    <t>Groceries</t>
  </si>
  <si>
    <t>Food</t>
  </si>
  <si>
    <t>CAT-004</t>
  </si>
  <si>
    <t>Rent</t>
  </si>
  <si>
    <t>Housing</t>
  </si>
  <si>
    <t>ACC-001</t>
  </si>
  <si>
    <t>HDFC Salary</t>
  </si>
  <si>
    <t>HDFC</t>
  </si>
  <si>
    <t>ACC-002</t>
  </si>
  <si>
    <t>SBI Savings</t>
  </si>
  <si>
    <t>SBI</t>
  </si>
  <si>
    <t>ACC-003</t>
  </si>
  <si>
    <t>Cash Wallet</t>
  </si>
  <si>
    <t>ACC-004</t>
  </si>
  <si>
    <t>Old SBI</t>
  </si>
  <si>
    <t>INC-001</t>
  </si>
  <si>
    <t>Acme Payroll</t>
  </si>
  <si>
    <t>INC-002</t>
  </si>
  <si>
    <t>Design Freelance</t>
  </si>
  <si>
    <t>INC-003</t>
  </si>
  <si>
    <t>Old Job</t>
  </si>
  <si>
    <t>AST-001</t>
  </si>
  <si>
    <t>Nifty Index Fund</t>
  </si>
  <si>
    <t>Investments</t>
  </si>
  <si>
    <t>AST-002</t>
  </si>
  <si>
    <t>Old FD</t>
  </si>
  <si>
    <t>LIA-001</t>
  </si>
  <si>
    <t>HDFC Home Loan</t>
  </si>
  <si>
    <t>LIA-002</t>
  </si>
  <si>
    <t>Old Personal Loan</t>
  </si>
  <si>
    <t>GOL-001</t>
  </si>
  <si>
    <t>Emergency Fund</t>
  </si>
  <si>
    <t>GOL-002</t>
  </si>
  <si>
    <t>Goa Vacation</t>
  </si>
  <si>
    <t>GOL-003</t>
  </si>
  <si>
    <t>Bike Down Payment</t>
  </si>
  <si>
    <t>TXN-001</t>
  </si>
  <si>
    <t>TXN-002</t>
  </si>
  <si>
    <t>TXN-003</t>
  </si>
  <si>
    <t>TXN-004</t>
  </si>
  <si>
    <t>TXN-005</t>
  </si>
  <si>
    <t>TXN-006</t>
  </si>
  <si>
    <t>TXN-007</t>
  </si>
  <si>
    <t>TXN-008</t>
  </si>
  <si>
    <t>TXN-009</t>
  </si>
  <si>
    <t>TXN-010</t>
  </si>
  <si>
    <t>Include in Dashboard</t>
  </si>
  <si>
    <t>Pending</t>
  </si>
  <si>
    <t>Cancelled</t>
  </si>
  <si>
    <t>Reconciled</t>
  </si>
  <si>
    <t>Money In</t>
  </si>
  <si>
    <t>Money Out</t>
  </si>
  <si>
    <t>Last Transaction Date</t>
  </si>
  <si>
    <t>Dashboard Enabled</t>
  </si>
  <si>
    <t>Active Account Count</t>
  </si>
  <si>
    <t>Total Opening Balance</t>
  </si>
  <si>
    <t>Total Current Balance</t>
  </si>
  <si>
    <t>Total Cash Balance</t>
  </si>
  <si>
    <t>Savings Bank Balance</t>
  </si>
  <si>
    <t>Current Bank Balance</t>
  </si>
  <si>
    <t>Wallet Balance</t>
  </si>
  <si>
    <t>Active dashboard-enabled account balances from Account Engine</t>
  </si>
  <si>
    <t>ACC-005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</si>
</sst>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Settings" displayName="tblSettings" ref="A1:E200" totalsRowShown="0">
  <autoFilter ref="A1:E200"/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es" displayName="tblCategories" ref="A1:G200" totalsRowShown="0">
  <autoFilter ref="A1:G200"/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counts" displayName="tblAccounts" ref="A1:J200" totalsRowShown="0">
  <autoFilter ref="A1:J200"/>
  <tableColumns count="10">
    <tableColumn id="1" name="Account ID"/>
    <tableColumn id="2" name="Account Name"/>
    <tableColumn id="3" name="Account Type"/>
    <tableColumn id="4" name="Institution"/>
    <tableColumn id="5" name="Opening Balance"/>
    <tableColumn id="6" name="Current Balance">
      <calculatedColumnFormula>IF(tblAccounts[[#This Row],[Account Name]]="","",INDEX('Business Engine'!$H$2:$H$200,ROW()-ROW(tblAccounts[#Headers])))</calculatedColumnFormula>
    </tableColumn>
    <tableColumn id="7" name="Currency"/>
    <tableColumn id="10" name="Include in Dashboard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comeSources" displayName="tblIncomeSources" ref="A1:F200" totalsRowShown="0">
  <autoFilter ref="A1:F200"/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ets" displayName="tblAssets" ref="A1:M200" totalsRowShown="0">
  <autoFilter ref="A1:M200"/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>
      <calculatedColumnFormula>tblAssets[[#This Row],[Current Value]]-tblAssets[[#This Row],[Purchase Value]]</calculatedColumnFormula>
    </tableColumn>
    <tableColumn id="10" name="Appreciation %">
      <calculatedColumnFormula>IFERROR(tblAssets[[#This Row],[Appreciation Amount]]/tblAssets[[#This Row],[Purchase Value]],0)</calculatedColumnFormula>
    </tableColumn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iabilities" displayName="tblLiabilities" ref="A1:P200" totalsRowShown="0">
  <autoFilter ref="A1:P200"/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ecurringCommitments" displayName="tblRecurringCommitments" ref="A1:N200" totalsRowShown="0">
  <autoFilter ref="A1:N200"/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ransactions" displayName="tblTransactions" ref="A1:M200" totalsRowShown="0">
  <autoFilter ref="A1:M200"/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Goals" displayName="tblGoals" ref="A1:L200" totalsRowShown="0">
  <autoFilter ref="A1:L200"/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>
      <calculatedColumnFormula>MAX(0,tblGoals[[#This Row],[Target Amount]]-tblGoals[[#This Row],[Current Saved Amount]])</calculatedColumnFormula>
    </tableColumn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kpCurrency" displayName="lkpCurrency" ref="A1:C6" totalsRowShown="0">
  <autoFilter ref="A1:C6"/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kpPaymentMethod" displayName="lkpPaymentMethod" ref="A9:A17" totalsRowShown="0">
  <autoFilter ref="A9:A17"/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kpTransactionType" displayName="lkpTransactionType" ref="A20:A24" totalsRowShown="0">
  <autoFilter ref="A20:A24"/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kpDestinationType" displayName="lkpDestinationType" ref="A27:A34" totalsRowShown="0">
  <autoFilter ref="A27:A34"/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lkpFrequency" displayName="lkpFrequency" ref="A37:A41" totalsRowShown="0">
  <autoFilter ref="A37:A41"/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kpPriority" displayName="lkpPriority" ref="A44:A47" totalsRowShown="0">
  <autoFilter ref="A44:A47"/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lkpStatus" displayName="lkpStatus" ref="A50:A55" totalsRowShown="0">
  <autoFilter ref="A50:A55"/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kpGoalStatus" displayName="lkpGoalStatus" ref="A58:A61" totalsRowShown="0">
  <autoFilter ref="A58:A61"/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lkpLiabilityStatus" displayName="lkpLiabilityStatus" ref="A64:A66" totalsRowShown="0">
  <autoFilter ref="A64:A66"/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kpAccountStatus" displayName="lkpAccountStatus" ref="A69:A71" totalsRowShown="0">
  <autoFilter ref="A69:A71"/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kpCommitmentStatus" displayName="lkpCommitmentStatus" ref="A74:A77" totalsRowShown="0">
  <autoFilter ref="A74:A77"/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kpOwnershipType" displayName="lkpOwnershipType" ref="A80:A82" totalsRowShown="0">
  <autoFilter ref="A80:A82"/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lkpYesNo" displayName="lkpYesNo" ref="A85:A87" totalsRowShown="0">
  <autoFilter ref="A85:A87"/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lkpAccountType" displayName="lkpAccountType" ref="A90:A98" totalsRowShown="0">
  <autoFilter ref="A90:A98"/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kpCategoryType" displayName="lkpCategoryType" ref="A101:A103" totalsRowShown="0">
  <autoFilter ref="A101:A103"/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lkpTheme" displayName="lkpTheme" ref="A106:A107" totalsRowShown="0">
  <autoFilter ref="A106:A107"/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lkpMonth" displayName="lkpMonth" ref="A110:C122" totalsRowShown="0">
  <autoFilter ref="A110:C122"/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lkpFinancialYear" displayName="lkpFinancialYear" ref="A125:A126" totalsRowShown="0">
  <autoFilter ref="A125:A126"/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AssetType" displayName="lkpAssetType" ref="AG1:AG25" totalsRowShown="0">
  <autoFilter ref="AG1:AG25"/>
  <tableColumns count="1">
    <tableColumn id="1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LiabilityType" displayName="lkpLiabilityType" ref="AH1:AH11" totalsRowShown="0">
  <autoFilter ref="AH1:AH11"/>
  <tableColumns count="1">
    <tableColumn id="1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IncomeType" displayName="lkpIncomeType" ref="AI1:AI10" totalsRowShown="0">
  <autoFilter ref="AI1:AI10"/>
  <tableColumns count="1">
    <tableColumn id="1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20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1"/>
      <c r="C2" s="2"/>
      <c r="D2" s="1"/>
      <c r="E2" s="1"/>
    </row>
    <row r="3">
      <c r="A3" s="1"/>
      <c r="B3" s="1"/>
      <c r="C3" s="2"/>
      <c r="D3" s="1"/>
      <c r="E3" s="1"/>
    </row>
    <row r="4">
      <c r="A4" s="1"/>
      <c r="B4" s="1"/>
      <c r="C4" s="2"/>
      <c r="D4" s="1"/>
      <c r="E4" s="1"/>
    </row>
    <row r="5">
      <c r="A5" s="1"/>
      <c r="B5" s="1"/>
      <c r="C5" s="2"/>
      <c r="D5" s="1"/>
      <c r="E5" s="1"/>
    </row>
    <row r="6">
      <c r="A6" s="1"/>
      <c r="B6" s="1"/>
      <c r="C6" s="2"/>
      <c r="D6" s="1"/>
      <c r="E6" s="1"/>
    </row>
    <row r="7">
      <c r="A7" s="1"/>
      <c r="B7" s="1"/>
      <c r="C7" s="2"/>
      <c r="D7" s="1"/>
      <c r="E7" s="1"/>
    </row>
    <row r="8">
      <c r="A8" s="1"/>
      <c r="B8" s="1"/>
      <c r="C8" s="2"/>
      <c r="D8" s="1"/>
      <c r="E8" s="1"/>
    </row>
    <row r="9">
      <c r="A9" s="1"/>
      <c r="B9" s="1"/>
      <c r="C9" s="2"/>
      <c r="D9" s="1"/>
      <c r="E9" s="1"/>
    </row>
    <row r="10">
      <c r="A10" s="1"/>
      <c r="B10" s="1"/>
      <c r="C10" s="2"/>
      <c r="D10" s="1"/>
      <c r="E10" s="1"/>
    </row>
    <row r="11">
      <c r="A11" s="1"/>
      <c r="B11" s="1"/>
      <c r="C11" s="2"/>
      <c r="D11" s="1"/>
      <c r="E11" s="1"/>
    </row>
    <row r="12">
      <c r="A12" s="1"/>
      <c r="B12" s="1"/>
      <c r="C12" s="2"/>
      <c r="D12" s="1"/>
      <c r="E12" s="1"/>
    </row>
    <row r="13">
      <c r="A13" s="1"/>
      <c r="B13" s="1"/>
      <c r="C13" s="2"/>
      <c r="D13" s="1"/>
      <c r="E13" s="1"/>
    </row>
    <row r="14">
      <c r="A14" s="1"/>
      <c r="B14" s="1"/>
      <c r="C14" s="2"/>
      <c r="D14" s="1"/>
      <c r="E14" s="1"/>
    </row>
    <row r="15">
      <c r="A15" s="1"/>
      <c r="B15" s="1"/>
      <c r="C15" s="2"/>
      <c r="D15" s="1"/>
      <c r="E15" s="1"/>
    </row>
    <row r="16">
      <c r="A16" s="1"/>
      <c r="B16" s="1"/>
      <c r="C16" s="2"/>
      <c r="D16" s="1"/>
      <c r="E16" s="1"/>
    </row>
    <row r="17">
      <c r="A17" s="1"/>
      <c r="B17" s="1"/>
      <c r="C17" s="2"/>
      <c r="D17" s="1"/>
      <c r="E17" s="1"/>
    </row>
    <row r="18">
      <c r="A18" s="1"/>
      <c r="B18" s="1"/>
      <c r="C18" s="2"/>
      <c r="D18" s="1"/>
      <c r="E18" s="1"/>
    </row>
    <row r="19">
      <c r="A19" s="1"/>
      <c r="B19" s="1"/>
      <c r="C19" s="2"/>
      <c r="D19" s="1"/>
      <c r="E19" s="1"/>
    </row>
    <row r="20">
      <c r="A20" s="1"/>
      <c r="B20" s="1"/>
      <c r="C20" s="2"/>
      <c r="D20" s="1"/>
      <c r="E20" s="1"/>
    </row>
    <row r="21">
      <c r="A21" s="1"/>
      <c r="B21" s="1"/>
      <c r="C21" s="2"/>
      <c r="D21" s="1"/>
      <c r="E21" s="1"/>
    </row>
    <row r="22">
      <c r="A22" s="1"/>
      <c r="B22" s="1"/>
      <c r="C22" s="2"/>
      <c r="D22" s="1"/>
      <c r="E22" s="1"/>
    </row>
    <row r="23">
      <c r="A23" s="1"/>
      <c r="B23" s="1"/>
      <c r="C23" s="2"/>
      <c r="D23" s="1"/>
      <c r="E23" s="1"/>
    </row>
    <row r="24">
      <c r="A24" s="1"/>
      <c r="B24" s="1"/>
      <c r="C24" s="2"/>
      <c r="D24" s="1"/>
      <c r="E24" s="1"/>
    </row>
    <row r="25">
      <c r="A25" s="1"/>
      <c r="B25" s="1"/>
      <c r="C25" s="2"/>
      <c r="D25" s="1"/>
      <c r="E25" s="1"/>
    </row>
    <row r="26">
      <c r="A26" s="1"/>
      <c r="B26" s="1"/>
      <c r="C26" s="2"/>
      <c r="D26" s="1"/>
      <c r="E26" s="1"/>
    </row>
    <row r="27">
      <c r="A27" s="1"/>
      <c r="B27" s="1"/>
      <c r="C27" s="2"/>
      <c r="D27" s="1"/>
      <c r="E27" s="1"/>
    </row>
    <row r="28">
      <c r="A28" s="1"/>
      <c r="B28" s="1"/>
      <c r="C28" s="2"/>
      <c r="D28" s="1"/>
      <c r="E28" s="1"/>
    </row>
    <row r="29">
      <c r="A29" s="1"/>
      <c r="B29" s="1"/>
      <c r="C29" s="2"/>
      <c r="D29" s="1"/>
      <c r="E29" s="1"/>
    </row>
    <row r="30">
      <c r="A30" s="1"/>
      <c r="B30" s="1"/>
      <c r="C30" s="2"/>
      <c r="D30" s="1"/>
      <c r="E30" s="1"/>
    </row>
    <row r="31">
      <c r="A31" s="1"/>
      <c r="B31" s="1"/>
      <c r="C31" s="2"/>
      <c r="D31" s="1"/>
      <c r="E31" s="1"/>
    </row>
    <row r="32">
      <c r="A32" s="1"/>
      <c r="B32" s="1"/>
      <c r="C32" s="2"/>
      <c r="D32" s="1"/>
      <c r="E32" s="1"/>
    </row>
    <row r="33">
      <c r="A33" s="1"/>
      <c r="B33" s="1"/>
      <c r="C33" s="2"/>
      <c r="D33" s="1"/>
      <c r="E33" s="1"/>
    </row>
    <row r="34">
      <c r="A34" s="1"/>
      <c r="B34" s="1"/>
      <c r="C34" s="2"/>
      <c r="D34" s="1"/>
      <c r="E34" s="1"/>
    </row>
    <row r="35">
      <c r="A35" s="1"/>
      <c r="B35" s="1"/>
      <c r="C35" s="2"/>
      <c r="D35" s="1"/>
      <c r="E35" s="1"/>
    </row>
    <row r="36">
      <c r="A36" s="1"/>
      <c r="B36" s="1"/>
      <c r="C36" s="2"/>
      <c r="D36" s="1"/>
      <c r="E36" s="1"/>
    </row>
    <row r="37">
      <c r="A37" s="1"/>
      <c r="B37" s="1"/>
      <c r="C37" s="2"/>
      <c r="D37" s="1"/>
      <c r="E37" s="1"/>
    </row>
    <row r="38">
      <c r="A38" s="1"/>
      <c r="B38" s="1"/>
      <c r="C38" s="2"/>
      <c r="D38" s="1"/>
      <c r="E38" s="1"/>
    </row>
    <row r="39">
      <c r="A39" s="1"/>
      <c r="B39" s="1"/>
      <c r="C39" s="2"/>
      <c r="D39" s="1"/>
      <c r="E39" s="1"/>
    </row>
    <row r="40">
      <c r="A40" s="1"/>
      <c r="B40" s="1"/>
      <c r="C40" s="2"/>
      <c r="D40" s="1"/>
      <c r="E40" s="1"/>
    </row>
    <row r="41">
      <c r="A41" s="1"/>
      <c r="B41" s="1"/>
      <c r="C41" s="2"/>
      <c r="D41" s="1"/>
      <c r="E41" s="1"/>
    </row>
    <row r="42">
      <c r="A42" s="1"/>
      <c r="B42" s="1"/>
      <c r="C42" s="2"/>
      <c r="D42" s="1"/>
      <c r="E42" s="1"/>
    </row>
    <row r="43">
      <c r="A43" s="1"/>
      <c r="B43" s="1"/>
      <c r="C43" s="2"/>
      <c r="D43" s="1"/>
      <c r="E43" s="1"/>
    </row>
    <row r="44">
      <c r="A44" s="1"/>
      <c r="B44" s="1"/>
      <c r="C44" s="2"/>
      <c r="D44" s="1"/>
      <c r="E44" s="1"/>
    </row>
    <row r="45">
      <c r="A45" s="1"/>
      <c r="B45" s="1"/>
      <c r="C45" s="2"/>
      <c r="D45" s="1"/>
      <c r="E45" s="1"/>
    </row>
    <row r="46">
      <c r="A46" s="1"/>
      <c r="B46" s="1"/>
      <c r="C46" s="2"/>
      <c r="D46" s="1"/>
      <c r="E46" s="1"/>
    </row>
    <row r="47">
      <c r="A47" s="1"/>
      <c r="B47" s="1"/>
      <c r="C47" s="2"/>
      <c r="D47" s="1"/>
      <c r="E47" s="1"/>
    </row>
    <row r="48">
      <c r="A48" s="1"/>
      <c r="B48" s="1"/>
      <c r="C48" s="2"/>
      <c r="D48" s="1"/>
      <c r="E48" s="1"/>
    </row>
    <row r="49">
      <c r="A49" s="1"/>
      <c r="B49" s="1"/>
      <c r="C49" s="2"/>
      <c r="D49" s="1"/>
      <c r="E49" s="1"/>
    </row>
    <row r="50">
      <c r="A50" s="1"/>
      <c r="B50" s="1"/>
      <c r="C50" s="2"/>
      <c r="D50" s="1"/>
      <c r="E50" s="1"/>
    </row>
    <row r="51">
      <c r="A51" s="1"/>
      <c r="B51" s="1"/>
      <c r="C51" s="2"/>
      <c r="D51" s="1"/>
      <c r="E51" s="1"/>
    </row>
    <row r="52">
      <c r="A52" s="1"/>
      <c r="B52" s="1"/>
      <c r="C52" s="2"/>
      <c r="D52" s="1"/>
      <c r="E52" s="1"/>
    </row>
    <row r="53">
      <c r="A53" s="1"/>
      <c r="B53" s="1"/>
      <c r="C53" s="2"/>
      <c r="D53" s="1"/>
      <c r="E53" s="1"/>
    </row>
    <row r="54">
      <c r="A54" s="1"/>
      <c r="B54" s="1"/>
      <c r="C54" s="2"/>
      <c r="D54" s="1"/>
      <c r="E54" s="1"/>
    </row>
    <row r="55">
      <c r="A55" s="1"/>
      <c r="B55" s="1"/>
      <c r="C55" s="2"/>
      <c r="D55" s="1"/>
      <c r="E55" s="1"/>
    </row>
    <row r="56">
      <c r="A56" s="1"/>
      <c r="B56" s="1"/>
      <c r="C56" s="2"/>
      <c r="D56" s="1"/>
      <c r="E56" s="1"/>
    </row>
    <row r="57">
      <c r="A57" s="1"/>
      <c r="B57" s="1"/>
      <c r="C57" s="2"/>
      <c r="D57" s="1"/>
      <c r="E57" s="1"/>
    </row>
    <row r="58">
      <c r="A58" s="1"/>
      <c r="B58" s="1"/>
      <c r="C58" s="2"/>
      <c r="D58" s="1"/>
      <c r="E58" s="1"/>
    </row>
    <row r="59">
      <c r="A59" s="1"/>
      <c r="B59" s="1"/>
      <c r="C59" s="2"/>
      <c r="D59" s="1"/>
      <c r="E59" s="1"/>
    </row>
    <row r="60">
      <c r="A60" s="1"/>
      <c r="B60" s="1"/>
      <c r="C60" s="2"/>
      <c r="D60" s="1"/>
      <c r="E60" s="1"/>
    </row>
    <row r="61">
      <c r="A61" s="1"/>
      <c r="B61" s="1"/>
      <c r="C61" s="2"/>
      <c r="D61" s="1"/>
      <c r="E61" s="1"/>
    </row>
    <row r="62">
      <c r="A62" s="1"/>
      <c r="B62" s="1"/>
      <c r="C62" s="2"/>
      <c r="D62" s="1"/>
      <c r="E62" s="1"/>
    </row>
    <row r="63">
      <c r="A63" s="1"/>
      <c r="B63" s="1"/>
      <c r="C63" s="2"/>
      <c r="D63" s="1"/>
      <c r="E63" s="1"/>
    </row>
    <row r="64">
      <c r="A64" s="1"/>
      <c r="B64" s="1"/>
      <c r="C64" s="2"/>
      <c r="D64" s="1"/>
      <c r="E64" s="1"/>
    </row>
    <row r="65">
      <c r="A65" s="1"/>
      <c r="B65" s="1"/>
      <c r="C65" s="2"/>
      <c r="D65" s="1"/>
      <c r="E65" s="1"/>
    </row>
    <row r="66">
      <c r="A66" s="1"/>
      <c r="B66" s="1"/>
      <c r="C66" s="2"/>
      <c r="D66" s="1"/>
      <c r="E66" s="1"/>
    </row>
    <row r="67">
      <c r="A67" s="1"/>
      <c r="B67" s="1"/>
      <c r="C67" s="2"/>
      <c r="D67" s="1"/>
      <c r="E67" s="1"/>
    </row>
    <row r="68">
      <c r="A68" s="1"/>
      <c r="B68" s="1"/>
      <c r="C68" s="2"/>
      <c r="D68" s="1"/>
      <c r="E68" s="1"/>
    </row>
    <row r="69">
      <c r="A69" s="1"/>
      <c r="B69" s="1"/>
      <c r="C69" s="2"/>
      <c r="D69" s="1"/>
      <c r="E69" s="1"/>
    </row>
    <row r="70">
      <c r="A70" s="1"/>
      <c r="B70" s="1"/>
      <c r="C70" s="2"/>
      <c r="D70" s="1"/>
      <c r="E70" s="1"/>
    </row>
    <row r="71">
      <c r="A71" s="1"/>
      <c r="B71" s="1"/>
      <c r="C71" s="2"/>
      <c r="D71" s="1"/>
      <c r="E71" s="1"/>
    </row>
    <row r="72">
      <c r="A72" s="1"/>
      <c r="B72" s="1"/>
      <c r="C72" s="2"/>
      <c r="D72" s="1"/>
      <c r="E72" s="1"/>
    </row>
    <row r="73">
      <c r="A73" s="1"/>
      <c r="B73" s="1"/>
      <c r="C73" s="2"/>
      <c r="D73" s="1"/>
      <c r="E73" s="1"/>
    </row>
    <row r="74">
      <c r="A74" s="1"/>
      <c r="B74" s="1"/>
      <c r="C74" s="2"/>
      <c r="D74" s="1"/>
      <c r="E74" s="1"/>
    </row>
    <row r="75">
      <c r="A75" s="1"/>
      <c r="B75" s="1"/>
      <c r="C75" s="2"/>
      <c r="D75" s="1"/>
      <c r="E75" s="1"/>
    </row>
    <row r="76">
      <c r="A76" s="1"/>
      <c r="B76" s="1"/>
      <c r="C76" s="2"/>
      <c r="D76" s="1"/>
      <c r="E76" s="1"/>
    </row>
    <row r="77">
      <c r="A77" s="1"/>
      <c r="B77" s="1"/>
      <c r="C77" s="2"/>
      <c r="D77" s="1"/>
      <c r="E77" s="1"/>
    </row>
    <row r="78">
      <c r="A78" s="1"/>
      <c r="B78" s="1"/>
      <c r="C78" s="2"/>
      <c r="D78" s="1"/>
      <c r="E78" s="1"/>
    </row>
    <row r="79">
      <c r="A79" s="1"/>
      <c r="B79" s="1"/>
      <c r="C79" s="2"/>
      <c r="D79" s="1"/>
      <c r="E79" s="1"/>
    </row>
    <row r="80">
      <c r="A80" s="1"/>
      <c r="B80" s="1"/>
      <c r="C80" s="2"/>
      <c r="D80" s="1"/>
      <c r="E80" s="1"/>
    </row>
    <row r="81">
      <c r="A81" s="1"/>
      <c r="B81" s="1"/>
      <c r="C81" s="2"/>
      <c r="D81" s="1"/>
      <c r="E81" s="1"/>
    </row>
    <row r="82">
      <c r="A82" s="1"/>
      <c r="B82" s="1"/>
      <c r="C82" s="2"/>
      <c r="D82" s="1"/>
      <c r="E82" s="1"/>
    </row>
    <row r="83">
      <c r="A83" s="1"/>
      <c r="B83" s="1"/>
      <c r="C83" s="2"/>
      <c r="D83" s="1"/>
      <c r="E83" s="1"/>
    </row>
    <row r="84">
      <c r="A84" s="1"/>
      <c r="B84" s="1"/>
      <c r="C84" s="2"/>
      <c r="D84" s="1"/>
      <c r="E84" s="1"/>
    </row>
    <row r="85">
      <c r="A85" s="1"/>
      <c r="B85" s="1"/>
      <c r="C85" s="2"/>
      <c r="D85" s="1"/>
      <c r="E85" s="1"/>
    </row>
    <row r="86">
      <c r="A86" s="1"/>
      <c r="B86" s="1"/>
      <c r="C86" s="2"/>
      <c r="D86" s="1"/>
      <c r="E86" s="1"/>
    </row>
    <row r="87">
      <c r="A87" s="1"/>
      <c r="B87" s="1"/>
      <c r="C87" s="2"/>
      <c r="D87" s="1"/>
      <c r="E87" s="1"/>
    </row>
    <row r="88">
      <c r="A88" s="1"/>
      <c r="B88" s="1"/>
      <c r="C88" s="2"/>
      <c r="D88" s="1"/>
      <c r="E88" s="1"/>
    </row>
    <row r="89">
      <c r="A89" s="1"/>
      <c r="B89" s="1"/>
      <c r="C89" s="2"/>
      <c r="D89" s="1"/>
      <c r="E89" s="1"/>
    </row>
    <row r="90">
      <c r="A90" s="1"/>
      <c r="B90" s="1"/>
      <c r="C90" s="2"/>
      <c r="D90" s="1"/>
      <c r="E90" s="1"/>
    </row>
    <row r="91">
      <c r="A91" s="1"/>
      <c r="B91" s="1"/>
      <c r="C91" s="2"/>
      <c r="D91" s="1"/>
      <c r="E91" s="1"/>
    </row>
    <row r="92">
      <c r="A92" s="1"/>
      <c r="B92" s="1"/>
      <c r="C92" s="2"/>
      <c r="D92" s="1"/>
      <c r="E92" s="1"/>
    </row>
    <row r="93">
      <c r="A93" s="1"/>
      <c r="B93" s="1"/>
      <c r="C93" s="2"/>
      <c r="D93" s="1"/>
      <c r="E93" s="1"/>
    </row>
    <row r="94">
      <c r="A94" s="1"/>
      <c r="B94" s="1"/>
      <c r="C94" s="2"/>
      <c r="D94" s="1"/>
      <c r="E94" s="1"/>
    </row>
    <row r="95">
      <c r="A95" s="1"/>
      <c r="B95" s="1"/>
      <c r="C95" s="2"/>
      <c r="D95" s="1"/>
      <c r="E95" s="1"/>
    </row>
    <row r="96">
      <c r="A96" s="1"/>
      <c r="B96" s="1"/>
      <c r="C96" s="2"/>
      <c r="D96" s="1"/>
      <c r="E96" s="1"/>
    </row>
    <row r="97">
      <c r="A97" s="1"/>
      <c r="B97" s="1"/>
      <c r="C97" s="2"/>
      <c r="D97" s="1"/>
      <c r="E97" s="1"/>
    </row>
    <row r="98">
      <c r="A98" s="1"/>
      <c r="B98" s="1"/>
      <c r="C98" s="2"/>
      <c r="D98" s="1"/>
      <c r="E98" s="1"/>
    </row>
    <row r="99">
      <c r="A99" s="1"/>
      <c r="B99" s="1"/>
      <c r="C99" s="2"/>
      <c r="D99" s="1"/>
      <c r="E99" s="1"/>
    </row>
    <row r="100">
      <c r="A100" s="1"/>
      <c r="B100" s="1"/>
      <c r="C100" s="2"/>
      <c r="D100" s="1"/>
      <c r="E100" s="1"/>
    </row>
    <row r="101">
      <c r="A101" s="1"/>
      <c r="B101" s="1"/>
      <c r="C101" s="2"/>
      <c r="D101" s="1"/>
      <c r="E101" s="1"/>
    </row>
    <row r="102">
      <c r="A102" s="1"/>
      <c r="B102" s="1"/>
      <c r="C102" s="2"/>
      <c r="D102" s="1"/>
      <c r="E102" s="1"/>
    </row>
    <row r="103">
      <c r="A103" s="1"/>
      <c r="B103" s="1"/>
      <c r="C103" s="2"/>
      <c r="D103" s="1"/>
      <c r="E103" s="1"/>
    </row>
    <row r="104">
      <c r="A104" s="1"/>
      <c r="B104" s="1"/>
      <c r="C104" s="2"/>
      <c r="D104" s="1"/>
      <c r="E104" s="1"/>
    </row>
    <row r="105">
      <c r="A105" s="1"/>
      <c r="B105" s="1"/>
      <c r="C105" s="2"/>
      <c r="D105" s="1"/>
      <c r="E105" s="1"/>
    </row>
    <row r="106">
      <c r="A106" s="1"/>
      <c r="B106" s="1"/>
      <c r="C106" s="2"/>
      <c r="D106" s="1"/>
      <c r="E106" s="1"/>
    </row>
    <row r="107">
      <c r="A107" s="1"/>
      <c r="B107" s="1"/>
      <c r="C107" s="2"/>
      <c r="D107" s="1"/>
      <c r="E107" s="1"/>
    </row>
    <row r="108">
      <c r="A108" s="1"/>
      <c r="B108" s="1"/>
      <c r="C108" s="2"/>
      <c r="D108" s="1"/>
      <c r="E108" s="1"/>
    </row>
    <row r="109">
      <c r="A109" s="1"/>
      <c r="B109" s="1"/>
      <c r="C109" s="2"/>
      <c r="D109" s="1"/>
      <c r="E109" s="1"/>
    </row>
    <row r="110">
      <c r="A110" s="1"/>
      <c r="B110" s="1"/>
      <c r="C110" s="2"/>
      <c r="D110" s="1"/>
      <c r="E110" s="1"/>
    </row>
    <row r="111">
      <c r="A111" s="1"/>
      <c r="B111" s="1"/>
      <c r="C111" s="2"/>
      <c r="D111" s="1"/>
      <c r="E111" s="1"/>
    </row>
    <row r="112">
      <c r="A112" s="1"/>
      <c r="B112" s="1"/>
      <c r="C112" s="2"/>
      <c r="D112" s="1"/>
      <c r="E112" s="1"/>
    </row>
    <row r="113">
      <c r="A113" s="1"/>
      <c r="B113" s="1"/>
      <c r="C113" s="2"/>
      <c r="D113" s="1"/>
      <c r="E113" s="1"/>
    </row>
    <row r="114">
      <c r="A114" s="1"/>
      <c r="B114" s="1"/>
      <c r="C114" s="2"/>
      <c r="D114" s="1"/>
      <c r="E114" s="1"/>
    </row>
    <row r="115">
      <c r="A115" s="1"/>
      <c r="B115" s="1"/>
      <c r="C115" s="2"/>
      <c r="D115" s="1"/>
      <c r="E115" s="1"/>
    </row>
    <row r="116">
      <c r="A116" s="1"/>
      <c r="B116" s="1"/>
      <c r="C116" s="2"/>
      <c r="D116" s="1"/>
      <c r="E116" s="1"/>
    </row>
    <row r="117">
      <c r="A117" s="1"/>
      <c r="B117" s="1"/>
      <c r="C117" s="2"/>
      <c r="D117" s="1"/>
      <c r="E117" s="1"/>
    </row>
    <row r="118">
      <c r="A118" s="1"/>
      <c r="B118" s="1"/>
      <c r="C118" s="2"/>
      <c r="D118" s="1"/>
      <c r="E118" s="1"/>
    </row>
    <row r="119">
      <c r="A119" s="1"/>
      <c r="B119" s="1"/>
      <c r="C119" s="2"/>
      <c r="D119" s="1"/>
      <c r="E119" s="1"/>
    </row>
    <row r="120">
      <c r="A120" s="1"/>
      <c r="B120" s="1"/>
      <c r="C120" s="2"/>
      <c r="D120" s="1"/>
      <c r="E120" s="1"/>
    </row>
    <row r="121">
      <c r="A121" s="1"/>
      <c r="B121" s="1"/>
      <c r="C121" s="2"/>
      <c r="D121" s="1"/>
      <c r="E121" s="1"/>
    </row>
    <row r="122">
      <c r="A122" s="1"/>
      <c r="B122" s="1"/>
      <c r="C122" s="2"/>
      <c r="D122" s="1"/>
      <c r="E122" s="1"/>
    </row>
    <row r="123">
      <c r="A123" s="1"/>
      <c r="B123" s="1"/>
      <c r="C123" s="2"/>
      <c r="D123" s="1"/>
      <c r="E123" s="1"/>
    </row>
    <row r="124">
      <c r="A124" s="1"/>
      <c r="B124" s="1"/>
      <c r="C124" s="2"/>
      <c r="D124" s="1"/>
      <c r="E124" s="1"/>
    </row>
    <row r="125">
      <c r="A125" s="1"/>
      <c r="B125" s="1"/>
      <c r="C125" s="2"/>
      <c r="D125" s="1"/>
      <c r="E125" s="1"/>
    </row>
    <row r="126">
      <c r="A126" s="1"/>
      <c r="B126" s="1"/>
      <c r="C126" s="2"/>
      <c r="D126" s="1"/>
      <c r="E126" s="1"/>
    </row>
    <row r="127">
      <c r="A127" s="1"/>
      <c r="B127" s="1"/>
      <c r="C127" s="2"/>
      <c r="D127" s="1"/>
      <c r="E127" s="1"/>
    </row>
    <row r="128">
      <c r="A128" s="1"/>
      <c r="B128" s="1"/>
      <c r="C128" s="2"/>
      <c r="D128" s="1"/>
      <c r="E128" s="1"/>
    </row>
    <row r="129">
      <c r="A129" s="1"/>
      <c r="B129" s="1"/>
      <c r="C129" s="2"/>
      <c r="D129" s="1"/>
      <c r="E129" s="1"/>
    </row>
    <row r="130">
      <c r="A130" s="1"/>
      <c r="B130" s="1"/>
      <c r="C130" s="2"/>
      <c r="D130" s="1"/>
      <c r="E130" s="1"/>
    </row>
    <row r="131">
      <c r="A131" s="1"/>
      <c r="B131" s="1"/>
      <c r="C131" s="2"/>
      <c r="D131" s="1"/>
      <c r="E131" s="1"/>
    </row>
    <row r="132">
      <c r="A132" s="1"/>
      <c r="B132" s="1"/>
      <c r="C132" s="2"/>
      <c r="D132" s="1"/>
      <c r="E132" s="1"/>
    </row>
    <row r="133">
      <c r="A133" s="1"/>
      <c r="B133" s="1"/>
      <c r="C133" s="2"/>
      <c r="D133" s="1"/>
      <c r="E133" s="1"/>
    </row>
    <row r="134">
      <c r="A134" s="1"/>
      <c r="B134" s="1"/>
      <c r="C134" s="2"/>
      <c r="D134" s="1"/>
      <c r="E134" s="1"/>
    </row>
    <row r="135">
      <c r="A135" s="1"/>
      <c r="B135" s="1"/>
      <c r="C135" s="2"/>
      <c r="D135" s="1"/>
      <c r="E135" s="1"/>
    </row>
    <row r="136">
      <c r="A136" s="1"/>
      <c r="B136" s="1"/>
      <c r="C136" s="2"/>
      <c r="D136" s="1"/>
      <c r="E136" s="1"/>
    </row>
    <row r="137">
      <c r="A137" s="1"/>
      <c r="B137" s="1"/>
      <c r="C137" s="2"/>
      <c r="D137" s="1"/>
      <c r="E137" s="1"/>
    </row>
    <row r="138">
      <c r="A138" s="1"/>
      <c r="B138" s="1"/>
      <c r="C138" s="2"/>
      <c r="D138" s="1"/>
      <c r="E138" s="1"/>
    </row>
    <row r="139">
      <c r="A139" s="1"/>
      <c r="B139" s="1"/>
      <c r="C139" s="2"/>
      <c r="D139" s="1"/>
      <c r="E139" s="1"/>
    </row>
    <row r="140">
      <c r="A140" s="1"/>
      <c r="B140" s="1"/>
      <c r="C140" s="2"/>
      <c r="D140" s="1"/>
      <c r="E140" s="1"/>
    </row>
    <row r="141">
      <c r="A141" s="1"/>
      <c r="B141" s="1"/>
      <c r="C141" s="2"/>
      <c r="D141" s="1"/>
      <c r="E141" s="1"/>
    </row>
    <row r="142">
      <c r="A142" s="1"/>
      <c r="B142" s="1"/>
      <c r="C142" s="2"/>
      <c r="D142" s="1"/>
      <c r="E142" s="1"/>
    </row>
    <row r="143">
      <c r="A143" s="1"/>
      <c r="B143" s="1"/>
      <c r="C143" s="2"/>
      <c r="D143" s="1"/>
      <c r="E143" s="1"/>
    </row>
    <row r="144">
      <c r="A144" s="1"/>
      <c r="B144" s="1"/>
      <c r="C144" s="2"/>
      <c r="D144" s="1"/>
      <c r="E144" s="1"/>
    </row>
    <row r="145">
      <c r="A145" s="1"/>
      <c r="B145" s="1"/>
      <c r="C145" s="2"/>
      <c r="D145" s="1"/>
      <c r="E145" s="1"/>
    </row>
    <row r="146">
      <c r="A146" s="1"/>
      <c r="B146" s="1"/>
      <c r="C146" s="2"/>
      <c r="D146" s="1"/>
      <c r="E146" s="1"/>
    </row>
    <row r="147">
      <c r="A147" s="1"/>
      <c r="B147" s="1"/>
      <c r="C147" s="2"/>
      <c r="D147" s="1"/>
      <c r="E147" s="1"/>
    </row>
    <row r="148">
      <c r="A148" s="1"/>
      <c r="B148" s="1"/>
      <c r="C148" s="2"/>
      <c r="D148" s="1"/>
      <c r="E148" s="1"/>
    </row>
    <row r="149">
      <c r="A149" s="1"/>
      <c r="B149" s="1"/>
      <c r="C149" s="2"/>
      <c r="D149" s="1"/>
      <c r="E149" s="1"/>
    </row>
    <row r="150">
      <c r="A150" s="1"/>
      <c r="B150" s="1"/>
      <c r="C150" s="2"/>
      <c r="D150" s="1"/>
      <c r="E150" s="1"/>
    </row>
    <row r="151">
      <c r="A151" s="1"/>
      <c r="B151" s="1"/>
      <c r="C151" s="2"/>
      <c r="D151" s="1"/>
      <c r="E151" s="1"/>
    </row>
    <row r="152">
      <c r="A152" s="1"/>
      <c r="B152" s="1"/>
      <c r="C152" s="2"/>
      <c r="D152" s="1"/>
      <c r="E152" s="1"/>
    </row>
    <row r="153">
      <c r="A153" s="1"/>
      <c r="B153" s="1"/>
      <c r="C153" s="2"/>
      <c r="D153" s="1"/>
      <c r="E153" s="1"/>
    </row>
    <row r="154">
      <c r="A154" s="1"/>
      <c r="B154" s="1"/>
      <c r="C154" s="2"/>
      <c r="D154" s="1"/>
      <c r="E154" s="1"/>
    </row>
    <row r="155">
      <c r="A155" s="1"/>
      <c r="B155" s="1"/>
      <c r="C155" s="2"/>
      <c r="D155" s="1"/>
      <c r="E155" s="1"/>
    </row>
    <row r="156">
      <c r="A156" s="1"/>
      <c r="B156" s="1"/>
      <c r="C156" s="2"/>
      <c r="D156" s="1"/>
      <c r="E156" s="1"/>
    </row>
    <row r="157">
      <c r="A157" s="1"/>
      <c r="B157" s="1"/>
      <c r="C157" s="2"/>
      <c r="D157" s="1"/>
      <c r="E157" s="1"/>
    </row>
    <row r="158">
      <c r="A158" s="1"/>
      <c r="B158" s="1"/>
      <c r="C158" s="2"/>
      <c r="D158" s="1"/>
      <c r="E158" s="1"/>
    </row>
    <row r="159">
      <c r="A159" s="1"/>
      <c r="B159" s="1"/>
      <c r="C159" s="2"/>
      <c r="D159" s="1"/>
      <c r="E159" s="1"/>
    </row>
    <row r="160">
      <c r="A160" s="1"/>
      <c r="B160" s="1"/>
      <c r="C160" s="2"/>
      <c r="D160" s="1"/>
      <c r="E160" s="1"/>
    </row>
    <row r="161">
      <c r="A161" s="1"/>
      <c r="B161" s="1"/>
      <c r="C161" s="2"/>
      <c r="D161" s="1"/>
      <c r="E161" s="1"/>
    </row>
    <row r="162">
      <c r="A162" s="1"/>
      <c r="B162" s="1"/>
      <c r="C162" s="2"/>
      <c r="D162" s="1"/>
      <c r="E162" s="1"/>
    </row>
    <row r="163">
      <c r="A163" s="1"/>
      <c r="B163" s="1"/>
      <c r="C163" s="2"/>
      <c r="D163" s="1"/>
      <c r="E163" s="1"/>
    </row>
    <row r="164">
      <c r="A164" s="1"/>
      <c r="B164" s="1"/>
      <c r="C164" s="2"/>
      <c r="D164" s="1"/>
      <c r="E164" s="1"/>
    </row>
    <row r="165">
      <c r="A165" s="1"/>
      <c r="B165" s="1"/>
      <c r="C165" s="2"/>
      <c r="D165" s="1"/>
      <c r="E165" s="1"/>
    </row>
    <row r="166">
      <c r="A166" s="1"/>
      <c r="B166" s="1"/>
      <c r="C166" s="2"/>
      <c r="D166" s="1"/>
      <c r="E166" s="1"/>
    </row>
    <row r="167">
      <c r="A167" s="1"/>
      <c r="B167" s="1"/>
      <c r="C167" s="2"/>
      <c r="D167" s="1"/>
      <c r="E167" s="1"/>
    </row>
    <row r="168">
      <c r="A168" s="1"/>
      <c r="B168" s="1"/>
      <c r="C168" s="2"/>
      <c r="D168" s="1"/>
      <c r="E168" s="1"/>
    </row>
    <row r="169">
      <c r="A169" s="1"/>
      <c r="B169" s="1"/>
      <c r="C169" s="2"/>
      <c r="D169" s="1"/>
      <c r="E169" s="1"/>
    </row>
    <row r="170">
      <c r="A170" s="1"/>
      <c r="B170" s="1"/>
      <c r="C170" s="2"/>
      <c r="D170" s="1"/>
      <c r="E170" s="1"/>
    </row>
    <row r="171">
      <c r="A171" s="1"/>
      <c r="B171" s="1"/>
      <c r="C171" s="2"/>
      <c r="D171" s="1"/>
      <c r="E171" s="1"/>
    </row>
    <row r="172">
      <c r="A172" s="1"/>
      <c r="B172" s="1"/>
      <c r="C172" s="2"/>
      <c r="D172" s="1"/>
      <c r="E172" s="1"/>
    </row>
    <row r="173">
      <c r="A173" s="1"/>
      <c r="B173" s="1"/>
      <c r="C173" s="2"/>
      <c r="D173" s="1"/>
      <c r="E173" s="1"/>
    </row>
    <row r="174">
      <c r="A174" s="1"/>
      <c r="B174" s="1"/>
      <c r="C174" s="2"/>
      <c r="D174" s="1"/>
      <c r="E174" s="1"/>
    </row>
    <row r="175">
      <c r="A175" s="1"/>
      <c r="B175" s="1"/>
      <c r="C175" s="2"/>
      <c r="D175" s="1"/>
      <c r="E175" s="1"/>
    </row>
    <row r="176">
      <c r="A176" s="1"/>
      <c r="B176" s="1"/>
      <c r="C176" s="2"/>
      <c r="D176" s="1"/>
      <c r="E176" s="1"/>
    </row>
    <row r="177">
      <c r="A177" s="1"/>
      <c r="B177" s="1"/>
      <c r="C177" s="2"/>
      <c r="D177" s="1"/>
      <c r="E177" s="1"/>
    </row>
    <row r="178">
      <c r="A178" s="1"/>
      <c r="B178" s="1"/>
      <c r="C178" s="2"/>
      <c r="D178" s="1"/>
      <c r="E178" s="1"/>
    </row>
    <row r="179">
      <c r="A179" s="1"/>
      <c r="B179" s="1"/>
      <c r="C179" s="2"/>
      <c r="D179" s="1"/>
      <c r="E179" s="1"/>
    </row>
    <row r="180">
      <c r="A180" s="1"/>
      <c r="B180" s="1"/>
      <c r="C180" s="2"/>
      <c r="D180" s="1"/>
      <c r="E180" s="1"/>
    </row>
    <row r="181">
      <c r="A181" s="1"/>
      <c r="B181" s="1"/>
      <c r="C181" s="2"/>
      <c r="D181" s="1"/>
      <c r="E181" s="1"/>
    </row>
    <row r="182">
      <c r="A182" s="1"/>
      <c r="B182" s="1"/>
      <c r="C182" s="2"/>
      <c r="D182" s="1"/>
      <c r="E182" s="1"/>
    </row>
    <row r="183">
      <c r="A183" s="1"/>
      <c r="B183" s="1"/>
      <c r="C183" s="2"/>
      <c r="D183" s="1"/>
      <c r="E183" s="1"/>
    </row>
    <row r="184">
      <c r="A184" s="1"/>
      <c r="B184" s="1"/>
      <c r="C184" s="2"/>
      <c r="D184" s="1"/>
      <c r="E184" s="1"/>
    </row>
    <row r="185">
      <c r="A185" s="1"/>
      <c r="B185" s="1"/>
      <c r="C185" s="2"/>
      <c r="D185" s="1"/>
      <c r="E185" s="1"/>
    </row>
    <row r="186">
      <c r="A186" s="1"/>
      <c r="B186" s="1"/>
      <c r="C186" s="2"/>
      <c r="D186" s="1"/>
      <c r="E186" s="1"/>
    </row>
    <row r="187">
      <c r="A187" s="1"/>
      <c r="B187" s="1"/>
      <c r="C187" s="2"/>
      <c r="D187" s="1"/>
      <c r="E187" s="1"/>
    </row>
    <row r="188">
      <c r="A188" s="1"/>
      <c r="B188" s="1"/>
      <c r="C188" s="2"/>
      <c r="D188" s="1"/>
      <c r="E188" s="1"/>
    </row>
    <row r="189">
      <c r="A189" s="1"/>
      <c r="B189" s="1"/>
      <c r="C189" s="2"/>
      <c r="D189" s="1"/>
      <c r="E189" s="1"/>
    </row>
    <row r="190">
      <c r="A190" s="1"/>
      <c r="B190" s="1"/>
      <c r="C190" s="2"/>
      <c r="D190" s="1"/>
      <c r="E190" s="1"/>
    </row>
    <row r="191">
      <c r="A191" s="1"/>
      <c r="B191" s="1"/>
      <c r="C191" s="2"/>
      <c r="D191" s="1"/>
      <c r="E191" s="1"/>
    </row>
    <row r="192">
      <c r="A192" s="1"/>
      <c r="B192" s="1"/>
      <c r="C192" s="2"/>
      <c r="D192" s="1"/>
      <c r="E192" s="1"/>
    </row>
    <row r="193">
      <c r="A193" s="1"/>
      <c r="B193" s="1"/>
      <c r="C193" s="2"/>
      <c r="D193" s="1"/>
      <c r="E193" s="1"/>
    </row>
    <row r="194">
      <c r="A194" s="1"/>
      <c r="B194" s="1"/>
      <c r="C194" s="2"/>
      <c r="D194" s="1"/>
      <c r="E194" s="1"/>
    </row>
    <row r="195">
      <c r="A195" s="1"/>
      <c r="B195" s="1"/>
      <c r="C195" s="2"/>
      <c r="D195" s="1"/>
      <c r="E195" s="1"/>
    </row>
    <row r="196">
      <c r="A196" s="1"/>
      <c r="B196" s="1"/>
      <c r="C196" s="2"/>
      <c r="D196" s="1"/>
      <c r="E196" s="1"/>
    </row>
    <row r="197">
      <c r="A197" s="1"/>
      <c r="B197" s="1"/>
      <c r="C197" s="2"/>
      <c r="D197" s="1"/>
      <c r="E197" s="1"/>
    </row>
    <row r="198">
      <c r="A198" s="1"/>
      <c r="B198" s="1"/>
      <c r="C198" s="2"/>
      <c r="D198" s="1"/>
      <c r="E198" s="1"/>
    </row>
    <row r="199">
      <c r="A199" s="1"/>
      <c r="B199" s="1"/>
      <c r="C199" s="2"/>
      <c r="D199" s="1"/>
      <c r="E199" s="1"/>
    </row>
    <row r="200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Hyperlinks="0" deleteColumns="0" pivotTables="0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20" customWidth="1"/>
    <col min="5" max="5" width="12" customWidth="1"/>
    <col min="6" max="6" width="14" customWidth="1"/>
    <col min="7" max="7" width="22" customWidth="1"/>
  </cols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1" t="s">
        <v>349</v>
      </c>
      <c r="B2" s="2" t="s">
        <v>214</v>
      </c>
      <c r="C2" s="2" t="s">
        <v>95</v>
      </c>
      <c r="D2" s="2"/>
      <c r="E2" s="2" t="s">
        <v>111</v>
      </c>
      <c r="F2" s="2">
        <v>1</v>
      </c>
      <c r="G2" s="2" t="s">
        <v>350</v>
      </c>
    </row>
    <row r="3">
      <c r="A3" s="1" t="s">
        <v>351</v>
      </c>
      <c r="B3" s="2" t="s">
        <v>215</v>
      </c>
      <c r="C3" s="2" t="s">
        <v>95</v>
      </c>
      <c r="D3" s="2"/>
      <c r="E3" s="2" t="s">
        <v>111</v>
      </c>
      <c r="F3" s="2">
        <v>2</v>
      </c>
      <c r="G3" s="2" t="s">
        <v>352</v>
      </c>
    </row>
    <row r="4">
      <c r="A4" s="1" t="s">
        <v>353</v>
      </c>
      <c r="B4" s="2" t="s">
        <v>354</v>
      </c>
      <c r="C4" s="2" t="s">
        <v>96</v>
      </c>
      <c r="D4" s="2"/>
      <c r="E4" s="2" t="s">
        <v>111</v>
      </c>
      <c r="F4" s="2">
        <v>3</v>
      </c>
      <c r="G4" s="2" t="s">
        <v>355</v>
      </c>
    </row>
    <row r="5">
      <c r="A5" s="1" t="s">
        <v>356</v>
      </c>
      <c r="B5" s="2" t="s">
        <v>357</v>
      </c>
      <c r="C5" s="2" t="s">
        <v>96</v>
      </c>
      <c r="D5" s="2"/>
      <c r="E5" s="2" t="s">
        <v>111</v>
      </c>
      <c r="F5" s="2">
        <v>4</v>
      </c>
      <c r="G5" s="2" t="s">
        <v>358</v>
      </c>
    </row>
    <row r="6">
      <c r="A6" s="1"/>
      <c r="B6" s="2"/>
      <c r="C6" s="2"/>
      <c r="D6" s="2"/>
      <c r="E6" s="2"/>
      <c r="F6" s="2"/>
      <c r="G6" s="2"/>
    </row>
    <row r="7">
      <c r="A7" s="1"/>
      <c r="B7" s="2"/>
      <c r="C7" s="2"/>
      <c r="D7" s="2"/>
      <c r="E7" s="2"/>
      <c r="F7" s="2"/>
      <c r="G7" s="2"/>
    </row>
    <row r="8">
      <c r="A8" s="1"/>
      <c r="B8" s="2"/>
      <c r="C8" s="2"/>
      <c r="D8" s="2"/>
      <c r="E8" s="2"/>
      <c r="F8" s="2"/>
      <c r="G8" s="2"/>
    </row>
    <row r="9">
      <c r="A9" s="1"/>
      <c r="B9" s="2"/>
      <c r="C9" s="2"/>
      <c r="D9" s="2"/>
      <c r="E9" s="2"/>
      <c r="F9" s="2"/>
      <c r="G9" s="2"/>
    </row>
    <row r="10">
      <c r="A10" s="1"/>
      <c r="B10" s="2"/>
      <c r="C10" s="2"/>
      <c r="D10" s="2"/>
      <c r="E10" s="2"/>
      <c r="F10" s="2"/>
      <c r="G10" s="2"/>
    </row>
    <row r="11">
      <c r="A11" s="1"/>
      <c r="B11" s="2"/>
      <c r="C11" s="2"/>
      <c r="D11" s="2"/>
      <c r="E11" s="2"/>
      <c r="F11" s="2"/>
      <c r="G11" s="2"/>
    </row>
    <row r="12">
      <c r="A12" s="1"/>
      <c r="B12" s="2"/>
      <c r="C12" s="2"/>
      <c r="D12" s="2"/>
      <c r="E12" s="2"/>
      <c r="F12" s="2"/>
      <c r="G12" s="2"/>
    </row>
    <row r="13">
      <c r="A13" s="1"/>
      <c r="B13" s="2"/>
      <c r="C13" s="2"/>
      <c r="D13" s="2"/>
      <c r="E13" s="2"/>
      <c r="F13" s="2"/>
      <c r="G13" s="2"/>
    </row>
    <row r="14">
      <c r="A14" s="1"/>
      <c r="B14" s="2"/>
      <c r="C14" s="2"/>
      <c r="D14" s="2"/>
      <c r="E14" s="2"/>
      <c r="F14" s="2"/>
      <c r="G14" s="2"/>
    </row>
    <row r="15">
      <c r="A15" s="1"/>
      <c r="B15" s="2"/>
      <c r="C15" s="2"/>
      <c r="D15" s="2"/>
      <c r="E15" s="2"/>
      <c r="F15" s="2"/>
      <c r="G15" s="2"/>
    </row>
    <row r="16">
      <c r="A16" s="1"/>
      <c r="B16" s="2"/>
      <c r="C16" s="2"/>
      <c r="D16" s="2"/>
      <c r="E16" s="2"/>
      <c r="F16" s="2"/>
      <c r="G16" s="2"/>
    </row>
    <row r="17">
      <c r="A17" s="1"/>
      <c r="B17" s="2"/>
      <c r="C17" s="2"/>
      <c r="D17" s="2"/>
      <c r="E17" s="2"/>
      <c r="F17" s="2"/>
      <c r="G17" s="2"/>
    </row>
    <row r="18">
      <c r="A18" s="1"/>
      <c r="B18" s="2"/>
      <c r="C18" s="2"/>
      <c r="D18" s="2"/>
      <c r="E18" s="2"/>
      <c r="F18" s="2"/>
      <c r="G18" s="2"/>
    </row>
    <row r="19">
      <c r="A19" s="1"/>
      <c r="B19" s="2"/>
      <c r="C19" s="2"/>
      <c r="D19" s="2"/>
      <c r="E19" s="2"/>
      <c r="F19" s="2"/>
      <c r="G19" s="2"/>
    </row>
    <row r="20">
      <c r="A20" s="1"/>
      <c r="B20" s="2"/>
      <c r="C20" s="2"/>
      <c r="D20" s="2"/>
      <c r="E20" s="2"/>
      <c r="F20" s="2"/>
      <c r="G20" s="2"/>
    </row>
    <row r="21">
      <c r="A21" s="1"/>
      <c r="B21" s="2"/>
      <c r="C21" s="2"/>
      <c r="D21" s="2"/>
      <c r="E21" s="2"/>
      <c r="F21" s="2"/>
      <c r="G21" s="2"/>
    </row>
    <row r="22">
      <c r="A22" s="1"/>
      <c r="B22" s="2"/>
      <c r="C22" s="2"/>
      <c r="D22" s="2"/>
      <c r="E22" s="2"/>
      <c r="F22" s="2"/>
      <c r="G22" s="2"/>
    </row>
    <row r="23">
      <c r="A23" s="1"/>
      <c r="B23" s="2"/>
      <c r="C23" s="2"/>
      <c r="D23" s="2"/>
      <c r="E23" s="2"/>
      <c r="F23" s="2"/>
      <c r="G23" s="2"/>
    </row>
    <row r="24">
      <c r="A24" s="1"/>
      <c r="B24" s="2"/>
      <c r="C24" s="2"/>
      <c r="D24" s="2"/>
      <c r="E24" s="2"/>
      <c r="F24" s="2"/>
      <c r="G24" s="2"/>
    </row>
    <row r="25">
      <c r="A25" s="1"/>
      <c r="B25" s="2"/>
      <c r="C25" s="2"/>
      <c r="D25" s="2"/>
      <c r="E25" s="2"/>
      <c r="F25" s="2"/>
      <c r="G25" s="2"/>
    </row>
    <row r="26">
      <c r="A26" s="1"/>
      <c r="B26" s="2"/>
      <c r="C26" s="2"/>
      <c r="D26" s="2"/>
      <c r="E26" s="2"/>
      <c r="F26" s="2"/>
      <c r="G26" s="2"/>
    </row>
    <row r="27">
      <c r="A27" s="1"/>
      <c r="B27" s="2"/>
      <c r="C27" s="2"/>
      <c r="D27" s="2"/>
      <c r="E27" s="2"/>
      <c r="F27" s="2"/>
      <c r="G27" s="2"/>
    </row>
    <row r="28">
      <c r="A28" s="1"/>
      <c r="B28" s="2"/>
      <c r="C28" s="2"/>
      <c r="D28" s="2"/>
      <c r="E28" s="2"/>
      <c r="F28" s="2"/>
      <c r="G28" s="2"/>
    </row>
    <row r="29">
      <c r="A29" s="1"/>
      <c r="B29" s="2"/>
      <c r="C29" s="2"/>
      <c r="D29" s="2"/>
      <c r="E29" s="2"/>
      <c r="F29" s="2"/>
      <c r="G29" s="2"/>
    </row>
    <row r="30">
      <c r="A30" s="1"/>
      <c r="B30" s="2"/>
      <c r="C30" s="2"/>
      <c r="D30" s="2"/>
      <c r="E30" s="2"/>
      <c r="F30" s="2"/>
      <c r="G30" s="2"/>
    </row>
    <row r="31">
      <c r="A31" s="1"/>
      <c r="B31" s="2"/>
      <c r="C31" s="2"/>
      <c r="D31" s="2"/>
      <c r="E31" s="2"/>
      <c r="F31" s="2"/>
      <c r="G31" s="2"/>
    </row>
    <row r="32">
      <c r="A32" s="1"/>
      <c r="B32" s="2"/>
      <c r="C32" s="2"/>
      <c r="D32" s="2"/>
      <c r="E32" s="2"/>
      <c r="F32" s="2"/>
      <c r="G32" s="2"/>
    </row>
    <row r="33">
      <c r="A33" s="1"/>
      <c r="B33" s="2"/>
      <c r="C33" s="2"/>
      <c r="D33" s="2"/>
      <c r="E33" s="2"/>
      <c r="F33" s="2"/>
      <c r="G33" s="2"/>
    </row>
    <row r="34">
      <c r="A34" s="1"/>
      <c r="B34" s="2"/>
      <c r="C34" s="2"/>
      <c r="D34" s="2"/>
      <c r="E34" s="2"/>
      <c r="F34" s="2"/>
      <c r="G34" s="2"/>
    </row>
    <row r="35">
      <c r="A35" s="1"/>
      <c r="B35" s="2"/>
      <c r="C35" s="2"/>
      <c r="D35" s="2"/>
      <c r="E35" s="2"/>
      <c r="F35" s="2"/>
      <c r="G35" s="2"/>
    </row>
    <row r="36">
      <c r="A36" s="1"/>
      <c r="B36" s="2"/>
      <c r="C36" s="2"/>
      <c r="D36" s="2"/>
      <c r="E36" s="2"/>
      <c r="F36" s="2"/>
      <c r="G36" s="2"/>
    </row>
    <row r="37">
      <c r="A37" s="1"/>
      <c r="B37" s="2"/>
      <c r="C37" s="2"/>
      <c r="D37" s="2"/>
      <c r="E37" s="2"/>
      <c r="F37" s="2"/>
      <c r="G37" s="2"/>
    </row>
    <row r="38">
      <c r="A38" s="1"/>
      <c r="B38" s="2"/>
      <c r="C38" s="2"/>
      <c r="D38" s="2"/>
      <c r="E38" s="2"/>
      <c r="F38" s="2"/>
      <c r="G38" s="2"/>
    </row>
    <row r="39">
      <c r="A39" s="1"/>
      <c r="B39" s="2"/>
      <c r="C39" s="2"/>
      <c r="D39" s="2"/>
      <c r="E39" s="2"/>
      <c r="F39" s="2"/>
      <c r="G39" s="2"/>
    </row>
    <row r="40">
      <c r="A40" s="1"/>
      <c r="B40" s="2"/>
      <c r="C40" s="2"/>
      <c r="D40" s="2"/>
      <c r="E40" s="2"/>
      <c r="F40" s="2"/>
      <c r="G40" s="2"/>
    </row>
    <row r="41">
      <c r="A41" s="1"/>
      <c r="B41" s="2"/>
      <c r="C41" s="2"/>
      <c r="D41" s="2"/>
      <c r="E41" s="2"/>
      <c r="F41" s="2"/>
      <c r="G41" s="2"/>
    </row>
    <row r="42">
      <c r="A42" s="1"/>
      <c r="B42" s="2"/>
      <c r="C42" s="2"/>
      <c r="D42" s="2"/>
      <c r="E42" s="2"/>
      <c r="F42" s="2"/>
      <c r="G42" s="2"/>
    </row>
    <row r="43">
      <c r="A43" s="1"/>
      <c r="B43" s="2"/>
      <c r="C43" s="2"/>
      <c r="D43" s="2"/>
      <c r="E43" s="2"/>
      <c r="F43" s="2"/>
      <c r="G43" s="2"/>
    </row>
    <row r="44">
      <c r="A44" s="1"/>
      <c r="B44" s="2"/>
      <c r="C44" s="2"/>
      <c r="D44" s="2"/>
      <c r="E44" s="2"/>
      <c r="F44" s="2"/>
      <c r="G44" s="2"/>
    </row>
    <row r="45">
      <c r="A45" s="1"/>
      <c r="B45" s="2"/>
      <c r="C45" s="2"/>
      <c r="D45" s="2"/>
      <c r="E45" s="2"/>
      <c r="F45" s="2"/>
      <c r="G45" s="2"/>
    </row>
    <row r="46">
      <c r="A46" s="1"/>
      <c r="B46" s="2"/>
      <c r="C46" s="2"/>
      <c r="D46" s="2"/>
      <c r="E46" s="2"/>
      <c r="F46" s="2"/>
      <c r="G46" s="2"/>
    </row>
    <row r="47">
      <c r="A47" s="1"/>
      <c r="B47" s="2"/>
      <c r="C47" s="2"/>
      <c r="D47" s="2"/>
      <c r="E47" s="2"/>
      <c r="F47" s="2"/>
      <c r="G47" s="2"/>
    </row>
    <row r="48">
      <c r="A48" s="1"/>
      <c r="B48" s="2"/>
      <c r="C48" s="2"/>
      <c r="D48" s="2"/>
      <c r="E48" s="2"/>
      <c r="F48" s="2"/>
      <c r="G48" s="2"/>
    </row>
    <row r="49">
      <c r="A49" s="1"/>
      <c r="B49" s="2"/>
      <c r="C49" s="2"/>
      <c r="D49" s="2"/>
      <c r="E49" s="2"/>
      <c r="F49" s="2"/>
      <c r="G49" s="2"/>
    </row>
    <row r="50">
      <c r="A50" s="1"/>
      <c r="B50" s="2"/>
      <c r="C50" s="2"/>
      <c r="D50" s="2"/>
      <c r="E50" s="2"/>
      <c r="F50" s="2"/>
      <c r="G50" s="2"/>
    </row>
    <row r="51">
      <c r="A51" s="1"/>
      <c r="B51" s="2"/>
      <c r="C51" s="2"/>
      <c r="D51" s="2"/>
      <c r="E51" s="2"/>
      <c r="F51" s="2"/>
      <c r="G51" s="2"/>
    </row>
    <row r="52">
      <c r="A52" s="1"/>
      <c r="B52" s="2"/>
      <c r="C52" s="2"/>
      <c r="D52" s="2"/>
      <c r="E52" s="2"/>
      <c r="F52" s="2"/>
      <c r="G52" s="2"/>
    </row>
    <row r="53">
      <c r="A53" s="1"/>
      <c r="B53" s="2"/>
      <c r="C53" s="2"/>
      <c r="D53" s="2"/>
      <c r="E53" s="2"/>
      <c r="F53" s="2"/>
      <c r="G53" s="2"/>
    </row>
    <row r="54">
      <c r="A54" s="1"/>
      <c r="B54" s="2"/>
      <c r="C54" s="2"/>
      <c r="D54" s="2"/>
      <c r="E54" s="2"/>
      <c r="F54" s="2"/>
      <c r="G54" s="2"/>
    </row>
    <row r="55">
      <c r="A55" s="1"/>
      <c r="B55" s="2"/>
      <c r="C55" s="2"/>
      <c r="D55" s="2"/>
      <c r="E55" s="2"/>
      <c r="F55" s="2"/>
      <c r="G55" s="2"/>
    </row>
    <row r="56">
      <c r="A56" s="1"/>
      <c r="B56" s="2"/>
      <c r="C56" s="2"/>
      <c r="D56" s="2"/>
      <c r="E56" s="2"/>
      <c r="F56" s="2"/>
      <c r="G56" s="2"/>
    </row>
    <row r="57">
      <c r="A57" s="1"/>
      <c r="B57" s="2"/>
      <c r="C57" s="2"/>
      <c r="D57" s="2"/>
      <c r="E57" s="2"/>
      <c r="F57" s="2"/>
      <c r="G57" s="2"/>
    </row>
    <row r="58">
      <c r="A58" s="1"/>
      <c r="B58" s="2"/>
      <c r="C58" s="2"/>
      <c r="D58" s="2"/>
      <c r="E58" s="2"/>
      <c r="F58" s="2"/>
      <c r="G58" s="2"/>
    </row>
    <row r="59">
      <c r="A59" s="1"/>
      <c r="B59" s="2"/>
      <c r="C59" s="2"/>
      <c r="D59" s="2"/>
      <c r="E59" s="2"/>
      <c r="F59" s="2"/>
      <c r="G59" s="2"/>
    </row>
    <row r="60">
      <c r="A60" s="1"/>
      <c r="B60" s="2"/>
      <c r="C60" s="2"/>
      <c r="D60" s="2"/>
      <c r="E60" s="2"/>
      <c r="F60" s="2"/>
      <c r="G60" s="2"/>
    </row>
    <row r="61">
      <c r="A61" s="1"/>
      <c r="B61" s="2"/>
      <c r="C61" s="2"/>
      <c r="D61" s="2"/>
      <c r="E61" s="2"/>
      <c r="F61" s="2"/>
      <c r="G61" s="2"/>
    </row>
    <row r="62">
      <c r="A62" s="1"/>
      <c r="B62" s="2"/>
      <c r="C62" s="2"/>
      <c r="D62" s="2"/>
      <c r="E62" s="2"/>
      <c r="F62" s="2"/>
      <c r="G62" s="2"/>
    </row>
    <row r="63">
      <c r="A63" s="1"/>
      <c r="B63" s="2"/>
      <c r="C63" s="2"/>
      <c r="D63" s="2"/>
      <c r="E63" s="2"/>
      <c r="F63" s="2"/>
      <c r="G63" s="2"/>
    </row>
    <row r="64">
      <c r="A64" s="1"/>
      <c r="B64" s="2"/>
      <c r="C64" s="2"/>
      <c r="D64" s="2"/>
      <c r="E64" s="2"/>
      <c r="F64" s="2"/>
      <c r="G64" s="2"/>
    </row>
    <row r="65">
      <c r="A65" s="1"/>
      <c r="B65" s="2"/>
      <c r="C65" s="2"/>
      <c r="D65" s="2"/>
      <c r="E65" s="2"/>
      <c r="F65" s="2"/>
      <c r="G65" s="2"/>
    </row>
    <row r="66">
      <c r="A66" s="1"/>
      <c r="B66" s="2"/>
      <c r="C66" s="2"/>
      <c r="D66" s="2"/>
      <c r="E66" s="2"/>
      <c r="F66" s="2"/>
      <c r="G66" s="2"/>
    </row>
    <row r="67">
      <c r="A67" s="1"/>
      <c r="B67" s="2"/>
      <c r="C67" s="2"/>
      <c r="D67" s="2"/>
      <c r="E67" s="2"/>
      <c r="F67" s="2"/>
      <c r="G67" s="2"/>
    </row>
    <row r="68">
      <c r="A68" s="1"/>
      <c r="B68" s="2"/>
      <c r="C68" s="2"/>
      <c r="D68" s="2"/>
      <c r="E68" s="2"/>
      <c r="F68" s="2"/>
      <c r="G68" s="2"/>
    </row>
    <row r="69">
      <c r="A69" s="1"/>
      <c r="B69" s="2"/>
      <c r="C69" s="2"/>
      <c r="D69" s="2"/>
      <c r="E69" s="2"/>
      <c r="F69" s="2"/>
      <c r="G69" s="2"/>
    </row>
    <row r="70">
      <c r="A70" s="1"/>
      <c r="B70" s="2"/>
      <c r="C70" s="2"/>
      <c r="D70" s="2"/>
      <c r="E70" s="2"/>
      <c r="F70" s="2"/>
      <c r="G70" s="2"/>
    </row>
    <row r="71">
      <c r="A71" s="1"/>
      <c r="B71" s="2"/>
      <c r="C71" s="2"/>
      <c r="D71" s="2"/>
      <c r="E71" s="2"/>
      <c r="F71" s="2"/>
      <c r="G71" s="2"/>
    </row>
    <row r="72">
      <c r="A72" s="1"/>
      <c r="B72" s="2"/>
      <c r="C72" s="2"/>
      <c r="D72" s="2"/>
      <c r="E72" s="2"/>
      <c r="F72" s="2"/>
      <c r="G72" s="2"/>
    </row>
    <row r="73">
      <c r="A73" s="1"/>
      <c r="B73" s="2"/>
      <c r="C73" s="2"/>
      <c r="D73" s="2"/>
      <c r="E73" s="2"/>
      <c r="F73" s="2"/>
      <c r="G73" s="2"/>
    </row>
    <row r="74">
      <c r="A74" s="1"/>
      <c r="B74" s="2"/>
      <c r="C74" s="2"/>
      <c r="D74" s="2"/>
      <c r="E74" s="2"/>
      <c r="F74" s="2"/>
      <c r="G74" s="2"/>
    </row>
    <row r="75">
      <c r="A75" s="1"/>
      <c r="B75" s="2"/>
      <c r="C75" s="2"/>
      <c r="D75" s="2"/>
      <c r="E75" s="2"/>
      <c r="F75" s="2"/>
      <c r="G75" s="2"/>
    </row>
    <row r="76">
      <c r="A76" s="1"/>
      <c r="B76" s="2"/>
      <c r="C76" s="2"/>
      <c r="D76" s="2"/>
      <c r="E76" s="2"/>
      <c r="F76" s="2"/>
      <c r="G76" s="2"/>
    </row>
    <row r="77">
      <c r="A77" s="1"/>
      <c r="B77" s="2"/>
      <c r="C77" s="2"/>
      <c r="D77" s="2"/>
      <c r="E77" s="2"/>
      <c r="F77" s="2"/>
      <c r="G77" s="2"/>
    </row>
    <row r="78">
      <c r="A78" s="1"/>
      <c r="B78" s="2"/>
      <c r="C78" s="2"/>
      <c r="D78" s="2"/>
      <c r="E78" s="2"/>
      <c r="F78" s="2"/>
      <c r="G78" s="2"/>
    </row>
    <row r="79">
      <c r="A79" s="1"/>
      <c r="B79" s="2"/>
      <c r="C79" s="2"/>
      <c r="D79" s="2"/>
      <c r="E79" s="2"/>
      <c r="F79" s="2"/>
      <c r="G79" s="2"/>
    </row>
    <row r="80">
      <c r="A80" s="1"/>
      <c r="B80" s="2"/>
      <c r="C80" s="2"/>
      <c r="D80" s="2"/>
      <c r="E80" s="2"/>
      <c r="F80" s="2"/>
      <c r="G80" s="2"/>
    </row>
    <row r="81">
      <c r="A81" s="1"/>
      <c r="B81" s="2"/>
      <c r="C81" s="2"/>
      <c r="D81" s="2"/>
      <c r="E81" s="2"/>
      <c r="F81" s="2"/>
      <c r="G81" s="2"/>
    </row>
    <row r="82">
      <c r="A82" s="1"/>
      <c r="B82" s="2"/>
      <c r="C82" s="2"/>
      <c r="D82" s="2"/>
      <c r="E82" s="2"/>
      <c r="F82" s="2"/>
      <c r="G82" s="2"/>
    </row>
    <row r="83">
      <c r="A83" s="1"/>
      <c r="B83" s="2"/>
      <c r="C83" s="2"/>
      <c r="D83" s="2"/>
      <c r="E83" s="2"/>
      <c r="F83" s="2"/>
      <c r="G83" s="2"/>
    </row>
    <row r="84">
      <c r="A84" s="1"/>
      <c r="B84" s="2"/>
      <c r="C84" s="2"/>
      <c r="D84" s="2"/>
      <c r="E84" s="2"/>
      <c r="F84" s="2"/>
      <c r="G84" s="2"/>
    </row>
    <row r="85">
      <c r="A85" s="1"/>
      <c r="B85" s="2"/>
      <c r="C85" s="2"/>
      <c r="D85" s="2"/>
      <c r="E85" s="2"/>
      <c r="F85" s="2"/>
      <c r="G85" s="2"/>
    </row>
    <row r="86">
      <c r="A86" s="1"/>
      <c r="B86" s="2"/>
      <c r="C86" s="2"/>
      <c r="D86" s="2"/>
      <c r="E86" s="2"/>
      <c r="F86" s="2"/>
      <c r="G86" s="2"/>
    </row>
    <row r="87">
      <c r="A87" s="1"/>
      <c r="B87" s="2"/>
      <c r="C87" s="2"/>
      <c r="D87" s="2"/>
      <c r="E87" s="2"/>
      <c r="F87" s="2"/>
      <c r="G87" s="2"/>
    </row>
    <row r="88">
      <c r="A88" s="1"/>
      <c r="B88" s="2"/>
      <c r="C88" s="2"/>
      <c r="D88" s="2"/>
      <c r="E88" s="2"/>
      <c r="F88" s="2"/>
      <c r="G88" s="2"/>
    </row>
    <row r="89">
      <c r="A89" s="1"/>
      <c r="B89" s="2"/>
      <c r="C89" s="2"/>
      <c r="D89" s="2"/>
      <c r="E89" s="2"/>
      <c r="F89" s="2"/>
      <c r="G89" s="2"/>
    </row>
    <row r="90">
      <c r="A90" s="1"/>
      <c r="B90" s="2"/>
      <c r="C90" s="2"/>
      <c r="D90" s="2"/>
      <c r="E90" s="2"/>
      <c r="F90" s="2"/>
      <c r="G90" s="2"/>
    </row>
    <row r="91">
      <c r="A91" s="1"/>
      <c r="B91" s="2"/>
      <c r="C91" s="2"/>
      <c r="D91" s="2"/>
      <c r="E91" s="2"/>
      <c r="F91" s="2"/>
      <c r="G91" s="2"/>
    </row>
    <row r="92">
      <c r="A92" s="1"/>
      <c r="B92" s="2"/>
      <c r="C92" s="2"/>
      <c r="D92" s="2"/>
      <c r="E92" s="2"/>
      <c r="F92" s="2"/>
      <c r="G92" s="2"/>
    </row>
    <row r="93">
      <c r="A93" s="1"/>
      <c r="B93" s="2"/>
      <c r="C93" s="2"/>
      <c r="D93" s="2"/>
      <c r="E93" s="2"/>
      <c r="F93" s="2"/>
      <c r="G93" s="2"/>
    </row>
    <row r="94">
      <c r="A94" s="1"/>
      <c r="B94" s="2"/>
      <c r="C94" s="2"/>
      <c r="D94" s="2"/>
      <c r="E94" s="2"/>
      <c r="F94" s="2"/>
      <c r="G94" s="2"/>
    </row>
    <row r="95">
      <c r="A95" s="1"/>
      <c r="B95" s="2"/>
      <c r="C95" s="2"/>
      <c r="D95" s="2"/>
      <c r="E95" s="2"/>
      <c r="F95" s="2"/>
      <c r="G95" s="2"/>
    </row>
    <row r="96">
      <c r="A96" s="1"/>
      <c r="B96" s="2"/>
      <c r="C96" s="2"/>
      <c r="D96" s="2"/>
      <c r="E96" s="2"/>
      <c r="F96" s="2"/>
      <c r="G96" s="2"/>
    </row>
    <row r="97">
      <c r="A97" s="1"/>
      <c r="B97" s="2"/>
      <c r="C97" s="2"/>
      <c r="D97" s="2"/>
      <c r="E97" s="2"/>
      <c r="F97" s="2"/>
      <c r="G97" s="2"/>
    </row>
    <row r="98">
      <c r="A98" s="1"/>
      <c r="B98" s="2"/>
      <c r="C98" s="2"/>
      <c r="D98" s="2"/>
      <c r="E98" s="2"/>
      <c r="F98" s="2"/>
      <c r="G98" s="2"/>
    </row>
    <row r="99">
      <c r="A99" s="1"/>
      <c r="B99" s="2"/>
      <c r="C99" s="2"/>
      <c r="D99" s="2"/>
      <c r="E99" s="2"/>
      <c r="F99" s="2"/>
      <c r="G99" s="2"/>
    </row>
    <row r="100">
      <c r="A100" s="1"/>
      <c r="B100" s="2"/>
      <c r="C100" s="2"/>
      <c r="D100" s="2"/>
      <c r="E100" s="2"/>
      <c r="F100" s="2"/>
      <c r="G100" s="2"/>
    </row>
    <row r="101">
      <c r="A101" s="1"/>
      <c r="B101" s="2"/>
      <c r="C101" s="2"/>
      <c r="D101" s="2"/>
      <c r="E101" s="2"/>
      <c r="F101" s="2"/>
      <c r="G101" s="2"/>
    </row>
    <row r="102">
      <c r="A102" s="1"/>
      <c r="B102" s="2"/>
      <c r="C102" s="2"/>
      <c r="D102" s="2"/>
      <c r="E102" s="2"/>
      <c r="F102" s="2"/>
      <c r="G102" s="2"/>
    </row>
    <row r="103">
      <c r="A103" s="1"/>
      <c r="B103" s="2"/>
      <c r="C103" s="2"/>
      <c r="D103" s="2"/>
      <c r="E103" s="2"/>
      <c r="F103" s="2"/>
      <c r="G103" s="2"/>
    </row>
    <row r="104">
      <c r="A104" s="1"/>
      <c r="B104" s="2"/>
      <c r="C104" s="2"/>
      <c r="D104" s="2"/>
      <c r="E104" s="2"/>
      <c r="F104" s="2"/>
      <c r="G104" s="2"/>
    </row>
    <row r="105">
      <c r="A105" s="1"/>
      <c r="B105" s="2"/>
      <c r="C105" s="2"/>
      <c r="D105" s="2"/>
      <c r="E105" s="2"/>
      <c r="F105" s="2"/>
      <c r="G105" s="2"/>
    </row>
    <row r="106">
      <c r="A106" s="1"/>
      <c r="B106" s="2"/>
      <c r="C106" s="2"/>
      <c r="D106" s="2"/>
      <c r="E106" s="2"/>
      <c r="F106" s="2"/>
      <c r="G106" s="2"/>
    </row>
    <row r="107">
      <c r="A107" s="1"/>
      <c r="B107" s="2"/>
      <c r="C107" s="2"/>
      <c r="D107" s="2"/>
      <c r="E107" s="2"/>
      <c r="F107" s="2"/>
      <c r="G107" s="2"/>
    </row>
    <row r="108">
      <c r="A108" s="1"/>
      <c r="B108" s="2"/>
      <c r="C108" s="2"/>
      <c r="D108" s="2"/>
      <c r="E108" s="2"/>
      <c r="F108" s="2"/>
      <c r="G108" s="2"/>
    </row>
    <row r="109">
      <c r="A109" s="1"/>
      <c r="B109" s="2"/>
      <c r="C109" s="2"/>
      <c r="D109" s="2"/>
      <c r="E109" s="2"/>
      <c r="F109" s="2"/>
      <c r="G109" s="2"/>
    </row>
    <row r="110">
      <c r="A110" s="1"/>
      <c r="B110" s="2"/>
      <c r="C110" s="2"/>
      <c r="D110" s="2"/>
      <c r="E110" s="2"/>
      <c r="F110" s="2"/>
      <c r="G110" s="2"/>
    </row>
    <row r="111">
      <c r="A111" s="1"/>
      <c r="B111" s="2"/>
      <c r="C111" s="2"/>
      <c r="D111" s="2"/>
      <c r="E111" s="2"/>
      <c r="F111" s="2"/>
      <c r="G111" s="2"/>
    </row>
    <row r="112">
      <c r="A112" s="1"/>
      <c r="B112" s="2"/>
      <c r="C112" s="2"/>
      <c r="D112" s="2"/>
      <c r="E112" s="2"/>
      <c r="F112" s="2"/>
      <c r="G112" s="2"/>
    </row>
    <row r="113">
      <c r="A113" s="1"/>
      <c r="B113" s="2"/>
      <c r="C113" s="2"/>
      <c r="D113" s="2"/>
      <c r="E113" s="2"/>
      <c r="F113" s="2"/>
      <c r="G113" s="2"/>
    </row>
    <row r="114">
      <c r="A114" s="1"/>
      <c r="B114" s="2"/>
      <c r="C114" s="2"/>
      <c r="D114" s="2"/>
      <c r="E114" s="2"/>
      <c r="F114" s="2"/>
      <c r="G114" s="2"/>
    </row>
    <row r="115">
      <c r="A115" s="1"/>
      <c r="B115" s="2"/>
      <c r="C115" s="2"/>
      <c r="D115" s="2"/>
      <c r="E115" s="2"/>
      <c r="F115" s="2"/>
      <c r="G115" s="2"/>
    </row>
    <row r="116">
      <c r="A116" s="1"/>
      <c r="B116" s="2"/>
      <c r="C116" s="2"/>
      <c r="D116" s="2"/>
      <c r="E116" s="2"/>
      <c r="F116" s="2"/>
      <c r="G116" s="2"/>
    </row>
    <row r="117">
      <c r="A117" s="1"/>
      <c r="B117" s="2"/>
      <c r="C117" s="2"/>
      <c r="D117" s="2"/>
      <c r="E117" s="2"/>
      <c r="F117" s="2"/>
      <c r="G117" s="2"/>
    </row>
    <row r="118">
      <c r="A118" s="1"/>
      <c r="B118" s="2"/>
      <c r="C118" s="2"/>
      <c r="D118" s="2"/>
      <c r="E118" s="2"/>
      <c r="F118" s="2"/>
      <c r="G118" s="2"/>
    </row>
    <row r="119">
      <c r="A119" s="1"/>
      <c r="B119" s="2"/>
      <c r="C119" s="2"/>
      <c r="D119" s="2"/>
      <c r="E119" s="2"/>
      <c r="F119" s="2"/>
      <c r="G119" s="2"/>
    </row>
    <row r="120">
      <c r="A120" s="1"/>
      <c r="B120" s="2"/>
      <c r="C120" s="2"/>
      <c r="D120" s="2"/>
      <c r="E120" s="2"/>
      <c r="F120" s="2"/>
      <c r="G120" s="2"/>
    </row>
    <row r="121">
      <c r="A121" s="1"/>
      <c r="B121" s="2"/>
      <c r="C121" s="2"/>
      <c r="D121" s="2"/>
      <c r="E121" s="2"/>
      <c r="F121" s="2"/>
      <c r="G121" s="2"/>
    </row>
    <row r="122">
      <c r="A122" s="1"/>
      <c r="B122" s="2"/>
      <c r="C122" s="2"/>
      <c r="D122" s="2"/>
      <c r="E122" s="2"/>
      <c r="F122" s="2"/>
      <c r="G122" s="2"/>
    </row>
    <row r="123">
      <c r="A123" s="1"/>
      <c r="B123" s="2"/>
      <c r="C123" s="2"/>
      <c r="D123" s="2"/>
      <c r="E123" s="2"/>
      <c r="F123" s="2"/>
      <c r="G123" s="2"/>
    </row>
    <row r="124">
      <c r="A124" s="1"/>
      <c r="B124" s="2"/>
      <c r="C124" s="2"/>
      <c r="D124" s="2"/>
      <c r="E124" s="2"/>
      <c r="F124" s="2"/>
      <c r="G124" s="2"/>
    </row>
    <row r="125">
      <c r="A125" s="1"/>
      <c r="B125" s="2"/>
      <c r="C125" s="2"/>
      <c r="D125" s="2"/>
      <c r="E125" s="2"/>
      <c r="F125" s="2"/>
      <c r="G125" s="2"/>
    </row>
    <row r="126">
      <c r="A126" s="1"/>
      <c r="B126" s="2"/>
      <c r="C126" s="2"/>
      <c r="D126" s="2"/>
      <c r="E126" s="2"/>
      <c r="F126" s="2"/>
      <c r="G126" s="2"/>
    </row>
    <row r="127">
      <c r="A127" s="1"/>
      <c r="B127" s="2"/>
      <c r="C127" s="2"/>
      <c r="D127" s="2"/>
      <c r="E127" s="2"/>
      <c r="F127" s="2"/>
      <c r="G127" s="2"/>
    </row>
    <row r="128">
      <c r="A128" s="1"/>
      <c r="B128" s="2"/>
      <c r="C128" s="2"/>
      <c r="D128" s="2"/>
      <c r="E128" s="2"/>
      <c r="F128" s="2"/>
      <c r="G128" s="2"/>
    </row>
    <row r="129">
      <c r="A129" s="1"/>
      <c r="B129" s="2"/>
      <c r="C129" s="2"/>
      <c r="D129" s="2"/>
      <c r="E129" s="2"/>
      <c r="F129" s="2"/>
      <c r="G129" s="2"/>
    </row>
    <row r="130">
      <c r="A130" s="1"/>
      <c r="B130" s="2"/>
      <c r="C130" s="2"/>
      <c r="D130" s="2"/>
      <c r="E130" s="2"/>
      <c r="F130" s="2"/>
      <c r="G130" s="2"/>
    </row>
    <row r="131">
      <c r="A131" s="1"/>
      <c r="B131" s="2"/>
      <c r="C131" s="2"/>
      <c r="D131" s="2"/>
      <c r="E131" s="2"/>
      <c r="F131" s="2"/>
      <c r="G131" s="2"/>
    </row>
    <row r="132">
      <c r="A132" s="1"/>
      <c r="B132" s="2"/>
      <c r="C132" s="2"/>
      <c r="D132" s="2"/>
      <c r="E132" s="2"/>
      <c r="F132" s="2"/>
      <c r="G132" s="2"/>
    </row>
    <row r="133">
      <c r="A133" s="1"/>
      <c r="B133" s="2"/>
      <c r="C133" s="2"/>
      <c r="D133" s="2"/>
      <c r="E133" s="2"/>
      <c r="F133" s="2"/>
      <c r="G133" s="2"/>
    </row>
    <row r="134">
      <c r="A134" s="1"/>
      <c r="B134" s="2"/>
      <c r="C134" s="2"/>
      <c r="D134" s="2"/>
      <c r="E134" s="2"/>
      <c r="F134" s="2"/>
      <c r="G134" s="2"/>
    </row>
    <row r="135">
      <c r="A135" s="1"/>
      <c r="B135" s="2"/>
      <c r="C135" s="2"/>
      <c r="D135" s="2"/>
      <c r="E135" s="2"/>
      <c r="F135" s="2"/>
      <c r="G135" s="2"/>
    </row>
    <row r="136">
      <c r="A136" s="1"/>
      <c r="B136" s="2"/>
      <c r="C136" s="2"/>
      <c r="D136" s="2"/>
      <c r="E136" s="2"/>
      <c r="F136" s="2"/>
      <c r="G136" s="2"/>
    </row>
    <row r="137">
      <c r="A137" s="1"/>
      <c r="B137" s="2"/>
      <c r="C137" s="2"/>
      <c r="D137" s="2"/>
      <c r="E137" s="2"/>
      <c r="F137" s="2"/>
      <c r="G137" s="2"/>
    </row>
    <row r="138">
      <c r="A138" s="1"/>
      <c r="B138" s="2"/>
      <c r="C138" s="2"/>
      <c r="D138" s="2"/>
      <c r="E138" s="2"/>
      <c r="F138" s="2"/>
      <c r="G138" s="2"/>
    </row>
    <row r="139">
      <c r="A139" s="1"/>
      <c r="B139" s="2"/>
      <c r="C139" s="2"/>
      <c r="D139" s="2"/>
      <c r="E139" s="2"/>
      <c r="F139" s="2"/>
      <c r="G139" s="2"/>
    </row>
    <row r="140">
      <c r="A140" s="1"/>
      <c r="B140" s="2"/>
      <c r="C140" s="2"/>
      <c r="D140" s="2"/>
      <c r="E140" s="2"/>
      <c r="F140" s="2"/>
      <c r="G140" s="2"/>
    </row>
    <row r="141">
      <c r="A141" s="1"/>
      <c r="B141" s="2"/>
      <c r="C141" s="2"/>
      <c r="D141" s="2"/>
      <c r="E141" s="2"/>
      <c r="F141" s="2"/>
      <c r="G141" s="2"/>
    </row>
    <row r="142">
      <c r="A142" s="1"/>
      <c r="B142" s="2"/>
      <c r="C142" s="2"/>
      <c r="D142" s="2"/>
      <c r="E142" s="2"/>
      <c r="F142" s="2"/>
      <c r="G142" s="2"/>
    </row>
    <row r="143">
      <c r="A143" s="1"/>
      <c r="B143" s="2"/>
      <c r="C143" s="2"/>
      <c r="D143" s="2"/>
      <c r="E143" s="2"/>
      <c r="F143" s="2"/>
      <c r="G143" s="2"/>
    </row>
    <row r="144">
      <c r="A144" s="1"/>
      <c r="B144" s="2"/>
      <c r="C144" s="2"/>
      <c r="D144" s="2"/>
      <c r="E144" s="2"/>
      <c r="F144" s="2"/>
      <c r="G144" s="2"/>
    </row>
    <row r="145">
      <c r="A145" s="1"/>
      <c r="B145" s="2"/>
      <c r="C145" s="2"/>
      <c r="D145" s="2"/>
      <c r="E145" s="2"/>
      <c r="F145" s="2"/>
      <c r="G145" s="2"/>
    </row>
    <row r="146">
      <c r="A146" s="1"/>
      <c r="B146" s="2"/>
      <c r="C146" s="2"/>
      <c r="D146" s="2"/>
      <c r="E146" s="2"/>
      <c r="F146" s="2"/>
      <c r="G146" s="2"/>
    </row>
    <row r="147">
      <c r="A147" s="1"/>
      <c r="B147" s="2"/>
      <c r="C147" s="2"/>
      <c r="D147" s="2"/>
      <c r="E147" s="2"/>
      <c r="F147" s="2"/>
      <c r="G147" s="2"/>
    </row>
    <row r="148">
      <c r="A148" s="1"/>
      <c r="B148" s="2"/>
      <c r="C148" s="2"/>
      <c r="D148" s="2"/>
      <c r="E148" s="2"/>
      <c r="F148" s="2"/>
      <c r="G148" s="2"/>
    </row>
    <row r="149">
      <c r="A149" s="1"/>
      <c r="B149" s="2"/>
      <c r="C149" s="2"/>
      <c r="D149" s="2"/>
      <c r="E149" s="2"/>
      <c r="F149" s="2"/>
      <c r="G149" s="2"/>
    </row>
    <row r="150">
      <c r="A150" s="1"/>
      <c r="B150" s="2"/>
      <c r="C150" s="2"/>
      <c r="D150" s="2"/>
      <c r="E150" s="2"/>
      <c r="F150" s="2"/>
      <c r="G150" s="2"/>
    </row>
    <row r="151">
      <c r="A151" s="1"/>
      <c r="B151" s="2"/>
      <c r="C151" s="2"/>
      <c r="D151" s="2"/>
      <c r="E151" s="2"/>
      <c r="F151" s="2"/>
      <c r="G151" s="2"/>
    </row>
    <row r="152">
      <c r="A152" s="1"/>
      <c r="B152" s="2"/>
      <c r="C152" s="2"/>
      <c r="D152" s="2"/>
      <c r="E152" s="2"/>
      <c r="F152" s="2"/>
      <c r="G152" s="2"/>
    </row>
    <row r="153">
      <c r="A153" s="1"/>
      <c r="B153" s="2"/>
      <c r="C153" s="2"/>
      <c r="D153" s="2"/>
      <c r="E153" s="2"/>
      <c r="F153" s="2"/>
      <c r="G153" s="2"/>
    </row>
    <row r="154">
      <c r="A154" s="1"/>
      <c r="B154" s="2"/>
      <c r="C154" s="2"/>
      <c r="D154" s="2"/>
      <c r="E154" s="2"/>
      <c r="F154" s="2"/>
      <c r="G154" s="2"/>
    </row>
    <row r="155">
      <c r="A155" s="1"/>
      <c r="B155" s="2"/>
      <c r="C155" s="2"/>
      <c r="D155" s="2"/>
      <c r="E155" s="2"/>
      <c r="F155" s="2"/>
      <c r="G155" s="2"/>
    </row>
    <row r="156">
      <c r="A156" s="1"/>
      <c r="B156" s="2"/>
      <c r="C156" s="2"/>
      <c r="D156" s="2"/>
      <c r="E156" s="2"/>
      <c r="F156" s="2"/>
      <c r="G156" s="2"/>
    </row>
    <row r="157">
      <c r="A157" s="1"/>
      <c r="B157" s="2"/>
      <c r="C157" s="2"/>
      <c r="D157" s="2"/>
      <c r="E157" s="2"/>
      <c r="F157" s="2"/>
      <c r="G157" s="2"/>
    </row>
    <row r="158">
      <c r="A158" s="1"/>
      <c r="B158" s="2"/>
      <c r="C158" s="2"/>
      <c r="D158" s="2"/>
      <c r="E158" s="2"/>
      <c r="F158" s="2"/>
      <c r="G158" s="2"/>
    </row>
    <row r="159">
      <c r="A159" s="1"/>
      <c r="B159" s="2"/>
      <c r="C159" s="2"/>
      <c r="D159" s="2"/>
      <c r="E159" s="2"/>
      <c r="F159" s="2"/>
      <c r="G159" s="2"/>
    </row>
    <row r="160">
      <c r="A160" s="1"/>
      <c r="B160" s="2"/>
      <c r="C160" s="2"/>
      <c r="D160" s="2"/>
      <c r="E160" s="2"/>
      <c r="F160" s="2"/>
      <c r="G160" s="2"/>
    </row>
    <row r="161">
      <c r="A161" s="1"/>
      <c r="B161" s="2"/>
      <c r="C161" s="2"/>
      <c r="D161" s="2"/>
      <c r="E161" s="2"/>
      <c r="F161" s="2"/>
      <c r="G161" s="2"/>
    </row>
    <row r="162">
      <c r="A162" s="1"/>
      <c r="B162" s="2"/>
      <c r="C162" s="2"/>
      <c r="D162" s="2"/>
      <c r="E162" s="2"/>
      <c r="F162" s="2"/>
      <c r="G162" s="2"/>
    </row>
    <row r="163">
      <c r="A163" s="1"/>
      <c r="B163" s="2"/>
      <c r="C163" s="2"/>
      <c r="D163" s="2"/>
      <c r="E163" s="2"/>
      <c r="F163" s="2"/>
      <c r="G163" s="2"/>
    </row>
    <row r="164">
      <c r="A164" s="1"/>
      <c r="B164" s="2"/>
      <c r="C164" s="2"/>
      <c r="D164" s="2"/>
      <c r="E164" s="2"/>
      <c r="F164" s="2"/>
      <c r="G164" s="2"/>
    </row>
    <row r="165">
      <c r="A165" s="1"/>
      <c r="B165" s="2"/>
      <c r="C165" s="2"/>
      <c r="D165" s="2"/>
      <c r="E165" s="2"/>
      <c r="F165" s="2"/>
      <c r="G165" s="2"/>
    </row>
    <row r="166">
      <c r="A166" s="1"/>
      <c r="B166" s="2"/>
      <c r="C166" s="2"/>
      <c r="D166" s="2"/>
      <c r="E166" s="2"/>
      <c r="F166" s="2"/>
      <c r="G166" s="2"/>
    </row>
    <row r="167">
      <c r="A167" s="1"/>
      <c r="B167" s="2"/>
      <c r="C167" s="2"/>
      <c r="D167" s="2"/>
      <c r="E167" s="2"/>
      <c r="F167" s="2"/>
      <c r="G167" s="2"/>
    </row>
    <row r="168">
      <c r="A168" s="1"/>
      <c r="B168" s="2"/>
      <c r="C168" s="2"/>
      <c r="D168" s="2"/>
      <c r="E168" s="2"/>
      <c r="F168" s="2"/>
      <c r="G168" s="2"/>
    </row>
    <row r="169">
      <c r="A169" s="1"/>
      <c r="B169" s="2"/>
      <c r="C169" s="2"/>
      <c r="D169" s="2"/>
      <c r="E169" s="2"/>
      <c r="F169" s="2"/>
      <c r="G169" s="2"/>
    </row>
    <row r="170">
      <c r="A170" s="1"/>
      <c r="B170" s="2"/>
      <c r="C170" s="2"/>
      <c r="D170" s="2"/>
      <c r="E170" s="2"/>
      <c r="F170" s="2"/>
      <c r="G170" s="2"/>
    </row>
    <row r="171">
      <c r="A171" s="1"/>
      <c r="B171" s="2"/>
      <c r="C171" s="2"/>
      <c r="D171" s="2"/>
      <c r="E171" s="2"/>
      <c r="F171" s="2"/>
      <c r="G171" s="2"/>
    </row>
    <row r="172">
      <c r="A172" s="1"/>
      <c r="B172" s="2"/>
      <c r="C172" s="2"/>
      <c r="D172" s="2"/>
      <c r="E172" s="2"/>
      <c r="F172" s="2"/>
      <c r="G172" s="2"/>
    </row>
    <row r="173">
      <c r="A173" s="1"/>
      <c r="B173" s="2"/>
      <c r="C173" s="2"/>
      <c r="D173" s="2"/>
      <c r="E173" s="2"/>
      <c r="F173" s="2"/>
      <c r="G173" s="2"/>
    </row>
    <row r="174">
      <c r="A174" s="1"/>
      <c r="B174" s="2"/>
      <c r="C174" s="2"/>
      <c r="D174" s="2"/>
      <c r="E174" s="2"/>
      <c r="F174" s="2"/>
      <c r="G174" s="2"/>
    </row>
    <row r="175">
      <c r="A175" s="1"/>
      <c r="B175" s="2"/>
      <c r="C175" s="2"/>
      <c r="D175" s="2"/>
      <c r="E175" s="2"/>
      <c r="F175" s="2"/>
      <c r="G175" s="2"/>
    </row>
    <row r="176">
      <c r="A176" s="1"/>
      <c r="B176" s="2"/>
      <c r="C176" s="2"/>
      <c r="D176" s="2"/>
      <c r="E176" s="2"/>
      <c r="F176" s="2"/>
      <c r="G176" s="2"/>
    </row>
    <row r="177">
      <c r="A177" s="1"/>
      <c r="B177" s="2"/>
      <c r="C177" s="2"/>
      <c r="D177" s="2"/>
      <c r="E177" s="2"/>
      <c r="F177" s="2"/>
      <c r="G177" s="2"/>
    </row>
    <row r="178">
      <c r="A178" s="1"/>
      <c r="B178" s="2"/>
      <c r="C178" s="2"/>
      <c r="D178" s="2"/>
      <c r="E178" s="2"/>
      <c r="F178" s="2"/>
      <c r="G178" s="2"/>
    </row>
    <row r="179">
      <c r="A179" s="1"/>
      <c r="B179" s="2"/>
      <c r="C179" s="2"/>
      <c r="D179" s="2"/>
      <c r="E179" s="2"/>
      <c r="F179" s="2"/>
      <c r="G179" s="2"/>
    </row>
    <row r="180">
      <c r="A180" s="1"/>
      <c r="B180" s="2"/>
      <c r="C180" s="2"/>
      <c r="D180" s="2"/>
      <c r="E180" s="2"/>
      <c r="F180" s="2"/>
      <c r="G180" s="2"/>
    </row>
    <row r="181">
      <c r="A181" s="1"/>
      <c r="B181" s="2"/>
      <c r="C181" s="2"/>
      <c r="D181" s="2"/>
      <c r="E181" s="2"/>
      <c r="F181" s="2"/>
      <c r="G181" s="2"/>
    </row>
    <row r="182">
      <c r="A182" s="1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1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1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1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  <c r="F189" s="2"/>
      <c r="G189" s="2"/>
    </row>
    <row r="190">
      <c r="A190" s="1"/>
      <c r="B190" s="2"/>
      <c r="C190" s="2"/>
      <c r="D190" s="2"/>
      <c r="E190" s="2"/>
      <c r="F190" s="2"/>
      <c r="G190" s="2"/>
    </row>
    <row r="191">
      <c r="A191" s="1"/>
      <c r="B191" s="2"/>
      <c r="C191" s="2"/>
      <c r="D191" s="2"/>
      <c r="E191" s="2"/>
      <c r="F191" s="2"/>
      <c r="G191" s="2"/>
    </row>
    <row r="192">
      <c r="A192" s="1"/>
      <c r="B192" s="2"/>
      <c r="C192" s="2"/>
      <c r="D192" s="2"/>
      <c r="E192" s="2"/>
      <c r="F192" s="2"/>
      <c r="G192" s="2"/>
    </row>
    <row r="193">
      <c r="A193" s="1"/>
      <c r="B193" s="2"/>
      <c r="C193" s="2"/>
      <c r="D193" s="2"/>
      <c r="E193" s="2"/>
      <c r="F193" s="2"/>
      <c r="G193" s="2"/>
    </row>
    <row r="194">
      <c r="A194" s="1"/>
      <c r="B194" s="2"/>
      <c r="C194" s="2"/>
      <c r="D194" s="2"/>
      <c r="E194" s="2"/>
      <c r="F194" s="2"/>
      <c r="G194" s="2"/>
    </row>
    <row r="195">
      <c r="A195" s="1"/>
      <c r="B195" s="2"/>
      <c r="C195" s="2"/>
      <c r="D195" s="2"/>
      <c r="E195" s="2"/>
      <c r="F195" s="2"/>
      <c r="G195" s="2"/>
    </row>
    <row r="196">
      <c r="A196" s="1"/>
      <c r="B196" s="2"/>
      <c r="C196" s="2"/>
      <c r="D196" s="2"/>
      <c r="E196" s="2"/>
      <c r="F196" s="2"/>
      <c r="G196" s="2"/>
    </row>
    <row r="197">
      <c r="A197" s="1"/>
      <c r="B197" s="2"/>
      <c r="C197" s="2"/>
      <c r="D197" s="2"/>
      <c r="E197" s="2"/>
      <c r="F197" s="2"/>
      <c r="G197" s="2"/>
    </row>
    <row r="198">
      <c r="A198" s="1"/>
      <c r="B198" s="2"/>
      <c r="C198" s="2"/>
      <c r="D198" s="2"/>
      <c r="E198" s="2"/>
      <c r="F198" s="2"/>
      <c r="G198" s="2"/>
    </row>
    <row r="199">
      <c r="A199" s="1"/>
      <c r="B199" s="2"/>
      <c r="C199" s="2"/>
      <c r="D199" s="2"/>
      <c r="E199" s="2"/>
      <c r="F199" s="2"/>
      <c r="G199" s="2"/>
    </row>
    <row r="200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:C200">
      <formula1>rngCategoryType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4" width="16" customWidth="1"/>
    <col min="5" max="5" width="16" customWidth="1"/>
    <col min="6" max="6" width="16" customWidth="1"/>
    <col min="7" max="7" width="12" customWidth="1"/>
    <col min="8" max="8" width="20" customWidth="1"/>
    <col min="9" max="9" width="12" customWidth="1"/>
    <col min="10" max="10" width="22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400</v>
      </c>
      <c r="I1" s="1" t="s">
        <v>9</v>
      </c>
      <c r="J1" s="1" t="s">
        <v>11</v>
      </c>
    </row>
    <row r="2">
      <c r="A2" s="1" t="s">
        <v>359</v>
      </c>
      <c r="B2" s="2" t="s">
        <v>360</v>
      </c>
      <c r="C2" s="2" t="s">
        <v>124</v>
      </c>
      <c r="D2" s="2" t="s">
        <v>361</v>
      </c>
      <c r="E2" s="2">
        <v>11999</v>
      </c>
      <c r="F2" s="1">
        <f>IF(tblAccounts[[#This Row],[Account Name]]="","",INDEX('Business Engine'!$H$2:$H$200,ROW()-ROW(tblAccounts[#Headers])))</f>
      </c>
      <c r="G2" s="2" t="s">
        <v>82</v>
      </c>
      <c r="H2" s="2" t="s">
        <v>122</v>
      </c>
      <c r="I2" s="2" t="s">
        <v>111</v>
      </c>
      <c r="J2" s="2"/>
    </row>
    <row r="3">
      <c r="A3" s="1" t="s">
        <v>362</v>
      </c>
      <c r="B3" s="2" t="s">
        <v>363</v>
      </c>
      <c r="C3" s="2" t="s">
        <v>124</v>
      </c>
      <c r="D3" s="2" t="s">
        <v>364</v>
      </c>
      <c r="E3" s="2">
        <v>4000</v>
      </c>
      <c r="F3" s="1">
        <f>IF(tblAccounts[[#This Row],[Account Name]]="","",INDEX('Business Engine'!$H$2:$H$200,ROW()-ROW(tblAccounts[#Headers])))</f>
      </c>
      <c r="G3" s="2" t="s">
        <v>82</v>
      </c>
      <c r="H3" s="2" t="s">
        <v>122</v>
      </c>
      <c r="I3" s="2" t="s">
        <v>111</v>
      </c>
      <c r="J3" s="2"/>
    </row>
    <row r="4">
      <c r="A4" s="1" t="s">
        <v>365</v>
      </c>
      <c r="B4" s="2" t="s">
        <v>366</v>
      </c>
      <c r="C4" s="2" t="s">
        <v>88</v>
      </c>
      <c r="D4" s="2"/>
      <c r="E4" s="2">
        <v>10000</v>
      </c>
      <c r="F4" s="1">
        <f>IF(tblAccounts[[#This Row],[Account Name]]="","",INDEX('Business Engine'!$H$2:$H$200,ROW()-ROW(tblAccounts[#Headers])))</f>
      </c>
      <c r="G4" s="2" t="s">
        <v>82</v>
      </c>
      <c r="H4" s="2" t="s">
        <v>122</v>
      </c>
      <c r="I4" s="2" t="s">
        <v>111</v>
      </c>
      <c r="J4" s="2"/>
    </row>
    <row r="5">
      <c r="A5" s="1" t="s">
        <v>367</v>
      </c>
      <c r="B5" s="2" t="s">
        <v>368</v>
      </c>
      <c r="C5" s="2" t="s">
        <v>124</v>
      </c>
      <c r="D5" s="2" t="s">
        <v>364</v>
      </c>
      <c r="E5" s="2">
        <v>0</v>
      </c>
      <c r="F5" s="1">
        <f>IF(tblAccounts[[#This Row],[Account Name]]="","",INDEX('Business Engine'!$H$2:$H$200,ROW()-ROW(tblAccounts[#Headers])))</f>
      </c>
      <c r="G5" s="2" t="s">
        <v>82</v>
      </c>
      <c r="H5" s="2" t="s">
        <v>123</v>
      </c>
      <c r="I5" s="2" t="s">
        <v>115</v>
      </c>
      <c r="J5" s="2"/>
    </row>
    <row r="6">
      <c r="A6" s="1" t="s">
        <v>416</v>
      </c>
      <c r="B6" s="2" t="s">
        <v>91</v>
      </c>
      <c r="C6" s="2" t="s">
        <v>91</v>
      </c>
      <c r="D6" s="2" t="s">
        <v>361</v>
      </c>
      <c r="E6" s="2">
        <v>0</v>
      </c>
      <c r="F6" s="1">
        <f>IF(tblAccounts[[#This Row],[Account Name]]="","",INDEX('Business Engine'!$H$2:$H$200,ROW()-ROW(tblAccounts[#Headers])))</f>
      </c>
      <c r="G6" s="2" t="s">
        <v>82</v>
      </c>
      <c r="H6" s="2" t="s">
        <v>122</v>
      </c>
      <c r="I6" s="2" t="s">
        <v>111</v>
      </c>
      <c r="J6" s="2"/>
    </row>
    <row r="7">
      <c r="A7" s="1"/>
      <c r="B7" s="2"/>
      <c r="C7" s="2"/>
      <c r="D7" s="2"/>
      <c r="E7" s="2"/>
      <c r="F7" s="1">
        <f>IF(tblAccounts[[#This Row],[Account Name]]="","",INDEX('Business Engine'!$H$2:$H$200,ROW()-ROW(tblAccounts[#Headers])))</f>
      </c>
      <c r="G7" s="2"/>
      <c r="H7" s="2"/>
      <c r="I7" s="2"/>
      <c r="J7" s="2"/>
    </row>
    <row r="8">
      <c r="A8" s="1"/>
      <c r="B8" s="2"/>
      <c r="C8" s="2"/>
      <c r="D8" s="2"/>
      <c r="E8" s="2"/>
      <c r="F8" s="1">
        <f>IF(tblAccounts[[#This Row],[Account Name]]="","",INDEX('Business Engine'!$H$2:$H$200,ROW()-ROW(tblAccounts[#Headers])))</f>
      </c>
      <c r="G8" s="2"/>
      <c r="H8" s="2"/>
      <c r="I8" s="2"/>
      <c r="J8" s="2"/>
    </row>
    <row r="9">
      <c r="A9" s="1"/>
      <c r="B9" s="2"/>
      <c r="C9" s="2"/>
      <c r="D9" s="2"/>
      <c r="E9" s="2"/>
      <c r="F9" s="1">
        <f>IF(tblAccounts[[#This Row],[Account Name]]="","",INDEX('Business Engine'!$H$2:$H$200,ROW()-ROW(tblAccounts[#Headers])))</f>
      </c>
      <c r="G9" s="2"/>
      <c r="H9" s="2"/>
      <c r="I9" s="2"/>
      <c r="J9" s="2"/>
    </row>
    <row r="10">
      <c r="A10" s="1"/>
      <c r="B10" s="2"/>
      <c r="C10" s="2"/>
      <c r="D10" s="2"/>
      <c r="E10" s="2"/>
      <c r="F10" s="1">
        <f>IF(tblAccounts[[#This Row],[Account Name]]="","",INDEX('Business Engine'!$H$2:$H$200,ROW()-ROW(tblAccounts[#Headers])))</f>
      </c>
      <c r="G10" s="2"/>
      <c r="H10" s="2"/>
      <c r="I10" s="2"/>
      <c r="J10" s="2"/>
    </row>
    <row r="11">
      <c r="A11" s="1"/>
      <c r="B11" s="2"/>
      <c r="C11" s="2"/>
      <c r="D11" s="2"/>
      <c r="E11" s="2"/>
      <c r="F11" s="1">
        <f>IF(tblAccounts[[#This Row],[Account Name]]="","",INDEX('Business Engine'!$H$2:$H$200,ROW()-ROW(tblAccounts[#Headers])))</f>
      </c>
      <c r="G11" s="2"/>
      <c r="H11" s="2"/>
      <c r="I11" s="2"/>
      <c r="J11" s="2"/>
    </row>
    <row r="12">
      <c r="A12" s="1"/>
      <c r="B12" s="2"/>
      <c r="C12" s="2"/>
      <c r="D12" s="2"/>
      <c r="E12" s="2"/>
      <c r="F12" s="1">
        <f>IF(tblAccounts[[#This Row],[Account Name]]="","",INDEX('Business Engine'!$H$2:$H$200,ROW()-ROW(tblAccounts[#Headers])))</f>
      </c>
      <c r="G12" s="2"/>
      <c r="H12" s="2"/>
      <c r="I12" s="2"/>
      <c r="J12" s="2"/>
    </row>
    <row r="13">
      <c r="A13" s="1"/>
      <c r="B13" s="2"/>
      <c r="C13" s="2"/>
      <c r="D13" s="2"/>
      <c r="E13" s="2"/>
      <c r="F13" s="1">
        <f>IF(tblAccounts[[#This Row],[Account Name]]="","",INDEX('Business Engine'!$H$2:$H$200,ROW()-ROW(tblAccounts[#Headers])))</f>
      </c>
      <c r="G13" s="2"/>
      <c r="H13" s="2"/>
      <c r="I13" s="2"/>
      <c r="J13" s="2"/>
    </row>
    <row r="14">
      <c r="A14" s="1"/>
      <c r="B14" s="2"/>
      <c r="C14" s="2"/>
      <c r="D14" s="2"/>
      <c r="E14" s="2"/>
      <c r="F14" s="1">
        <f>IF(tblAccounts[[#This Row],[Account Name]]="","",INDEX('Business Engine'!$H$2:$H$200,ROW()-ROW(tblAccounts[#Headers])))</f>
      </c>
      <c r="G14" s="2"/>
      <c r="H14" s="2"/>
      <c r="I14" s="2"/>
      <c r="J14" s="2"/>
    </row>
    <row r="15">
      <c r="A15" s="1"/>
      <c r="B15" s="2"/>
      <c r="C15" s="2"/>
      <c r="D15" s="2"/>
      <c r="E15" s="2"/>
      <c r="F15" s="1">
        <f>IF(tblAccounts[[#This Row],[Account Name]]="","",INDEX('Business Engine'!$H$2:$H$200,ROW()-ROW(tblAccounts[#Headers])))</f>
      </c>
      <c r="G15" s="2"/>
      <c r="H15" s="2"/>
      <c r="I15" s="2"/>
      <c r="J15" s="2"/>
    </row>
    <row r="16">
      <c r="A16" s="1"/>
      <c r="B16" s="2"/>
      <c r="C16" s="2"/>
      <c r="D16" s="2"/>
      <c r="E16" s="2"/>
      <c r="F16" s="1">
        <f>IF(tblAccounts[[#This Row],[Account Name]]="","",INDEX('Business Engine'!$H$2:$H$200,ROW()-ROW(tblAccounts[#Headers])))</f>
      </c>
      <c r="G16" s="2"/>
      <c r="H16" s="2"/>
      <c r="I16" s="2"/>
      <c r="J16" s="2"/>
    </row>
    <row r="17">
      <c r="A17" s="1"/>
      <c r="B17" s="2"/>
      <c r="C17" s="2"/>
      <c r="D17" s="2"/>
      <c r="E17" s="2"/>
      <c r="F17" s="1">
        <f>IF(tblAccounts[[#This Row],[Account Name]]="","",INDEX('Business Engine'!$H$2:$H$200,ROW()-ROW(tblAccounts[#Headers])))</f>
      </c>
      <c r="G17" s="2"/>
      <c r="H17" s="2"/>
      <c r="I17" s="2"/>
      <c r="J17" s="2"/>
    </row>
    <row r="18">
      <c r="A18" s="1"/>
      <c r="B18" s="2"/>
      <c r="C18" s="2"/>
      <c r="D18" s="2"/>
      <c r="E18" s="2"/>
      <c r="F18" s="1">
        <f>IF(tblAccounts[[#This Row],[Account Name]]="","",INDEX('Business Engine'!$H$2:$H$200,ROW()-ROW(tblAccounts[#Headers])))</f>
      </c>
      <c r="G18" s="2"/>
      <c r="H18" s="2"/>
      <c r="I18" s="2"/>
      <c r="J18" s="2"/>
    </row>
    <row r="19">
      <c r="A19" s="1"/>
      <c r="B19" s="2"/>
      <c r="C19" s="2"/>
      <c r="D19" s="2"/>
      <c r="E19" s="2"/>
      <c r="F19" s="1">
        <f>IF(tblAccounts[[#This Row],[Account Name]]="","",INDEX('Business Engine'!$H$2:$H$200,ROW()-ROW(tblAccounts[#Headers])))</f>
      </c>
      <c r="G19" s="2"/>
      <c r="H19" s="2"/>
      <c r="I19" s="2"/>
      <c r="J19" s="2"/>
    </row>
    <row r="20">
      <c r="A20" s="1"/>
      <c r="B20" s="2"/>
      <c r="C20" s="2"/>
      <c r="D20" s="2"/>
      <c r="E20" s="2"/>
      <c r="F20" s="1">
        <f>IF(tblAccounts[[#This Row],[Account Name]]="","",INDEX('Business Engine'!$H$2:$H$200,ROW()-ROW(tblAccounts[#Headers])))</f>
      </c>
      <c r="G20" s="2"/>
      <c r="H20" s="2"/>
      <c r="I20" s="2"/>
      <c r="J20" s="2"/>
    </row>
    <row r="21">
      <c r="A21" s="1"/>
      <c r="B21" s="2"/>
      <c r="C21" s="2"/>
      <c r="D21" s="2"/>
      <c r="E21" s="2"/>
      <c r="F21" s="1">
        <f>IF(tblAccounts[[#This Row],[Account Name]]="","",INDEX('Business Engine'!$H$2:$H$200,ROW()-ROW(tblAccounts[#Headers])))</f>
      </c>
      <c r="G21" s="2"/>
      <c r="H21" s="2"/>
      <c r="I21" s="2"/>
      <c r="J21" s="2"/>
    </row>
    <row r="22">
      <c r="A22" s="1"/>
      <c r="B22" s="2"/>
      <c r="C22" s="2"/>
      <c r="D22" s="2"/>
      <c r="E22" s="2"/>
      <c r="F22" s="1">
        <f>IF(tblAccounts[[#This Row],[Account Name]]="","",INDEX('Business Engine'!$H$2:$H$200,ROW()-ROW(tblAccounts[#Headers])))</f>
      </c>
      <c r="G22" s="2"/>
      <c r="H22" s="2"/>
      <c r="I22" s="2"/>
      <c r="J22" s="2"/>
    </row>
    <row r="23">
      <c r="A23" s="1"/>
      <c r="B23" s="2"/>
      <c r="C23" s="2"/>
      <c r="D23" s="2"/>
      <c r="E23" s="2"/>
      <c r="F23" s="1">
        <f>IF(tblAccounts[[#This Row],[Account Name]]="","",INDEX('Business Engine'!$H$2:$H$200,ROW()-ROW(tblAccounts[#Headers])))</f>
      </c>
      <c r="G23" s="2"/>
      <c r="H23" s="2"/>
      <c r="I23" s="2"/>
      <c r="J23" s="2"/>
    </row>
    <row r="24">
      <c r="A24" s="1"/>
      <c r="B24" s="2"/>
      <c r="C24" s="2"/>
      <c r="D24" s="2"/>
      <c r="E24" s="2"/>
      <c r="F24" s="1">
        <f>IF(tblAccounts[[#This Row],[Account Name]]="","",INDEX('Business Engine'!$H$2:$H$200,ROW()-ROW(tblAccounts[#Headers])))</f>
      </c>
      <c r="G24" s="2"/>
      <c r="H24" s="2"/>
      <c r="I24" s="2"/>
      <c r="J24" s="2"/>
    </row>
    <row r="25">
      <c r="A25" s="1"/>
      <c r="B25" s="2"/>
      <c r="C25" s="2"/>
      <c r="D25" s="2"/>
      <c r="E25" s="2"/>
      <c r="F25" s="1">
        <f>IF(tblAccounts[[#This Row],[Account Name]]="","",INDEX('Business Engine'!$H$2:$H$200,ROW()-ROW(tblAccounts[#Headers])))</f>
      </c>
      <c r="G25" s="2"/>
      <c r="H25" s="2"/>
      <c r="I25" s="2"/>
      <c r="J25" s="2"/>
    </row>
    <row r="26">
      <c r="A26" s="1"/>
      <c r="B26" s="2"/>
      <c r="C26" s="2"/>
      <c r="D26" s="2"/>
      <c r="E26" s="2"/>
      <c r="F26" s="1">
        <f>IF(tblAccounts[[#This Row],[Account Name]]="","",INDEX('Business Engine'!$H$2:$H$200,ROW()-ROW(tblAccounts[#Headers])))</f>
      </c>
      <c r="G26" s="2"/>
      <c r="H26" s="2"/>
      <c r="I26" s="2"/>
      <c r="J26" s="2"/>
    </row>
    <row r="27">
      <c r="A27" s="1"/>
      <c r="B27" s="2"/>
      <c r="C27" s="2"/>
      <c r="D27" s="2"/>
      <c r="E27" s="2"/>
      <c r="F27" s="1">
        <f>IF(tblAccounts[[#This Row],[Account Name]]="","",INDEX('Business Engine'!$H$2:$H$200,ROW()-ROW(tblAccounts[#Headers])))</f>
      </c>
      <c r="G27" s="2"/>
      <c r="H27" s="2"/>
      <c r="I27" s="2"/>
      <c r="J27" s="2"/>
    </row>
    <row r="28">
      <c r="A28" s="1"/>
      <c r="B28" s="2"/>
      <c r="C28" s="2"/>
      <c r="D28" s="2"/>
      <c r="E28" s="2"/>
      <c r="F28" s="1">
        <f>IF(tblAccounts[[#This Row],[Account Name]]="","",INDEX('Business Engine'!$H$2:$H$200,ROW()-ROW(tblAccounts[#Headers])))</f>
      </c>
      <c r="G28" s="2"/>
      <c r="H28" s="2"/>
      <c r="I28" s="2"/>
      <c r="J28" s="2"/>
    </row>
    <row r="29">
      <c r="A29" s="1"/>
      <c r="B29" s="2"/>
      <c r="C29" s="2"/>
      <c r="D29" s="2"/>
      <c r="E29" s="2"/>
      <c r="F29" s="1">
        <f>IF(tblAccounts[[#This Row],[Account Name]]="","",INDEX('Business Engine'!$H$2:$H$200,ROW()-ROW(tblAccounts[#Headers])))</f>
      </c>
      <c r="G29" s="2"/>
      <c r="H29" s="2"/>
      <c r="I29" s="2"/>
      <c r="J29" s="2"/>
    </row>
    <row r="30">
      <c r="A30" s="1"/>
      <c r="B30" s="2"/>
      <c r="C30" s="2"/>
      <c r="D30" s="2"/>
      <c r="E30" s="2"/>
      <c r="F30" s="1">
        <f>IF(tblAccounts[[#This Row],[Account Name]]="","",INDEX('Business Engine'!$H$2:$H$200,ROW()-ROW(tblAccounts[#Headers])))</f>
      </c>
      <c r="G30" s="2"/>
      <c r="H30" s="2"/>
      <c r="I30" s="2"/>
      <c r="J30" s="2"/>
    </row>
    <row r="31">
      <c r="A31" s="1"/>
      <c r="B31" s="2"/>
      <c r="C31" s="2"/>
      <c r="D31" s="2"/>
      <c r="E31" s="2"/>
      <c r="F31" s="1">
        <f>IF(tblAccounts[[#This Row],[Account Name]]="","",INDEX('Business Engine'!$H$2:$H$200,ROW()-ROW(tblAccounts[#Headers])))</f>
      </c>
      <c r="G31" s="2"/>
      <c r="H31" s="2"/>
      <c r="I31" s="2"/>
      <c r="J31" s="2"/>
    </row>
    <row r="32">
      <c r="A32" s="1"/>
      <c r="B32" s="2"/>
      <c r="C32" s="2"/>
      <c r="D32" s="2"/>
      <c r="E32" s="2"/>
      <c r="F32" s="1">
        <f>IF(tblAccounts[[#This Row],[Account Name]]="","",INDEX('Business Engine'!$H$2:$H$200,ROW()-ROW(tblAccounts[#Headers])))</f>
      </c>
      <c r="G32" s="2"/>
      <c r="H32" s="2"/>
      <c r="I32" s="2"/>
      <c r="J32" s="2"/>
    </row>
    <row r="33">
      <c r="A33" s="1"/>
      <c r="B33" s="2"/>
      <c r="C33" s="2"/>
      <c r="D33" s="2"/>
      <c r="E33" s="2"/>
      <c r="F33" s="1">
        <f>IF(tblAccounts[[#This Row],[Account Name]]="","",INDEX('Business Engine'!$H$2:$H$200,ROW()-ROW(tblAccounts[#Headers])))</f>
      </c>
      <c r="G33" s="2"/>
      <c r="H33" s="2"/>
      <c r="I33" s="2"/>
      <c r="J33" s="2"/>
    </row>
    <row r="34">
      <c r="A34" s="1"/>
      <c r="B34" s="2"/>
      <c r="C34" s="2"/>
      <c r="D34" s="2"/>
      <c r="E34" s="2"/>
      <c r="F34" s="1">
        <f>IF(tblAccounts[[#This Row],[Account Name]]="","",INDEX('Business Engine'!$H$2:$H$200,ROW()-ROW(tblAccounts[#Headers])))</f>
      </c>
      <c r="G34" s="2"/>
      <c r="H34" s="2"/>
      <c r="I34" s="2"/>
      <c r="J34" s="2"/>
    </row>
    <row r="35">
      <c r="A35" s="1"/>
      <c r="B35" s="2"/>
      <c r="C35" s="2"/>
      <c r="D35" s="2"/>
      <c r="E35" s="2"/>
      <c r="F35" s="1">
        <f>IF(tblAccounts[[#This Row],[Account Name]]="","",INDEX('Business Engine'!$H$2:$H$200,ROW()-ROW(tblAccounts[#Headers])))</f>
      </c>
      <c r="G35" s="2"/>
      <c r="H35" s="2"/>
      <c r="I35" s="2"/>
      <c r="J35" s="2"/>
    </row>
    <row r="36">
      <c r="A36" s="1"/>
      <c r="B36" s="2"/>
      <c r="C36" s="2"/>
      <c r="D36" s="2"/>
      <c r="E36" s="2"/>
      <c r="F36" s="1">
        <f>IF(tblAccounts[[#This Row],[Account Name]]="","",INDEX('Business Engine'!$H$2:$H$200,ROW()-ROW(tblAccounts[#Headers])))</f>
      </c>
      <c r="G36" s="2"/>
      <c r="H36" s="2"/>
      <c r="I36" s="2"/>
      <c r="J36" s="2"/>
    </row>
    <row r="37">
      <c r="A37" s="1"/>
      <c r="B37" s="2"/>
      <c r="C37" s="2"/>
      <c r="D37" s="2"/>
      <c r="E37" s="2"/>
      <c r="F37" s="1">
        <f>IF(tblAccounts[[#This Row],[Account Name]]="","",INDEX('Business Engine'!$H$2:$H$200,ROW()-ROW(tblAccounts[#Headers])))</f>
      </c>
      <c r="G37" s="2"/>
      <c r="H37" s="2"/>
      <c r="I37" s="2"/>
      <c r="J37" s="2"/>
    </row>
    <row r="38">
      <c r="A38" s="1"/>
      <c r="B38" s="2"/>
      <c r="C38" s="2"/>
      <c r="D38" s="2"/>
      <c r="E38" s="2"/>
      <c r="F38" s="1">
        <f>IF(tblAccounts[[#This Row],[Account Name]]="","",INDEX('Business Engine'!$H$2:$H$200,ROW()-ROW(tblAccounts[#Headers])))</f>
      </c>
      <c r="G38" s="2"/>
      <c r="H38" s="2"/>
      <c r="I38" s="2"/>
      <c r="J38" s="2"/>
    </row>
    <row r="39">
      <c r="A39" s="1"/>
      <c r="B39" s="2"/>
      <c r="C39" s="2"/>
      <c r="D39" s="2"/>
      <c r="E39" s="2"/>
      <c r="F39" s="1">
        <f>IF(tblAccounts[[#This Row],[Account Name]]="","",INDEX('Business Engine'!$H$2:$H$200,ROW()-ROW(tblAccounts[#Headers])))</f>
      </c>
      <c r="G39" s="2"/>
      <c r="H39" s="2"/>
      <c r="I39" s="2"/>
      <c r="J39" s="2"/>
    </row>
    <row r="40">
      <c r="A40" s="1"/>
      <c r="B40" s="2"/>
      <c r="C40" s="2"/>
      <c r="D40" s="2"/>
      <c r="E40" s="2"/>
      <c r="F40" s="1">
        <f>IF(tblAccounts[[#This Row],[Account Name]]="","",INDEX('Business Engine'!$H$2:$H$200,ROW()-ROW(tblAccounts[#Headers])))</f>
      </c>
      <c r="G40" s="2"/>
      <c r="H40" s="2"/>
      <c r="I40" s="2"/>
      <c r="J40" s="2"/>
    </row>
    <row r="41">
      <c r="A41" s="1"/>
      <c r="B41" s="2"/>
      <c r="C41" s="2"/>
      <c r="D41" s="2"/>
      <c r="E41" s="2"/>
      <c r="F41" s="1">
        <f>IF(tblAccounts[[#This Row],[Account Name]]="","",INDEX('Business Engine'!$H$2:$H$200,ROW()-ROW(tblAccounts[#Headers])))</f>
      </c>
      <c r="G41" s="2"/>
      <c r="H41" s="2"/>
      <c r="I41" s="2"/>
      <c r="J41" s="2"/>
    </row>
    <row r="42">
      <c r="A42" s="1"/>
      <c r="B42" s="2"/>
      <c r="C42" s="2"/>
      <c r="D42" s="2"/>
      <c r="E42" s="2"/>
      <c r="F42" s="1">
        <f>IF(tblAccounts[[#This Row],[Account Name]]="","",INDEX('Business Engine'!$H$2:$H$200,ROW()-ROW(tblAccounts[#Headers])))</f>
      </c>
      <c r="G42" s="2"/>
      <c r="H42" s="2"/>
      <c r="I42" s="2"/>
      <c r="J42" s="2"/>
    </row>
    <row r="43">
      <c r="A43" s="1"/>
      <c r="B43" s="2"/>
      <c r="C43" s="2"/>
      <c r="D43" s="2"/>
      <c r="E43" s="2"/>
      <c r="F43" s="1">
        <f>IF(tblAccounts[[#This Row],[Account Name]]="","",INDEX('Business Engine'!$H$2:$H$200,ROW()-ROW(tblAccounts[#Headers])))</f>
      </c>
      <c r="G43" s="2"/>
      <c r="H43" s="2"/>
      <c r="I43" s="2"/>
      <c r="J43" s="2"/>
    </row>
    <row r="44">
      <c r="A44" s="1"/>
      <c r="B44" s="2"/>
      <c r="C44" s="2"/>
      <c r="D44" s="2"/>
      <c r="E44" s="2"/>
      <c r="F44" s="1">
        <f>IF(tblAccounts[[#This Row],[Account Name]]="","",INDEX('Business Engine'!$H$2:$H$200,ROW()-ROW(tblAccounts[#Headers])))</f>
      </c>
      <c r="G44" s="2"/>
      <c r="H44" s="2"/>
      <c r="I44" s="2"/>
      <c r="J44" s="2"/>
    </row>
    <row r="45">
      <c r="A45" s="1"/>
      <c r="B45" s="2"/>
      <c r="C45" s="2"/>
      <c r="D45" s="2"/>
      <c r="E45" s="2"/>
      <c r="F45" s="1">
        <f>IF(tblAccounts[[#This Row],[Account Name]]="","",INDEX('Business Engine'!$H$2:$H$200,ROW()-ROW(tblAccounts[#Headers])))</f>
      </c>
      <c r="G45" s="2"/>
      <c r="H45" s="2"/>
      <c r="I45" s="2"/>
      <c r="J45" s="2"/>
    </row>
    <row r="46">
      <c r="A46" s="1"/>
      <c r="B46" s="2"/>
      <c r="C46" s="2"/>
      <c r="D46" s="2"/>
      <c r="E46" s="2"/>
      <c r="F46" s="1">
        <f>IF(tblAccounts[[#This Row],[Account Name]]="","",INDEX('Business Engine'!$H$2:$H$200,ROW()-ROW(tblAccounts[#Headers])))</f>
      </c>
      <c r="G46" s="2"/>
      <c r="H46" s="2"/>
      <c r="I46" s="2"/>
      <c r="J46" s="2"/>
    </row>
    <row r="47">
      <c r="A47" s="1"/>
      <c r="B47" s="2"/>
      <c r="C47" s="2"/>
      <c r="D47" s="2"/>
      <c r="E47" s="2"/>
      <c r="F47" s="1">
        <f>IF(tblAccounts[[#This Row],[Account Name]]="","",INDEX('Business Engine'!$H$2:$H$200,ROW()-ROW(tblAccounts[#Headers])))</f>
      </c>
      <c r="G47" s="2"/>
      <c r="H47" s="2"/>
      <c r="I47" s="2"/>
      <c r="J47" s="2"/>
    </row>
    <row r="48">
      <c r="A48" s="1"/>
      <c r="B48" s="2"/>
      <c r="C48" s="2"/>
      <c r="D48" s="2"/>
      <c r="E48" s="2"/>
      <c r="F48" s="1">
        <f>IF(tblAccounts[[#This Row],[Account Name]]="","",INDEX('Business Engine'!$H$2:$H$200,ROW()-ROW(tblAccounts[#Headers])))</f>
      </c>
      <c r="G48" s="2"/>
      <c r="H48" s="2"/>
      <c r="I48" s="2"/>
      <c r="J48" s="2"/>
    </row>
    <row r="49">
      <c r="A49" s="1"/>
      <c r="B49" s="2"/>
      <c r="C49" s="2"/>
      <c r="D49" s="2"/>
      <c r="E49" s="2"/>
      <c r="F49" s="1">
        <f>IF(tblAccounts[[#This Row],[Account Name]]="","",INDEX('Business Engine'!$H$2:$H$200,ROW()-ROW(tblAccounts[#Headers])))</f>
      </c>
      <c r="G49" s="2"/>
      <c r="H49" s="2"/>
      <c r="I49" s="2"/>
      <c r="J49" s="2"/>
    </row>
    <row r="50">
      <c r="A50" s="1"/>
      <c r="B50" s="2"/>
      <c r="C50" s="2"/>
      <c r="D50" s="2"/>
      <c r="E50" s="2"/>
      <c r="F50" s="1">
        <f>IF(tblAccounts[[#This Row],[Account Name]]="","",INDEX('Business Engine'!$H$2:$H$200,ROW()-ROW(tblAccounts[#Headers])))</f>
      </c>
      <c r="G50" s="2"/>
      <c r="H50" s="2"/>
      <c r="I50" s="2"/>
      <c r="J50" s="2"/>
    </row>
    <row r="51">
      <c r="A51" s="1"/>
      <c r="B51" s="2"/>
      <c r="C51" s="2"/>
      <c r="D51" s="2"/>
      <c r="E51" s="2"/>
      <c r="F51" s="1">
        <f>IF(tblAccounts[[#This Row],[Account Name]]="","",INDEX('Business Engine'!$H$2:$H$200,ROW()-ROW(tblAccounts[#Headers])))</f>
      </c>
      <c r="G51" s="2"/>
      <c r="H51" s="2"/>
      <c r="I51" s="2"/>
      <c r="J51" s="2"/>
    </row>
    <row r="52">
      <c r="A52" s="1"/>
      <c r="B52" s="2"/>
      <c r="C52" s="2"/>
      <c r="D52" s="2"/>
      <c r="E52" s="2"/>
      <c r="F52" s="1">
        <f>IF(tblAccounts[[#This Row],[Account Name]]="","",INDEX('Business Engine'!$H$2:$H$200,ROW()-ROW(tblAccounts[#Headers])))</f>
      </c>
      <c r="G52" s="2"/>
      <c r="H52" s="2"/>
      <c r="I52" s="2"/>
      <c r="J52" s="2"/>
    </row>
    <row r="53">
      <c r="A53" s="1"/>
      <c r="B53" s="2"/>
      <c r="C53" s="2"/>
      <c r="D53" s="2"/>
      <c r="E53" s="2"/>
      <c r="F53" s="1">
        <f>IF(tblAccounts[[#This Row],[Account Name]]="","",INDEX('Business Engine'!$H$2:$H$200,ROW()-ROW(tblAccounts[#Headers])))</f>
      </c>
      <c r="G53" s="2"/>
      <c r="H53" s="2"/>
      <c r="I53" s="2"/>
      <c r="J53" s="2"/>
    </row>
    <row r="54">
      <c r="A54" s="1"/>
      <c r="B54" s="2"/>
      <c r="C54" s="2"/>
      <c r="D54" s="2"/>
      <c r="E54" s="2"/>
      <c r="F54" s="1">
        <f>IF(tblAccounts[[#This Row],[Account Name]]="","",INDEX('Business Engine'!$H$2:$H$200,ROW()-ROW(tblAccounts[#Headers])))</f>
      </c>
      <c r="G54" s="2"/>
      <c r="H54" s="2"/>
      <c r="I54" s="2"/>
      <c r="J54" s="2"/>
    </row>
    <row r="55">
      <c r="A55" s="1"/>
      <c r="B55" s="2"/>
      <c r="C55" s="2"/>
      <c r="D55" s="2"/>
      <c r="E55" s="2"/>
      <c r="F55" s="1">
        <f>IF(tblAccounts[[#This Row],[Account Name]]="","",INDEX('Business Engine'!$H$2:$H$200,ROW()-ROW(tblAccounts[#Headers])))</f>
      </c>
      <c r="G55" s="2"/>
      <c r="H55" s="2"/>
      <c r="I55" s="2"/>
      <c r="J55" s="2"/>
    </row>
    <row r="56">
      <c r="A56" s="1"/>
      <c r="B56" s="2"/>
      <c r="C56" s="2"/>
      <c r="D56" s="2"/>
      <c r="E56" s="2"/>
      <c r="F56" s="1">
        <f>IF(tblAccounts[[#This Row],[Account Name]]="","",INDEX('Business Engine'!$H$2:$H$200,ROW()-ROW(tblAccounts[#Headers])))</f>
      </c>
      <c r="G56" s="2"/>
      <c r="H56" s="2"/>
      <c r="I56" s="2"/>
      <c r="J56" s="2"/>
    </row>
    <row r="57">
      <c r="A57" s="1"/>
      <c r="B57" s="2"/>
      <c r="C57" s="2"/>
      <c r="D57" s="2"/>
      <c r="E57" s="2"/>
      <c r="F57" s="1">
        <f>IF(tblAccounts[[#This Row],[Account Name]]="","",INDEX('Business Engine'!$H$2:$H$200,ROW()-ROW(tblAccounts[#Headers])))</f>
      </c>
      <c r="G57" s="2"/>
      <c r="H57" s="2"/>
      <c r="I57" s="2"/>
      <c r="J57" s="2"/>
    </row>
    <row r="58">
      <c r="A58" s="1"/>
      <c r="B58" s="2"/>
      <c r="C58" s="2"/>
      <c r="D58" s="2"/>
      <c r="E58" s="2"/>
      <c r="F58" s="1">
        <f>IF(tblAccounts[[#This Row],[Account Name]]="","",INDEX('Business Engine'!$H$2:$H$200,ROW()-ROW(tblAccounts[#Headers])))</f>
      </c>
      <c r="G58" s="2"/>
      <c r="H58" s="2"/>
      <c r="I58" s="2"/>
      <c r="J58" s="2"/>
    </row>
    <row r="59">
      <c r="A59" s="1"/>
      <c r="B59" s="2"/>
      <c r="C59" s="2"/>
      <c r="D59" s="2"/>
      <c r="E59" s="2"/>
      <c r="F59" s="1">
        <f>IF(tblAccounts[[#This Row],[Account Name]]="","",INDEX('Business Engine'!$H$2:$H$200,ROW()-ROW(tblAccounts[#Headers])))</f>
      </c>
      <c r="G59" s="2"/>
      <c r="H59" s="2"/>
      <c r="I59" s="2"/>
      <c r="J59" s="2"/>
    </row>
    <row r="60">
      <c r="A60" s="1"/>
      <c r="B60" s="2"/>
      <c r="C60" s="2"/>
      <c r="D60" s="2"/>
      <c r="E60" s="2"/>
      <c r="F60" s="1">
        <f>IF(tblAccounts[[#This Row],[Account Name]]="","",INDEX('Business Engine'!$H$2:$H$200,ROW()-ROW(tblAccounts[#Headers])))</f>
      </c>
      <c r="G60" s="2"/>
      <c r="H60" s="2"/>
      <c r="I60" s="2"/>
      <c r="J60" s="2"/>
    </row>
    <row r="61">
      <c r="A61" s="1"/>
      <c r="B61" s="2"/>
      <c r="C61" s="2"/>
      <c r="D61" s="2"/>
      <c r="E61" s="2"/>
      <c r="F61" s="1">
        <f>IF(tblAccounts[[#This Row],[Account Name]]="","",INDEX('Business Engine'!$H$2:$H$200,ROW()-ROW(tblAccounts[#Headers])))</f>
      </c>
      <c r="G61" s="2"/>
      <c r="H61" s="2"/>
      <c r="I61" s="2"/>
      <c r="J61" s="2"/>
    </row>
    <row r="62">
      <c r="A62" s="1"/>
      <c r="B62" s="2"/>
      <c r="C62" s="2"/>
      <c r="D62" s="2"/>
      <c r="E62" s="2"/>
      <c r="F62" s="1">
        <f>IF(tblAccounts[[#This Row],[Account Name]]="","",INDEX('Business Engine'!$H$2:$H$200,ROW()-ROW(tblAccounts[#Headers])))</f>
      </c>
      <c r="G62" s="2"/>
      <c r="H62" s="2"/>
      <c r="I62" s="2"/>
      <c r="J62" s="2"/>
    </row>
    <row r="63">
      <c r="A63" s="1"/>
      <c r="B63" s="2"/>
      <c r="C63" s="2"/>
      <c r="D63" s="2"/>
      <c r="E63" s="2"/>
      <c r="F63" s="1">
        <f>IF(tblAccounts[[#This Row],[Account Name]]="","",INDEX('Business Engine'!$H$2:$H$200,ROW()-ROW(tblAccounts[#Headers])))</f>
      </c>
      <c r="G63" s="2"/>
      <c r="H63" s="2"/>
      <c r="I63" s="2"/>
      <c r="J63" s="2"/>
    </row>
    <row r="64">
      <c r="A64" s="1"/>
      <c r="B64" s="2"/>
      <c r="C64" s="2"/>
      <c r="D64" s="2"/>
      <c r="E64" s="2"/>
      <c r="F64" s="1">
        <f>IF(tblAccounts[[#This Row],[Account Name]]="","",INDEX('Business Engine'!$H$2:$H$200,ROW()-ROW(tblAccounts[#Headers])))</f>
      </c>
      <c r="G64" s="2"/>
      <c r="H64" s="2"/>
      <c r="I64" s="2"/>
      <c r="J64" s="2"/>
    </row>
    <row r="65">
      <c r="A65" s="1"/>
      <c r="B65" s="2"/>
      <c r="C65" s="2"/>
      <c r="D65" s="2"/>
      <c r="E65" s="2"/>
      <c r="F65" s="1">
        <f>IF(tblAccounts[[#This Row],[Account Name]]="","",INDEX('Business Engine'!$H$2:$H$200,ROW()-ROW(tblAccounts[#Headers])))</f>
      </c>
      <c r="G65" s="2"/>
      <c r="H65" s="2"/>
      <c r="I65" s="2"/>
      <c r="J65" s="2"/>
    </row>
    <row r="66">
      <c r="A66" s="1"/>
      <c r="B66" s="2"/>
      <c r="C66" s="2"/>
      <c r="D66" s="2"/>
      <c r="E66" s="2"/>
      <c r="F66" s="1">
        <f>IF(tblAccounts[[#This Row],[Account Name]]="","",INDEX('Business Engine'!$H$2:$H$200,ROW()-ROW(tblAccounts[#Headers])))</f>
      </c>
      <c r="G66" s="2"/>
      <c r="H66" s="2"/>
      <c r="I66" s="2"/>
      <c r="J66" s="2"/>
    </row>
    <row r="67">
      <c r="A67" s="1"/>
      <c r="B67" s="2"/>
      <c r="C67" s="2"/>
      <c r="D67" s="2"/>
      <c r="E67" s="2"/>
      <c r="F67" s="1">
        <f>IF(tblAccounts[[#This Row],[Account Name]]="","",INDEX('Business Engine'!$H$2:$H$200,ROW()-ROW(tblAccounts[#Headers])))</f>
      </c>
      <c r="G67" s="2"/>
      <c r="H67" s="2"/>
      <c r="I67" s="2"/>
      <c r="J67" s="2"/>
    </row>
    <row r="68">
      <c r="A68" s="1"/>
      <c r="B68" s="2"/>
      <c r="C68" s="2"/>
      <c r="D68" s="2"/>
      <c r="E68" s="2"/>
      <c r="F68" s="1">
        <f>IF(tblAccounts[[#This Row],[Account Name]]="","",INDEX('Business Engine'!$H$2:$H$200,ROW()-ROW(tblAccounts[#Headers])))</f>
      </c>
      <c r="G68" s="2"/>
      <c r="H68" s="2"/>
      <c r="I68" s="2"/>
      <c r="J68" s="2"/>
    </row>
    <row r="69">
      <c r="A69" s="1"/>
      <c r="B69" s="2"/>
      <c r="C69" s="2"/>
      <c r="D69" s="2"/>
      <c r="E69" s="2"/>
      <c r="F69" s="1">
        <f>IF(tblAccounts[[#This Row],[Account Name]]="","",INDEX('Business Engine'!$H$2:$H$200,ROW()-ROW(tblAccounts[#Headers])))</f>
      </c>
      <c r="G69" s="2"/>
      <c r="H69" s="2"/>
      <c r="I69" s="2"/>
      <c r="J69" s="2"/>
    </row>
    <row r="70">
      <c r="A70" s="1"/>
      <c r="B70" s="2"/>
      <c r="C70" s="2"/>
      <c r="D70" s="2"/>
      <c r="E70" s="2"/>
      <c r="F70" s="1">
        <f>IF(tblAccounts[[#This Row],[Account Name]]="","",INDEX('Business Engine'!$H$2:$H$200,ROW()-ROW(tblAccounts[#Headers])))</f>
      </c>
      <c r="G70" s="2"/>
      <c r="H70" s="2"/>
      <c r="I70" s="2"/>
      <c r="J70" s="2"/>
    </row>
    <row r="71">
      <c r="A71" s="1"/>
      <c r="B71" s="2"/>
      <c r="C71" s="2"/>
      <c r="D71" s="2"/>
      <c r="E71" s="2"/>
      <c r="F71" s="1">
        <f>IF(tblAccounts[[#This Row],[Account Name]]="","",INDEX('Business Engine'!$H$2:$H$200,ROW()-ROW(tblAccounts[#Headers])))</f>
      </c>
      <c r="G71" s="2"/>
      <c r="H71" s="2"/>
      <c r="I71" s="2"/>
      <c r="J71" s="2"/>
    </row>
    <row r="72">
      <c r="A72" s="1"/>
      <c r="B72" s="2"/>
      <c r="C72" s="2"/>
      <c r="D72" s="2"/>
      <c r="E72" s="2"/>
      <c r="F72" s="1">
        <f>IF(tblAccounts[[#This Row],[Account Name]]="","",INDEX('Business Engine'!$H$2:$H$200,ROW()-ROW(tblAccounts[#Headers])))</f>
      </c>
      <c r="G72" s="2"/>
      <c r="H72" s="2"/>
      <c r="I72" s="2"/>
      <c r="J72" s="2"/>
    </row>
    <row r="73">
      <c r="A73" s="1"/>
      <c r="B73" s="2"/>
      <c r="C73" s="2"/>
      <c r="D73" s="2"/>
      <c r="E73" s="2"/>
      <c r="F73" s="1">
        <f>IF(tblAccounts[[#This Row],[Account Name]]="","",INDEX('Business Engine'!$H$2:$H$200,ROW()-ROW(tblAccounts[#Headers])))</f>
      </c>
      <c r="G73" s="2"/>
      <c r="H73" s="2"/>
      <c r="I73" s="2"/>
      <c r="J73" s="2"/>
    </row>
    <row r="74">
      <c r="A74" s="1"/>
      <c r="B74" s="2"/>
      <c r="C74" s="2"/>
      <c r="D74" s="2"/>
      <c r="E74" s="2"/>
      <c r="F74" s="1">
        <f>IF(tblAccounts[[#This Row],[Account Name]]="","",INDEX('Business Engine'!$H$2:$H$200,ROW()-ROW(tblAccounts[#Headers])))</f>
      </c>
      <c r="G74" s="2"/>
      <c r="H74" s="2"/>
      <c r="I74" s="2"/>
      <c r="J74" s="2"/>
    </row>
    <row r="75">
      <c r="A75" s="1"/>
      <c r="B75" s="2"/>
      <c r="C75" s="2"/>
      <c r="D75" s="2"/>
      <c r="E75" s="2"/>
      <c r="F75" s="1">
        <f>IF(tblAccounts[[#This Row],[Account Name]]="","",INDEX('Business Engine'!$H$2:$H$200,ROW()-ROW(tblAccounts[#Headers])))</f>
      </c>
      <c r="G75" s="2"/>
      <c r="H75" s="2"/>
      <c r="I75" s="2"/>
      <c r="J75" s="2"/>
    </row>
    <row r="76">
      <c r="A76" s="1"/>
      <c r="B76" s="2"/>
      <c r="C76" s="2"/>
      <c r="D76" s="2"/>
      <c r="E76" s="2"/>
      <c r="F76" s="1">
        <f>IF(tblAccounts[[#This Row],[Account Name]]="","",INDEX('Business Engine'!$H$2:$H$200,ROW()-ROW(tblAccounts[#Headers])))</f>
      </c>
      <c r="G76" s="2"/>
      <c r="H76" s="2"/>
      <c r="I76" s="2"/>
      <c r="J76" s="2"/>
    </row>
    <row r="77">
      <c r="A77" s="1"/>
      <c r="B77" s="2"/>
      <c r="C77" s="2"/>
      <c r="D77" s="2"/>
      <c r="E77" s="2"/>
      <c r="F77" s="1">
        <f>IF(tblAccounts[[#This Row],[Account Name]]="","",INDEX('Business Engine'!$H$2:$H$200,ROW()-ROW(tblAccounts[#Headers])))</f>
      </c>
      <c r="G77" s="2"/>
      <c r="H77" s="2"/>
      <c r="I77" s="2"/>
      <c r="J77" s="2"/>
    </row>
    <row r="78">
      <c r="A78" s="1"/>
      <c r="B78" s="2"/>
      <c r="C78" s="2"/>
      <c r="D78" s="2"/>
      <c r="E78" s="2"/>
      <c r="F78" s="1">
        <f>IF(tblAccounts[[#This Row],[Account Name]]="","",INDEX('Business Engine'!$H$2:$H$200,ROW()-ROW(tblAccounts[#Headers])))</f>
      </c>
      <c r="G78" s="2"/>
      <c r="H78" s="2"/>
      <c r="I78" s="2"/>
      <c r="J78" s="2"/>
    </row>
    <row r="79">
      <c r="A79" s="1"/>
      <c r="B79" s="2"/>
      <c r="C79" s="2"/>
      <c r="D79" s="2"/>
      <c r="E79" s="2"/>
      <c r="F79" s="1">
        <f>IF(tblAccounts[[#This Row],[Account Name]]="","",INDEX('Business Engine'!$H$2:$H$200,ROW()-ROW(tblAccounts[#Headers])))</f>
      </c>
      <c r="G79" s="2"/>
      <c r="H79" s="2"/>
      <c r="I79" s="2"/>
      <c r="J79" s="2"/>
    </row>
    <row r="80">
      <c r="A80" s="1"/>
      <c r="B80" s="2"/>
      <c r="C80" s="2"/>
      <c r="D80" s="2"/>
      <c r="E80" s="2"/>
      <c r="F80" s="1">
        <f>IF(tblAccounts[[#This Row],[Account Name]]="","",INDEX('Business Engine'!$H$2:$H$200,ROW()-ROW(tblAccounts[#Headers])))</f>
      </c>
      <c r="G80" s="2"/>
      <c r="H80" s="2"/>
      <c r="I80" s="2"/>
      <c r="J80" s="2"/>
    </row>
    <row r="81">
      <c r="A81" s="1"/>
      <c r="B81" s="2"/>
      <c r="C81" s="2"/>
      <c r="D81" s="2"/>
      <c r="E81" s="2"/>
      <c r="F81" s="1">
        <f>IF(tblAccounts[[#This Row],[Account Name]]="","",INDEX('Business Engine'!$H$2:$H$200,ROW()-ROW(tblAccounts[#Headers])))</f>
      </c>
      <c r="G81" s="2"/>
      <c r="H81" s="2"/>
      <c r="I81" s="2"/>
      <c r="J81" s="2"/>
    </row>
    <row r="82">
      <c r="A82" s="1"/>
      <c r="B82" s="2"/>
      <c r="C82" s="2"/>
      <c r="D82" s="2"/>
      <c r="E82" s="2"/>
      <c r="F82" s="1">
        <f>IF(tblAccounts[[#This Row],[Account Name]]="","",INDEX('Business Engine'!$H$2:$H$200,ROW()-ROW(tblAccounts[#Headers])))</f>
      </c>
      <c r="G82" s="2"/>
      <c r="H82" s="2"/>
      <c r="I82" s="2"/>
      <c r="J82" s="2"/>
    </row>
    <row r="83">
      <c r="A83" s="1"/>
      <c r="B83" s="2"/>
      <c r="C83" s="2"/>
      <c r="D83" s="2"/>
      <c r="E83" s="2"/>
      <c r="F83" s="1">
        <f>IF(tblAccounts[[#This Row],[Account Name]]="","",INDEX('Business Engine'!$H$2:$H$200,ROW()-ROW(tblAccounts[#Headers])))</f>
      </c>
      <c r="G83" s="2"/>
      <c r="H83" s="2"/>
      <c r="I83" s="2"/>
      <c r="J83" s="2"/>
    </row>
    <row r="84">
      <c r="A84" s="1"/>
      <c r="B84" s="2"/>
      <c r="C84" s="2"/>
      <c r="D84" s="2"/>
      <c r="E84" s="2"/>
      <c r="F84" s="1">
        <f>IF(tblAccounts[[#This Row],[Account Name]]="","",INDEX('Business Engine'!$H$2:$H$200,ROW()-ROW(tblAccounts[#Headers])))</f>
      </c>
      <c r="G84" s="2"/>
      <c r="H84" s="2"/>
      <c r="I84" s="2"/>
      <c r="J84" s="2"/>
    </row>
    <row r="85">
      <c r="A85" s="1"/>
      <c r="B85" s="2"/>
      <c r="C85" s="2"/>
      <c r="D85" s="2"/>
      <c r="E85" s="2"/>
      <c r="F85" s="1">
        <f>IF(tblAccounts[[#This Row],[Account Name]]="","",INDEX('Business Engine'!$H$2:$H$200,ROW()-ROW(tblAccounts[#Headers])))</f>
      </c>
      <c r="G85" s="2"/>
      <c r="H85" s="2"/>
      <c r="I85" s="2"/>
      <c r="J85" s="2"/>
    </row>
    <row r="86">
      <c r="A86" s="1"/>
      <c r="B86" s="2"/>
      <c r="C86" s="2"/>
      <c r="D86" s="2"/>
      <c r="E86" s="2"/>
      <c r="F86" s="1">
        <f>IF(tblAccounts[[#This Row],[Account Name]]="","",INDEX('Business Engine'!$H$2:$H$200,ROW()-ROW(tblAccounts[#Headers])))</f>
      </c>
      <c r="G86" s="2"/>
      <c r="H86" s="2"/>
      <c r="I86" s="2"/>
      <c r="J86" s="2"/>
    </row>
    <row r="87">
      <c r="A87" s="1"/>
      <c r="B87" s="2"/>
      <c r="C87" s="2"/>
      <c r="D87" s="2"/>
      <c r="E87" s="2"/>
      <c r="F87" s="1">
        <f>IF(tblAccounts[[#This Row],[Account Name]]="","",INDEX('Business Engine'!$H$2:$H$200,ROW()-ROW(tblAccounts[#Headers])))</f>
      </c>
      <c r="G87" s="2"/>
      <c r="H87" s="2"/>
      <c r="I87" s="2"/>
      <c r="J87" s="2"/>
    </row>
    <row r="88">
      <c r="A88" s="1"/>
      <c r="B88" s="2"/>
      <c r="C88" s="2"/>
      <c r="D88" s="2"/>
      <c r="E88" s="2"/>
      <c r="F88" s="1">
        <f>IF(tblAccounts[[#This Row],[Account Name]]="","",INDEX('Business Engine'!$H$2:$H$200,ROW()-ROW(tblAccounts[#Headers])))</f>
      </c>
      <c r="G88" s="2"/>
      <c r="H88" s="2"/>
      <c r="I88" s="2"/>
      <c r="J88" s="2"/>
    </row>
    <row r="89">
      <c r="A89" s="1"/>
      <c r="B89" s="2"/>
      <c r="C89" s="2"/>
      <c r="D89" s="2"/>
      <c r="E89" s="2"/>
      <c r="F89" s="1">
        <f>IF(tblAccounts[[#This Row],[Account Name]]="","",INDEX('Business Engine'!$H$2:$H$200,ROW()-ROW(tblAccounts[#Headers])))</f>
      </c>
      <c r="G89" s="2"/>
      <c r="H89" s="2"/>
      <c r="I89" s="2"/>
      <c r="J89" s="2"/>
    </row>
    <row r="90">
      <c r="A90" s="1"/>
      <c r="B90" s="2"/>
      <c r="C90" s="2"/>
      <c r="D90" s="2"/>
      <c r="E90" s="2"/>
      <c r="F90" s="1">
        <f>IF(tblAccounts[[#This Row],[Account Name]]="","",INDEX('Business Engine'!$H$2:$H$200,ROW()-ROW(tblAccounts[#Headers])))</f>
      </c>
      <c r="G90" s="2"/>
      <c r="H90" s="2"/>
      <c r="I90" s="2"/>
      <c r="J90" s="2"/>
    </row>
    <row r="91">
      <c r="A91" s="1"/>
      <c r="B91" s="2"/>
      <c r="C91" s="2"/>
      <c r="D91" s="2"/>
      <c r="E91" s="2"/>
      <c r="F91" s="1">
        <f>IF(tblAccounts[[#This Row],[Account Name]]="","",INDEX('Business Engine'!$H$2:$H$200,ROW()-ROW(tblAccounts[#Headers])))</f>
      </c>
      <c r="G91" s="2"/>
      <c r="H91" s="2"/>
      <c r="I91" s="2"/>
      <c r="J91" s="2"/>
    </row>
    <row r="92">
      <c r="A92" s="1"/>
      <c r="B92" s="2"/>
      <c r="C92" s="2"/>
      <c r="D92" s="2"/>
      <c r="E92" s="2"/>
      <c r="F92" s="1">
        <f>IF(tblAccounts[[#This Row],[Account Name]]="","",INDEX('Business Engine'!$H$2:$H$200,ROW()-ROW(tblAccounts[#Headers])))</f>
      </c>
      <c r="G92" s="2"/>
      <c r="H92" s="2"/>
      <c r="I92" s="2"/>
      <c r="J92" s="2"/>
    </row>
    <row r="93">
      <c r="A93" s="1"/>
      <c r="B93" s="2"/>
      <c r="C93" s="2"/>
      <c r="D93" s="2"/>
      <c r="E93" s="2"/>
      <c r="F93" s="1">
        <f>IF(tblAccounts[[#This Row],[Account Name]]="","",INDEX('Business Engine'!$H$2:$H$200,ROW()-ROW(tblAccounts[#Headers])))</f>
      </c>
      <c r="G93" s="2"/>
      <c r="H93" s="2"/>
      <c r="I93" s="2"/>
      <c r="J93" s="2"/>
    </row>
    <row r="94">
      <c r="A94" s="1"/>
      <c r="B94" s="2"/>
      <c r="C94" s="2"/>
      <c r="D94" s="2"/>
      <c r="E94" s="2"/>
      <c r="F94" s="1">
        <f>IF(tblAccounts[[#This Row],[Account Name]]="","",INDEX('Business Engine'!$H$2:$H$200,ROW()-ROW(tblAccounts[#Headers])))</f>
      </c>
      <c r="G94" s="2"/>
      <c r="H94" s="2"/>
      <c r="I94" s="2"/>
      <c r="J94" s="2"/>
    </row>
    <row r="95">
      <c r="A95" s="1"/>
      <c r="B95" s="2"/>
      <c r="C95" s="2"/>
      <c r="D95" s="2"/>
      <c r="E95" s="2"/>
      <c r="F95" s="1">
        <f>IF(tblAccounts[[#This Row],[Account Name]]="","",INDEX('Business Engine'!$H$2:$H$200,ROW()-ROW(tblAccounts[#Headers])))</f>
      </c>
      <c r="G95" s="2"/>
      <c r="H95" s="2"/>
      <c r="I95" s="2"/>
      <c r="J95" s="2"/>
    </row>
    <row r="96">
      <c r="A96" s="1"/>
      <c r="B96" s="2"/>
      <c r="C96" s="2"/>
      <c r="D96" s="2"/>
      <c r="E96" s="2"/>
      <c r="F96" s="1">
        <f>IF(tblAccounts[[#This Row],[Account Name]]="","",INDEX('Business Engine'!$H$2:$H$200,ROW()-ROW(tblAccounts[#Headers])))</f>
      </c>
      <c r="G96" s="2"/>
      <c r="H96" s="2"/>
      <c r="I96" s="2"/>
      <c r="J96" s="2"/>
    </row>
    <row r="97">
      <c r="A97" s="1"/>
      <c r="B97" s="2"/>
      <c r="C97" s="2"/>
      <c r="D97" s="2"/>
      <c r="E97" s="2"/>
      <c r="F97" s="1">
        <f>IF(tblAccounts[[#This Row],[Account Name]]="","",INDEX('Business Engine'!$H$2:$H$200,ROW()-ROW(tblAccounts[#Headers])))</f>
      </c>
      <c r="G97" s="2"/>
      <c r="H97" s="2"/>
      <c r="I97" s="2"/>
      <c r="J97" s="2"/>
    </row>
    <row r="98">
      <c r="A98" s="1"/>
      <c r="B98" s="2"/>
      <c r="C98" s="2"/>
      <c r="D98" s="2"/>
      <c r="E98" s="2"/>
      <c r="F98" s="1">
        <f>IF(tblAccounts[[#This Row],[Account Name]]="","",INDEX('Business Engine'!$H$2:$H$200,ROW()-ROW(tblAccounts[#Headers])))</f>
      </c>
      <c r="G98" s="2"/>
      <c r="H98" s="2"/>
      <c r="I98" s="2"/>
      <c r="J98" s="2"/>
    </row>
    <row r="99">
      <c r="A99" s="1"/>
      <c r="B99" s="2"/>
      <c r="C99" s="2"/>
      <c r="D99" s="2"/>
      <c r="E99" s="2"/>
      <c r="F99" s="1">
        <f>IF(tblAccounts[[#This Row],[Account Name]]="","",INDEX('Business Engine'!$H$2:$H$200,ROW()-ROW(tblAccounts[#Headers])))</f>
      </c>
      <c r="G99" s="2"/>
      <c r="H99" s="2"/>
      <c r="I99" s="2"/>
      <c r="J99" s="2"/>
    </row>
    <row r="100">
      <c r="A100" s="1"/>
      <c r="B100" s="2"/>
      <c r="C100" s="2"/>
      <c r="D100" s="2"/>
      <c r="E100" s="2"/>
      <c r="F100" s="1">
        <f>IF(tblAccounts[[#This Row],[Account Name]]="","",INDEX('Business Engine'!$H$2:$H$200,ROW()-ROW(tblAccounts[#Headers])))</f>
      </c>
      <c r="G100" s="2"/>
      <c r="H100" s="2"/>
      <c r="I100" s="2"/>
      <c r="J100" s="2"/>
    </row>
    <row r="101">
      <c r="A101" s="1"/>
      <c r="B101" s="2"/>
      <c r="C101" s="2"/>
      <c r="D101" s="2"/>
      <c r="E101" s="2"/>
      <c r="F101" s="1">
        <f>IF(tblAccounts[[#This Row],[Account Name]]="","",INDEX('Business Engine'!$H$2:$H$200,ROW()-ROW(tblAccounts[#Headers])))</f>
      </c>
      <c r="G101" s="2"/>
      <c r="H101" s="2"/>
      <c r="I101" s="2"/>
      <c r="J101" s="2"/>
    </row>
    <row r="102">
      <c r="A102" s="1"/>
      <c r="B102" s="2"/>
      <c r="C102" s="2"/>
      <c r="D102" s="2"/>
      <c r="E102" s="2"/>
      <c r="F102" s="1">
        <f>IF(tblAccounts[[#This Row],[Account Name]]="","",INDEX('Business Engine'!$H$2:$H$200,ROW()-ROW(tblAccounts[#Headers])))</f>
      </c>
      <c r="G102" s="2"/>
      <c r="H102" s="2"/>
      <c r="I102" s="2"/>
      <c r="J102" s="2"/>
    </row>
    <row r="103">
      <c r="A103" s="1"/>
      <c r="B103" s="2"/>
      <c r="C103" s="2"/>
      <c r="D103" s="2"/>
      <c r="E103" s="2"/>
      <c r="F103" s="1">
        <f>IF(tblAccounts[[#This Row],[Account Name]]="","",INDEX('Business Engine'!$H$2:$H$200,ROW()-ROW(tblAccounts[#Headers])))</f>
      </c>
      <c r="G103" s="2"/>
      <c r="H103" s="2"/>
      <c r="I103" s="2"/>
      <c r="J103" s="2"/>
    </row>
    <row r="104">
      <c r="A104" s="1"/>
      <c r="B104" s="2"/>
      <c r="C104" s="2"/>
      <c r="D104" s="2"/>
      <c r="E104" s="2"/>
      <c r="F104" s="1">
        <f>IF(tblAccounts[[#This Row],[Account Name]]="","",INDEX('Business Engine'!$H$2:$H$200,ROW()-ROW(tblAccounts[#Headers])))</f>
      </c>
      <c r="G104" s="2"/>
      <c r="H104" s="2"/>
      <c r="I104" s="2"/>
      <c r="J104" s="2"/>
    </row>
    <row r="105">
      <c r="A105" s="1"/>
      <c r="B105" s="2"/>
      <c r="C105" s="2"/>
      <c r="D105" s="2"/>
      <c r="E105" s="2"/>
      <c r="F105" s="1">
        <f>IF(tblAccounts[[#This Row],[Account Name]]="","",INDEX('Business Engine'!$H$2:$H$200,ROW()-ROW(tblAccounts[#Headers])))</f>
      </c>
      <c r="G105" s="2"/>
      <c r="H105" s="2"/>
      <c r="I105" s="2"/>
      <c r="J105" s="2"/>
    </row>
    <row r="106">
      <c r="A106" s="1"/>
      <c r="B106" s="2"/>
      <c r="C106" s="2"/>
      <c r="D106" s="2"/>
      <c r="E106" s="2"/>
      <c r="F106" s="1">
        <f>IF(tblAccounts[[#This Row],[Account Name]]="","",INDEX('Business Engine'!$H$2:$H$200,ROW()-ROW(tblAccounts[#Headers])))</f>
      </c>
      <c r="G106" s="2"/>
      <c r="H106" s="2"/>
      <c r="I106" s="2"/>
      <c r="J106" s="2"/>
    </row>
    <row r="107">
      <c r="A107" s="1"/>
      <c r="B107" s="2"/>
      <c r="C107" s="2"/>
      <c r="D107" s="2"/>
      <c r="E107" s="2"/>
      <c r="F107" s="1">
        <f>IF(tblAccounts[[#This Row],[Account Name]]="","",INDEX('Business Engine'!$H$2:$H$200,ROW()-ROW(tblAccounts[#Headers])))</f>
      </c>
      <c r="G107" s="2"/>
      <c r="H107" s="2"/>
      <c r="I107" s="2"/>
      <c r="J107" s="2"/>
    </row>
    <row r="108">
      <c r="A108" s="1"/>
      <c r="B108" s="2"/>
      <c r="C108" s="2"/>
      <c r="D108" s="2"/>
      <c r="E108" s="2"/>
      <c r="F108" s="1">
        <f>IF(tblAccounts[[#This Row],[Account Name]]="","",INDEX('Business Engine'!$H$2:$H$200,ROW()-ROW(tblAccounts[#Headers])))</f>
      </c>
      <c r="G108" s="2"/>
      <c r="H108" s="2"/>
      <c r="I108" s="2"/>
      <c r="J108" s="2"/>
    </row>
    <row r="109">
      <c r="A109" s="1"/>
      <c r="B109" s="2"/>
      <c r="C109" s="2"/>
      <c r="D109" s="2"/>
      <c r="E109" s="2"/>
      <c r="F109" s="1">
        <f>IF(tblAccounts[[#This Row],[Account Name]]="","",INDEX('Business Engine'!$H$2:$H$200,ROW()-ROW(tblAccounts[#Headers])))</f>
      </c>
      <c r="G109" s="2"/>
      <c r="H109" s="2"/>
      <c r="I109" s="2"/>
      <c r="J109" s="2"/>
    </row>
    <row r="110">
      <c r="A110" s="1"/>
      <c r="B110" s="2"/>
      <c r="C110" s="2"/>
      <c r="D110" s="2"/>
      <c r="E110" s="2"/>
      <c r="F110" s="1">
        <f>IF(tblAccounts[[#This Row],[Account Name]]="","",INDEX('Business Engine'!$H$2:$H$200,ROW()-ROW(tblAccounts[#Headers])))</f>
      </c>
      <c r="G110" s="2"/>
      <c r="H110" s="2"/>
      <c r="I110" s="2"/>
      <c r="J110" s="2"/>
    </row>
    <row r="111">
      <c r="A111" s="1"/>
      <c r="B111" s="2"/>
      <c r="C111" s="2"/>
      <c r="D111" s="2"/>
      <c r="E111" s="2"/>
      <c r="F111" s="1">
        <f>IF(tblAccounts[[#This Row],[Account Name]]="","",INDEX('Business Engine'!$H$2:$H$200,ROW()-ROW(tblAccounts[#Headers])))</f>
      </c>
      <c r="G111" s="2"/>
      <c r="H111" s="2"/>
      <c r="I111" s="2"/>
      <c r="J111" s="2"/>
    </row>
    <row r="112">
      <c r="A112" s="1"/>
      <c r="B112" s="2"/>
      <c r="C112" s="2"/>
      <c r="D112" s="2"/>
      <c r="E112" s="2"/>
      <c r="F112" s="1">
        <f>IF(tblAccounts[[#This Row],[Account Name]]="","",INDEX('Business Engine'!$H$2:$H$200,ROW()-ROW(tblAccounts[#Headers])))</f>
      </c>
      <c r="G112" s="2"/>
      <c r="H112" s="2"/>
      <c r="I112" s="2"/>
      <c r="J112" s="2"/>
    </row>
    <row r="113">
      <c r="A113" s="1"/>
      <c r="B113" s="2"/>
      <c r="C113" s="2"/>
      <c r="D113" s="2"/>
      <c r="E113" s="2"/>
      <c r="F113" s="1">
        <f>IF(tblAccounts[[#This Row],[Account Name]]="","",INDEX('Business Engine'!$H$2:$H$200,ROW()-ROW(tblAccounts[#Headers])))</f>
      </c>
      <c r="G113" s="2"/>
      <c r="H113" s="2"/>
      <c r="I113" s="2"/>
      <c r="J113" s="2"/>
    </row>
    <row r="114">
      <c r="A114" s="1"/>
      <c r="B114" s="2"/>
      <c r="C114" s="2"/>
      <c r="D114" s="2"/>
      <c r="E114" s="2"/>
      <c r="F114" s="1">
        <f>IF(tblAccounts[[#This Row],[Account Name]]="","",INDEX('Business Engine'!$H$2:$H$200,ROW()-ROW(tblAccounts[#Headers])))</f>
      </c>
      <c r="G114" s="2"/>
      <c r="H114" s="2"/>
      <c r="I114" s="2"/>
      <c r="J114" s="2"/>
    </row>
    <row r="115">
      <c r="A115" s="1"/>
      <c r="B115" s="2"/>
      <c r="C115" s="2"/>
      <c r="D115" s="2"/>
      <c r="E115" s="2"/>
      <c r="F115" s="1">
        <f>IF(tblAccounts[[#This Row],[Account Name]]="","",INDEX('Business Engine'!$H$2:$H$200,ROW()-ROW(tblAccounts[#Headers])))</f>
      </c>
      <c r="G115" s="2"/>
      <c r="H115" s="2"/>
      <c r="I115" s="2"/>
      <c r="J115" s="2"/>
    </row>
    <row r="116">
      <c r="A116" s="1"/>
      <c r="B116" s="2"/>
      <c r="C116" s="2"/>
      <c r="D116" s="2"/>
      <c r="E116" s="2"/>
      <c r="F116" s="1">
        <f>IF(tblAccounts[[#This Row],[Account Name]]="","",INDEX('Business Engine'!$H$2:$H$200,ROW()-ROW(tblAccounts[#Headers])))</f>
      </c>
      <c r="G116" s="2"/>
      <c r="H116" s="2"/>
      <c r="I116" s="2"/>
      <c r="J116" s="2"/>
    </row>
    <row r="117">
      <c r="A117" s="1"/>
      <c r="B117" s="2"/>
      <c r="C117" s="2"/>
      <c r="D117" s="2"/>
      <c r="E117" s="2"/>
      <c r="F117" s="1">
        <f>IF(tblAccounts[[#This Row],[Account Name]]="","",INDEX('Business Engine'!$H$2:$H$200,ROW()-ROW(tblAccounts[#Headers])))</f>
      </c>
      <c r="G117" s="2"/>
      <c r="H117" s="2"/>
      <c r="I117" s="2"/>
      <c r="J117" s="2"/>
    </row>
    <row r="118">
      <c r="A118" s="1"/>
      <c r="B118" s="2"/>
      <c r="C118" s="2"/>
      <c r="D118" s="2"/>
      <c r="E118" s="2"/>
      <c r="F118" s="1">
        <f>IF(tblAccounts[[#This Row],[Account Name]]="","",INDEX('Business Engine'!$H$2:$H$200,ROW()-ROW(tblAccounts[#Headers])))</f>
      </c>
      <c r="G118" s="2"/>
      <c r="H118" s="2"/>
      <c r="I118" s="2"/>
      <c r="J118" s="2"/>
    </row>
    <row r="119">
      <c r="A119" s="1"/>
      <c r="B119" s="2"/>
      <c r="C119" s="2"/>
      <c r="D119" s="2"/>
      <c r="E119" s="2"/>
      <c r="F119" s="1">
        <f>IF(tblAccounts[[#This Row],[Account Name]]="","",INDEX('Business Engine'!$H$2:$H$200,ROW()-ROW(tblAccounts[#Headers])))</f>
      </c>
      <c r="G119" s="2"/>
      <c r="H119" s="2"/>
      <c r="I119" s="2"/>
      <c r="J119" s="2"/>
    </row>
    <row r="120">
      <c r="A120" s="1"/>
      <c r="B120" s="2"/>
      <c r="C120" s="2"/>
      <c r="D120" s="2"/>
      <c r="E120" s="2"/>
      <c r="F120" s="1">
        <f>IF(tblAccounts[[#This Row],[Account Name]]="","",INDEX('Business Engine'!$H$2:$H$200,ROW()-ROW(tblAccounts[#Headers])))</f>
      </c>
      <c r="G120" s="2"/>
      <c r="H120" s="2"/>
      <c r="I120" s="2"/>
      <c r="J120" s="2"/>
    </row>
    <row r="121">
      <c r="A121" s="1"/>
      <c r="B121" s="2"/>
      <c r="C121" s="2"/>
      <c r="D121" s="2"/>
      <c r="E121" s="2"/>
      <c r="F121" s="1">
        <f>IF(tblAccounts[[#This Row],[Account Name]]="","",INDEX('Business Engine'!$H$2:$H$200,ROW()-ROW(tblAccounts[#Headers])))</f>
      </c>
      <c r="G121" s="2"/>
      <c r="H121" s="2"/>
      <c r="I121" s="2"/>
      <c r="J121" s="2"/>
    </row>
    <row r="122">
      <c r="A122" s="1"/>
      <c r="B122" s="2"/>
      <c r="C122" s="2"/>
      <c r="D122" s="2"/>
      <c r="E122" s="2"/>
      <c r="F122" s="1">
        <f>IF(tblAccounts[[#This Row],[Account Name]]="","",INDEX('Business Engine'!$H$2:$H$200,ROW()-ROW(tblAccounts[#Headers])))</f>
      </c>
      <c r="G122" s="2"/>
      <c r="H122" s="2"/>
      <c r="I122" s="2"/>
      <c r="J122" s="2"/>
    </row>
    <row r="123">
      <c r="A123" s="1"/>
      <c r="B123" s="2"/>
      <c r="C123" s="2"/>
      <c r="D123" s="2"/>
      <c r="E123" s="2"/>
      <c r="F123" s="1">
        <f>IF(tblAccounts[[#This Row],[Account Name]]="","",INDEX('Business Engine'!$H$2:$H$200,ROW()-ROW(tblAccounts[#Headers])))</f>
      </c>
      <c r="G123" s="2"/>
      <c r="H123" s="2"/>
      <c r="I123" s="2"/>
      <c r="J123" s="2"/>
    </row>
    <row r="124">
      <c r="A124" s="1"/>
      <c r="B124" s="2"/>
      <c r="C124" s="2"/>
      <c r="D124" s="2"/>
      <c r="E124" s="2"/>
      <c r="F124" s="1">
        <f>IF(tblAccounts[[#This Row],[Account Name]]="","",INDEX('Business Engine'!$H$2:$H$200,ROW()-ROW(tblAccounts[#Headers])))</f>
      </c>
      <c r="G124" s="2"/>
      <c r="H124" s="2"/>
      <c r="I124" s="2"/>
      <c r="J124" s="2"/>
    </row>
    <row r="125">
      <c r="A125" s="1"/>
      <c r="B125" s="2"/>
      <c r="C125" s="2"/>
      <c r="D125" s="2"/>
      <c r="E125" s="2"/>
      <c r="F125" s="1">
        <f>IF(tblAccounts[[#This Row],[Account Name]]="","",INDEX('Business Engine'!$H$2:$H$200,ROW()-ROW(tblAccounts[#Headers])))</f>
      </c>
      <c r="G125" s="2"/>
      <c r="H125" s="2"/>
      <c r="I125" s="2"/>
      <c r="J125" s="2"/>
    </row>
    <row r="126">
      <c r="A126" s="1"/>
      <c r="B126" s="2"/>
      <c r="C126" s="2"/>
      <c r="D126" s="2"/>
      <c r="E126" s="2"/>
      <c r="F126" s="1">
        <f>IF(tblAccounts[[#This Row],[Account Name]]="","",INDEX('Business Engine'!$H$2:$H$200,ROW()-ROW(tblAccounts[#Headers])))</f>
      </c>
      <c r="G126" s="2"/>
      <c r="H126" s="2"/>
      <c r="I126" s="2"/>
      <c r="J126" s="2"/>
    </row>
    <row r="127">
      <c r="A127" s="1"/>
      <c r="B127" s="2"/>
      <c r="C127" s="2"/>
      <c r="D127" s="2"/>
      <c r="E127" s="2"/>
      <c r="F127" s="1">
        <f>IF(tblAccounts[[#This Row],[Account Name]]="","",INDEX('Business Engine'!$H$2:$H$200,ROW()-ROW(tblAccounts[#Headers])))</f>
      </c>
      <c r="G127" s="2"/>
      <c r="H127" s="2"/>
      <c r="I127" s="2"/>
      <c r="J127" s="2"/>
    </row>
    <row r="128">
      <c r="A128" s="1"/>
      <c r="B128" s="2"/>
      <c r="C128" s="2"/>
      <c r="D128" s="2"/>
      <c r="E128" s="2"/>
      <c r="F128" s="1">
        <f>IF(tblAccounts[[#This Row],[Account Name]]="","",INDEX('Business Engine'!$H$2:$H$200,ROW()-ROW(tblAccounts[#Headers])))</f>
      </c>
      <c r="G128" s="2"/>
      <c r="H128" s="2"/>
      <c r="I128" s="2"/>
      <c r="J128" s="2"/>
    </row>
    <row r="129">
      <c r="A129" s="1"/>
      <c r="B129" s="2"/>
      <c r="C129" s="2"/>
      <c r="D129" s="2"/>
      <c r="E129" s="2"/>
      <c r="F129" s="1">
        <f>IF(tblAccounts[[#This Row],[Account Name]]="","",INDEX('Business Engine'!$H$2:$H$200,ROW()-ROW(tblAccounts[#Headers])))</f>
      </c>
      <c r="G129" s="2"/>
      <c r="H129" s="2"/>
      <c r="I129" s="2"/>
      <c r="J129" s="2"/>
    </row>
    <row r="130">
      <c r="A130" s="1"/>
      <c r="B130" s="2"/>
      <c r="C130" s="2"/>
      <c r="D130" s="2"/>
      <c r="E130" s="2"/>
      <c r="F130" s="1">
        <f>IF(tblAccounts[[#This Row],[Account Name]]="","",INDEX('Business Engine'!$H$2:$H$200,ROW()-ROW(tblAccounts[#Headers])))</f>
      </c>
      <c r="G130" s="2"/>
      <c r="H130" s="2"/>
      <c r="I130" s="2"/>
      <c r="J130" s="2"/>
    </row>
    <row r="131">
      <c r="A131" s="1"/>
      <c r="B131" s="2"/>
      <c r="C131" s="2"/>
      <c r="D131" s="2"/>
      <c r="E131" s="2"/>
      <c r="F131" s="1">
        <f>IF(tblAccounts[[#This Row],[Account Name]]="","",INDEX('Business Engine'!$H$2:$H$200,ROW()-ROW(tblAccounts[#Headers])))</f>
      </c>
      <c r="G131" s="2"/>
      <c r="H131" s="2"/>
      <c r="I131" s="2"/>
      <c r="J131" s="2"/>
    </row>
    <row r="132">
      <c r="A132" s="1"/>
      <c r="B132" s="2"/>
      <c r="C132" s="2"/>
      <c r="D132" s="2"/>
      <c r="E132" s="2"/>
      <c r="F132" s="1">
        <f>IF(tblAccounts[[#This Row],[Account Name]]="","",INDEX('Business Engine'!$H$2:$H$200,ROW()-ROW(tblAccounts[#Headers])))</f>
      </c>
      <c r="G132" s="2"/>
      <c r="H132" s="2"/>
      <c r="I132" s="2"/>
      <c r="J132" s="2"/>
    </row>
    <row r="133">
      <c r="A133" s="1"/>
      <c r="B133" s="2"/>
      <c r="C133" s="2"/>
      <c r="D133" s="2"/>
      <c r="E133" s="2"/>
      <c r="F133" s="1">
        <f>IF(tblAccounts[[#This Row],[Account Name]]="","",INDEX('Business Engine'!$H$2:$H$200,ROW()-ROW(tblAccounts[#Headers])))</f>
      </c>
      <c r="G133" s="2"/>
      <c r="H133" s="2"/>
      <c r="I133" s="2"/>
      <c r="J133" s="2"/>
    </row>
    <row r="134">
      <c r="A134" s="1"/>
      <c r="B134" s="2"/>
      <c r="C134" s="2"/>
      <c r="D134" s="2"/>
      <c r="E134" s="2"/>
      <c r="F134" s="1">
        <f>IF(tblAccounts[[#This Row],[Account Name]]="","",INDEX('Business Engine'!$H$2:$H$200,ROW()-ROW(tblAccounts[#Headers])))</f>
      </c>
      <c r="G134" s="2"/>
      <c r="H134" s="2"/>
      <c r="I134" s="2"/>
      <c r="J134" s="2"/>
    </row>
    <row r="135">
      <c r="A135" s="1"/>
      <c r="B135" s="2"/>
      <c r="C135" s="2"/>
      <c r="D135" s="2"/>
      <c r="E135" s="2"/>
      <c r="F135" s="1">
        <f>IF(tblAccounts[[#This Row],[Account Name]]="","",INDEX('Business Engine'!$H$2:$H$200,ROW()-ROW(tblAccounts[#Headers])))</f>
      </c>
      <c r="G135" s="2"/>
      <c r="H135" s="2"/>
      <c r="I135" s="2"/>
      <c r="J135" s="2"/>
    </row>
    <row r="136">
      <c r="A136" s="1"/>
      <c r="B136" s="2"/>
      <c r="C136" s="2"/>
      <c r="D136" s="2"/>
      <c r="E136" s="2"/>
      <c r="F136" s="1">
        <f>IF(tblAccounts[[#This Row],[Account Name]]="","",INDEX('Business Engine'!$H$2:$H$200,ROW()-ROW(tblAccounts[#Headers])))</f>
      </c>
      <c r="G136" s="2"/>
      <c r="H136" s="2"/>
      <c r="I136" s="2"/>
      <c r="J136" s="2"/>
    </row>
    <row r="137">
      <c r="A137" s="1"/>
      <c r="B137" s="2"/>
      <c r="C137" s="2"/>
      <c r="D137" s="2"/>
      <c r="E137" s="2"/>
      <c r="F137" s="1">
        <f>IF(tblAccounts[[#This Row],[Account Name]]="","",INDEX('Business Engine'!$H$2:$H$200,ROW()-ROW(tblAccounts[#Headers])))</f>
      </c>
      <c r="G137" s="2"/>
      <c r="H137" s="2"/>
      <c r="I137" s="2"/>
      <c r="J137" s="2"/>
    </row>
    <row r="138">
      <c r="A138" s="1"/>
      <c r="B138" s="2"/>
      <c r="C138" s="2"/>
      <c r="D138" s="2"/>
      <c r="E138" s="2"/>
      <c r="F138" s="1">
        <f>IF(tblAccounts[[#This Row],[Account Name]]="","",INDEX('Business Engine'!$H$2:$H$200,ROW()-ROW(tblAccounts[#Headers])))</f>
      </c>
      <c r="G138" s="2"/>
      <c r="H138" s="2"/>
      <c r="I138" s="2"/>
      <c r="J138" s="2"/>
    </row>
    <row r="139">
      <c r="A139" s="1"/>
      <c r="B139" s="2"/>
      <c r="C139" s="2"/>
      <c r="D139" s="2"/>
      <c r="E139" s="2"/>
      <c r="F139" s="1">
        <f>IF(tblAccounts[[#This Row],[Account Name]]="","",INDEX('Business Engine'!$H$2:$H$200,ROW()-ROW(tblAccounts[#Headers])))</f>
      </c>
      <c r="G139" s="2"/>
      <c r="H139" s="2"/>
      <c r="I139" s="2"/>
      <c r="J139" s="2"/>
    </row>
    <row r="140">
      <c r="A140" s="1"/>
      <c r="B140" s="2"/>
      <c r="C140" s="2"/>
      <c r="D140" s="2"/>
      <c r="E140" s="2"/>
      <c r="F140" s="1">
        <f>IF(tblAccounts[[#This Row],[Account Name]]="","",INDEX('Business Engine'!$H$2:$H$200,ROW()-ROW(tblAccounts[#Headers])))</f>
      </c>
      <c r="G140" s="2"/>
      <c r="H140" s="2"/>
      <c r="I140" s="2"/>
      <c r="J140" s="2"/>
    </row>
    <row r="141">
      <c r="A141" s="1"/>
      <c r="B141" s="2"/>
      <c r="C141" s="2"/>
      <c r="D141" s="2"/>
      <c r="E141" s="2"/>
      <c r="F141" s="1">
        <f>IF(tblAccounts[[#This Row],[Account Name]]="","",INDEX('Business Engine'!$H$2:$H$200,ROW()-ROW(tblAccounts[#Headers])))</f>
      </c>
      <c r="G141" s="2"/>
      <c r="H141" s="2"/>
      <c r="I141" s="2"/>
      <c r="J141" s="2"/>
    </row>
    <row r="142">
      <c r="A142" s="1"/>
      <c r="B142" s="2"/>
      <c r="C142" s="2"/>
      <c r="D142" s="2"/>
      <c r="E142" s="2"/>
      <c r="F142" s="1">
        <f>IF(tblAccounts[[#This Row],[Account Name]]="","",INDEX('Business Engine'!$H$2:$H$200,ROW()-ROW(tblAccounts[#Headers])))</f>
      </c>
      <c r="G142" s="2"/>
      <c r="H142" s="2"/>
      <c r="I142" s="2"/>
      <c r="J142" s="2"/>
    </row>
    <row r="143">
      <c r="A143" s="1"/>
      <c r="B143" s="2"/>
      <c r="C143" s="2"/>
      <c r="D143" s="2"/>
      <c r="E143" s="2"/>
      <c r="F143" s="1">
        <f>IF(tblAccounts[[#This Row],[Account Name]]="","",INDEX('Business Engine'!$H$2:$H$200,ROW()-ROW(tblAccounts[#Headers])))</f>
      </c>
      <c r="G143" s="2"/>
      <c r="H143" s="2"/>
      <c r="I143" s="2"/>
      <c r="J143" s="2"/>
    </row>
    <row r="144">
      <c r="A144" s="1"/>
      <c r="B144" s="2"/>
      <c r="C144" s="2"/>
      <c r="D144" s="2"/>
      <c r="E144" s="2"/>
      <c r="F144" s="1">
        <f>IF(tblAccounts[[#This Row],[Account Name]]="","",INDEX('Business Engine'!$H$2:$H$200,ROW()-ROW(tblAccounts[#Headers])))</f>
      </c>
      <c r="G144" s="2"/>
      <c r="H144" s="2"/>
      <c r="I144" s="2"/>
      <c r="J144" s="2"/>
    </row>
    <row r="145">
      <c r="A145" s="1"/>
      <c r="B145" s="2"/>
      <c r="C145" s="2"/>
      <c r="D145" s="2"/>
      <c r="E145" s="2"/>
      <c r="F145" s="1">
        <f>IF(tblAccounts[[#This Row],[Account Name]]="","",INDEX('Business Engine'!$H$2:$H$200,ROW()-ROW(tblAccounts[#Headers])))</f>
      </c>
      <c r="G145" s="2"/>
      <c r="H145" s="2"/>
      <c r="I145" s="2"/>
      <c r="J145" s="2"/>
    </row>
    <row r="146">
      <c r="A146" s="1"/>
      <c r="B146" s="2"/>
      <c r="C146" s="2"/>
      <c r="D146" s="2"/>
      <c r="E146" s="2"/>
      <c r="F146" s="1">
        <f>IF(tblAccounts[[#This Row],[Account Name]]="","",INDEX('Business Engine'!$H$2:$H$200,ROW()-ROW(tblAccounts[#Headers])))</f>
      </c>
      <c r="G146" s="2"/>
      <c r="H146" s="2"/>
      <c r="I146" s="2"/>
      <c r="J146" s="2"/>
    </row>
    <row r="147">
      <c r="A147" s="1"/>
      <c r="B147" s="2"/>
      <c r="C147" s="2"/>
      <c r="D147" s="2"/>
      <c r="E147" s="2"/>
      <c r="F147" s="1">
        <f>IF(tblAccounts[[#This Row],[Account Name]]="","",INDEX('Business Engine'!$H$2:$H$200,ROW()-ROW(tblAccounts[#Headers])))</f>
      </c>
      <c r="G147" s="2"/>
      <c r="H147" s="2"/>
      <c r="I147" s="2"/>
      <c r="J147" s="2"/>
    </row>
    <row r="148">
      <c r="A148" s="1"/>
      <c r="B148" s="2"/>
      <c r="C148" s="2"/>
      <c r="D148" s="2"/>
      <c r="E148" s="2"/>
      <c r="F148" s="1">
        <f>IF(tblAccounts[[#This Row],[Account Name]]="","",INDEX('Business Engine'!$H$2:$H$200,ROW()-ROW(tblAccounts[#Headers])))</f>
      </c>
      <c r="G148" s="2"/>
      <c r="H148" s="2"/>
      <c r="I148" s="2"/>
      <c r="J148" s="2"/>
    </row>
    <row r="149">
      <c r="A149" s="1"/>
      <c r="B149" s="2"/>
      <c r="C149" s="2"/>
      <c r="D149" s="2"/>
      <c r="E149" s="2"/>
      <c r="F149" s="1">
        <f>IF(tblAccounts[[#This Row],[Account Name]]="","",INDEX('Business Engine'!$H$2:$H$200,ROW()-ROW(tblAccounts[#Headers])))</f>
      </c>
      <c r="G149" s="2"/>
      <c r="H149" s="2"/>
      <c r="I149" s="2"/>
      <c r="J149" s="2"/>
    </row>
    <row r="150">
      <c r="A150" s="1"/>
      <c r="B150" s="2"/>
      <c r="C150" s="2"/>
      <c r="D150" s="2"/>
      <c r="E150" s="2"/>
      <c r="F150" s="1">
        <f>IF(tblAccounts[[#This Row],[Account Name]]="","",INDEX('Business Engine'!$H$2:$H$200,ROW()-ROW(tblAccounts[#Headers])))</f>
      </c>
      <c r="G150" s="2"/>
      <c r="H150" s="2"/>
      <c r="I150" s="2"/>
      <c r="J150" s="2"/>
    </row>
    <row r="151">
      <c r="A151" s="1"/>
      <c r="B151" s="2"/>
      <c r="C151" s="2"/>
      <c r="D151" s="2"/>
      <c r="E151" s="2"/>
      <c r="F151" s="1">
        <f>IF(tblAccounts[[#This Row],[Account Name]]="","",INDEX('Business Engine'!$H$2:$H$200,ROW()-ROW(tblAccounts[#Headers])))</f>
      </c>
      <c r="G151" s="2"/>
      <c r="H151" s="2"/>
      <c r="I151" s="2"/>
      <c r="J151" s="2"/>
    </row>
    <row r="152">
      <c r="A152" s="1"/>
      <c r="B152" s="2"/>
      <c r="C152" s="2"/>
      <c r="D152" s="2"/>
      <c r="E152" s="2"/>
      <c r="F152" s="1">
        <f>IF(tblAccounts[[#This Row],[Account Name]]="","",INDEX('Business Engine'!$H$2:$H$200,ROW()-ROW(tblAccounts[#Headers])))</f>
      </c>
      <c r="G152" s="2"/>
      <c r="H152" s="2"/>
      <c r="I152" s="2"/>
      <c r="J152" s="2"/>
    </row>
    <row r="153">
      <c r="A153" s="1"/>
      <c r="B153" s="2"/>
      <c r="C153" s="2"/>
      <c r="D153" s="2"/>
      <c r="E153" s="2"/>
      <c r="F153" s="1">
        <f>IF(tblAccounts[[#This Row],[Account Name]]="","",INDEX('Business Engine'!$H$2:$H$200,ROW()-ROW(tblAccounts[#Headers])))</f>
      </c>
      <c r="G153" s="2"/>
      <c r="H153" s="2"/>
      <c r="I153" s="2"/>
      <c r="J153" s="2"/>
    </row>
    <row r="154">
      <c r="A154" s="1"/>
      <c r="B154" s="2"/>
      <c r="C154" s="2"/>
      <c r="D154" s="2"/>
      <c r="E154" s="2"/>
      <c r="F154" s="1">
        <f>IF(tblAccounts[[#This Row],[Account Name]]="","",INDEX('Business Engine'!$H$2:$H$200,ROW()-ROW(tblAccounts[#Headers])))</f>
      </c>
      <c r="G154" s="2"/>
      <c r="H154" s="2"/>
      <c r="I154" s="2"/>
      <c r="J154" s="2"/>
    </row>
    <row r="155">
      <c r="A155" s="1"/>
      <c r="B155" s="2"/>
      <c r="C155" s="2"/>
      <c r="D155" s="2"/>
      <c r="E155" s="2"/>
      <c r="F155" s="1">
        <f>IF(tblAccounts[[#This Row],[Account Name]]="","",INDEX('Business Engine'!$H$2:$H$200,ROW()-ROW(tblAccounts[#Headers])))</f>
      </c>
      <c r="G155" s="2"/>
      <c r="H155" s="2"/>
      <c r="I155" s="2"/>
      <c r="J155" s="2"/>
    </row>
    <row r="156">
      <c r="A156" s="1"/>
      <c r="B156" s="2"/>
      <c r="C156" s="2"/>
      <c r="D156" s="2"/>
      <c r="E156" s="2"/>
      <c r="F156" s="1">
        <f>IF(tblAccounts[[#This Row],[Account Name]]="","",INDEX('Business Engine'!$H$2:$H$200,ROW()-ROW(tblAccounts[#Headers])))</f>
      </c>
      <c r="G156" s="2"/>
      <c r="H156" s="2"/>
      <c r="I156" s="2"/>
      <c r="J156" s="2"/>
    </row>
    <row r="157">
      <c r="A157" s="1"/>
      <c r="B157" s="2"/>
      <c r="C157" s="2"/>
      <c r="D157" s="2"/>
      <c r="E157" s="2"/>
      <c r="F157" s="1">
        <f>IF(tblAccounts[[#This Row],[Account Name]]="","",INDEX('Business Engine'!$H$2:$H$200,ROW()-ROW(tblAccounts[#Headers])))</f>
      </c>
      <c r="G157" s="2"/>
      <c r="H157" s="2"/>
      <c r="I157" s="2"/>
      <c r="J157" s="2"/>
    </row>
    <row r="158">
      <c r="A158" s="1"/>
      <c r="B158" s="2"/>
      <c r="C158" s="2"/>
      <c r="D158" s="2"/>
      <c r="E158" s="2"/>
      <c r="F158" s="1">
        <f>IF(tblAccounts[[#This Row],[Account Name]]="","",INDEX('Business Engine'!$H$2:$H$200,ROW()-ROW(tblAccounts[#Headers])))</f>
      </c>
      <c r="G158" s="2"/>
      <c r="H158" s="2"/>
      <c r="I158" s="2"/>
      <c r="J158" s="2"/>
    </row>
    <row r="159">
      <c r="A159" s="1"/>
      <c r="B159" s="2"/>
      <c r="C159" s="2"/>
      <c r="D159" s="2"/>
      <c r="E159" s="2"/>
      <c r="F159" s="1">
        <f>IF(tblAccounts[[#This Row],[Account Name]]="","",INDEX('Business Engine'!$H$2:$H$200,ROW()-ROW(tblAccounts[#Headers])))</f>
      </c>
      <c r="G159" s="2"/>
      <c r="H159" s="2"/>
      <c r="I159" s="2"/>
      <c r="J159" s="2"/>
    </row>
    <row r="160">
      <c r="A160" s="1"/>
      <c r="B160" s="2"/>
      <c r="C160" s="2"/>
      <c r="D160" s="2"/>
      <c r="E160" s="2"/>
      <c r="F160" s="1">
        <f>IF(tblAccounts[[#This Row],[Account Name]]="","",INDEX('Business Engine'!$H$2:$H$200,ROW()-ROW(tblAccounts[#Headers])))</f>
      </c>
      <c r="G160" s="2"/>
      <c r="H160" s="2"/>
      <c r="I160" s="2"/>
      <c r="J160" s="2"/>
    </row>
    <row r="161">
      <c r="A161" s="1"/>
      <c r="B161" s="2"/>
      <c r="C161" s="2"/>
      <c r="D161" s="2"/>
      <c r="E161" s="2"/>
      <c r="F161" s="1">
        <f>IF(tblAccounts[[#This Row],[Account Name]]="","",INDEX('Business Engine'!$H$2:$H$200,ROW()-ROW(tblAccounts[#Headers])))</f>
      </c>
      <c r="G161" s="2"/>
      <c r="H161" s="2"/>
      <c r="I161" s="2"/>
      <c r="J161" s="2"/>
    </row>
    <row r="162">
      <c r="A162" s="1"/>
      <c r="B162" s="2"/>
      <c r="C162" s="2"/>
      <c r="D162" s="2"/>
      <c r="E162" s="2"/>
      <c r="F162" s="1">
        <f>IF(tblAccounts[[#This Row],[Account Name]]="","",INDEX('Business Engine'!$H$2:$H$200,ROW()-ROW(tblAccounts[#Headers])))</f>
      </c>
      <c r="G162" s="2"/>
      <c r="H162" s="2"/>
      <c r="I162" s="2"/>
      <c r="J162" s="2"/>
    </row>
    <row r="163">
      <c r="A163" s="1"/>
      <c r="B163" s="2"/>
      <c r="C163" s="2"/>
      <c r="D163" s="2"/>
      <c r="E163" s="2"/>
      <c r="F163" s="1">
        <f>IF(tblAccounts[[#This Row],[Account Name]]="","",INDEX('Business Engine'!$H$2:$H$200,ROW()-ROW(tblAccounts[#Headers])))</f>
      </c>
      <c r="G163" s="2"/>
      <c r="H163" s="2"/>
      <c r="I163" s="2"/>
      <c r="J163" s="2"/>
    </row>
    <row r="164">
      <c r="A164" s="1"/>
      <c r="B164" s="2"/>
      <c r="C164" s="2"/>
      <c r="D164" s="2"/>
      <c r="E164" s="2"/>
      <c r="F164" s="1">
        <f>IF(tblAccounts[[#This Row],[Account Name]]="","",INDEX('Business Engine'!$H$2:$H$200,ROW()-ROW(tblAccounts[#Headers])))</f>
      </c>
      <c r="G164" s="2"/>
      <c r="H164" s="2"/>
      <c r="I164" s="2"/>
      <c r="J164" s="2"/>
    </row>
    <row r="165">
      <c r="A165" s="1"/>
      <c r="B165" s="2"/>
      <c r="C165" s="2"/>
      <c r="D165" s="2"/>
      <c r="E165" s="2"/>
      <c r="F165" s="1">
        <f>IF(tblAccounts[[#This Row],[Account Name]]="","",INDEX('Business Engine'!$H$2:$H$200,ROW()-ROW(tblAccounts[#Headers])))</f>
      </c>
      <c r="G165" s="2"/>
      <c r="H165" s="2"/>
      <c r="I165" s="2"/>
      <c r="J165" s="2"/>
    </row>
    <row r="166">
      <c r="A166" s="1"/>
      <c r="B166" s="2"/>
      <c r="C166" s="2"/>
      <c r="D166" s="2"/>
      <c r="E166" s="2"/>
      <c r="F166" s="1">
        <f>IF(tblAccounts[[#This Row],[Account Name]]="","",INDEX('Business Engine'!$H$2:$H$200,ROW()-ROW(tblAccounts[#Headers])))</f>
      </c>
      <c r="G166" s="2"/>
      <c r="H166" s="2"/>
      <c r="I166" s="2"/>
      <c r="J166" s="2"/>
    </row>
    <row r="167">
      <c r="A167" s="1"/>
      <c r="B167" s="2"/>
      <c r="C167" s="2"/>
      <c r="D167" s="2"/>
      <c r="E167" s="2"/>
      <c r="F167" s="1">
        <f>IF(tblAccounts[[#This Row],[Account Name]]="","",INDEX('Business Engine'!$H$2:$H$200,ROW()-ROW(tblAccounts[#Headers])))</f>
      </c>
      <c r="G167" s="2"/>
      <c r="H167" s="2"/>
      <c r="I167" s="2"/>
      <c r="J167" s="2"/>
    </row>
    <row r="168">
      <c r="A168" s="1"/>
      <c r="B168" s="2"/>
      <c r="C168" s="2"/>
      <c r="D168" s="2"/>
      <c r="E168" s="2"/>
      <c r="F168" s="1">
        <f>IF(tblAccounts[[#This Row],[Account Name]]="","",INDEX('Business Engine'!$H$2:$H$200,ROW()-ROW(tblAccounts[#Headers])))</f>
      </c>
      <c r="G168" s="2"/>
      <c r="H168" s="2"/>
      <c r="I168" s="2"/>
      <c r="J168" s="2"/>
    </row>
    <row r="169">
      <c r="A169" s="1"/>
      <c r="B169" s="2"/>
      <c r="C169" s="2"/>
      <c r="D169" s="2"/>
      <c r="E169" s="2"/>
      <c r="F169" s="1">
        <f>IF(tblAccounts[[#This Row],[Account Name]]="","",INDEX('Business Engine'!$H$2:$H$200,ROW()-ROW(tblAccounts[#Headers])))</f>
      </c>
      <c r="G169" s="2"/>
      <c r="H169" s="2"/>
      <c r="I169" s="2"/>
      <c r="J169" s="2"/>
    </row>
    <row r="170">
      <c r="A170" s="1"/>
      <c r="B170" s="2"/>
      <c r="C170" s="2"/>
      <c r="D170" s="2"/>
      <c r="E170" s="2"/>
      <c r="F170" s="1">
        <f>IF(tblAccounts[[#This Row],[Account Name]]="","",INDEX('Business Engine'!$H$2:$H$200,ROW()-ROW(tblAccounts[#Headers])))</f>
      </c>
      <c r="G170" s="2"/>
      <c r="H170" s="2"/>
      <c r="I170" s="2"/>
      <c r="J170" s="2"/>
    </row>
    <row r="171">
      <c r="A171" s="1"/>
      <c r="B171" s="2"/>
      <c r="C171" s="2"/>
      <c r="D171" s="2"/>
      <c r="E171" s="2"/>
      <c r="F171" s="1">
        <f>IF(tblAccounts[[#This Row],[Account Name]]="","",INDEX('Business Engine'!$H$2:$H$200,ROW()-ROW(tblAccounts[#Headers])))</f>
      </c>
      <c r="G171" s="2"/>
      <c r="H171" s="2"/>
      <c r="I171" s="2"/>
      <c r="J171" s="2"/>
    </row>
    <row r="172">
      <c r="A172" s="1"/>
      <c r="B172" s="2"/>
      <c r="C172" s="2"/>
      <c r="D172" s="2"/>
      <c r="E172" s="2"/>
      <c r="F172" s="1">
        <f>IF(tblAccounts[[#This Row],[Account Name]]="","",INDEX('Business Engine'!$H$2:$H$200,ROW()-ROW(tblAccounts[#Headers])))</f>
      </c>
      <c r="G172" s="2"/>
      <c r="H172" s="2"/>
      <c r="I172" s="2"/>
      <c r="J172" s="2"/>
    </row>
    <row r="173">
      <c r="A173" s="1"/>
      <c r="B173" s="2"/>
      <c r="C173" s="2"/>
      <c r="D173" s="2"/>
      <c r="E173" s="2"/>
      <c r="F173" s="1">
        <f>IF(tblAccounts[[#This Row],[Account Name]]="","",INDEX('Business Engine'!$H$2:$H$200,ROW()-ROW(tblAccounts[#Headers])))</f>
      </c>
      <c r="G173" s="2"/>
      <c r="H173" s="2"/>
      <c r="I173" s="2"/>
      <c r="J173" s="2"/>
    </row>
    <row r="174">
      <c r="A174" s="1"/>
      <c r="B174" s="2"/>
      <c r="C174" s="2"/>
      <c r="D174" s="2"/>
      <c r="E174" s="2"/>
      <c r="F174" s="1">
        <f>IF(tblAccounts[[#This Row],[Account Name]]="","",INDEX('Business Engine'!$H$2:$H$200,ROW()-ROW(tblAccounts[#Headers])))</f>
      </c>
      <c r="G174" s="2"/>
      <c r="H174" s="2"/>
      <c r="I174" s="2"/>
      <c r="J174" s="2"/>
    </row>
    <row r="175">
      <c r="A175" s="1"/>
      <c r="B175" s="2"/>
      <c r="C175" s="2"/>
      <c r="D175" s="2"/>
      <c r="E175" s="2"/>
      <c r="F175" s="1">
        <f>IF(tblAccounts[[#This Row],[Account Name]]="","",INDEX('Business Engine'!$H$2:$H$200,ROW()-ROW(tblAccounts[#Headers])))</f>
      </c>
      <c r="G175" s="2"/>
      <c r="H175" s="2"/>
      <c r="I175" s="2"/>
      <c r="J175" s="2"/>
    </row>
    <row r="176">
      <c r="A176" s="1"/>
      <c r="B176" s="2"/>
      <c r="C176" s="2"/>
      <c r="D176" s="2"/>
      <c r="E176" s="2"/>
      <c r="F176" s="1">
        <f>IF(tblAccounts[[#This Row],[Account Name]]="","",INDEX('Business Engine'!$H$2:$H$200,ROW()-ROW(tblAccounts[#Headers])))</f>
      </c>
      <c r="G176" s="2"/>
      <c r="H176" s="2"/>
      <c r="I176" s="2"/>
      <c r="J176" s="2"/>
    </row>
    <row r="177">
      <c r="A177" s="1"/>
      <c r="B177" s="2"/>
      <c r="C177" s="2"/>
      <c r="D177" s="2"/>
      <c r="E177" s="2"/>
      <c r="F177" s="1">
        <f>IF(tblAccounts[[#This Row],[Account Name]]="","",INDEX('Business Engine'!$H$2:$H$200,ROW()-ROW(tblAccounts[#Headers])))</f>
      </c>
      <c r="G177" s="2"/>
      <c r="H177" s="2"/>
      <c r="I177" s="2"/>
      <c r="J177" s="2"/>
    </row>
    <row r="178">
      <c r="A178" s="1"/>
      <c r="B178" s="2"/>
      <c r="C178" s="2"/>
      <c r="D178" s="2"/>
      <c r="E178" s="2"/>
      <c r="F178" s="1">
        <f>IF(tblAccounts[[#This Row],[Account Name]]="","",INDEX('Business Engine'!$H$2:$H$200,ROW()-ROW(tblAccounts[#Headers])))</f>
      </c>
      <c r="G178" s="2"/>
      <c r="H178" s="2"/>
      <c r="I178" s="2"/>
      <c r="J178" s="2"/>
    </row>
    <row r="179">
      <c r="A179" s="1"/>
      <c r="B179" s="2"/>
      <c r="C179" s="2"/>
      <c r="D179" s="2"/>
      <c r="E179" s="2"/>
      <c r="F179" s="1">
        <f>IF(tblAccounts[[#This Row],[Account Name]]="","",INDEX('Business Engine'!$H$2:$H$200,ROW()-ROW(tblAccounts[#Headers])))</f>
      </c>
      <c r="G179" s="2"/>
      <c r="H179" s="2"/>
      <c r="I179" s="2"/>
      <c r="J179" s="2"/>
    </row>
    <row r="180">
      <c r="A180" s="1"/>
      <c r="B180" s="2"/>
      <c r="C180" s="2"/>
      <c r="D180" s="2"/>
      <c r="E180" s="2"/>
      <c r="F180" s="1">
        <f>IF(tblAccounts[[#This Row],[Account Name]]="","",INDEX('Business Engine'!$H$2:$H$200,ROW()-ROW(tblAccounts[#Headers])))</f>
      </c>
      <c r="G180" s="2"/>
      <c r="H180" s="2"/>
      <c r="I180" s="2"/>
      <c r="J180" s="2"/>
    </row>
    <row r="181">
      <c r="A181" s="1"/>
      <c r="B181" s="2"/>
      <c r="C181" s="2"/>
      <c r="D181" s="2"/>
      <c r="E181" s="2"/>
      <c r="F181" s="1">
        <f>IF(tblAccounts[[#This Row],[Account Name]]="","",INDEX('Business Engine'!$H$2:$H$200,ROW()-ROW(tblAccounts[#Headers])))</f>
      </c>
      <c r="G181" s="2"/>
      <c r="H181" s="2"/>
      <c r="I181" s="2"/>
      <c r="J181" s="2"/>
    </row>
    <row r="182">
      <c r="A182" s="1"/>
      <c r="B182" s="2"/>
      <c r="C182" s="2"/>
      <c r="D182" s="2"/>
      <c r="E182" s="2"/>
      <c r="F182" s="1">
        <f>IF(tblAccounts[[#This Row],[Account Name]]="","",INDEX('Business Engine'!$H$2:$H$200,ROW()-ROW(tblAccounts[#Headers])))</f>
      </c>
      <c r="G182" s="2"/>
      <c r="H182" s="2"/>
      <c r="I182" s="2"/>
      <c r="J182" s="2"/>
    </row>
    <row r="183">
      <c r="A183" s="1"/>
      <c r="B183" s="2"/>
      <c r="C183" s="2"/>
      <c r="D183" s="2"/>
      <c r="E183" s="2"/>
      <c r="F183" s="1">
        <f>IF(tblAccounts[[#This Row],[Account Name]]="","",INDEX('Business Engine'!$H$2:$H$200,ROW()-ROW(tblAccounts[#Headers])))</f>
      </c>
      <c r="G183" s="2"/>
      <c r="H183" s="2"/>
      <c r="I183" s="2"/>
      <c r="J183" s="2"/>
    </row>
    <row r="184">
      <c r="A184" s="1"/>
      <c r="B184" s="2"/>
      <c r="C184" s="2"/>
      <c r="D184" s="2"/>
      <c r="E184" s="2"/>
      <c r="F184" s="1">
        <f>IF(tblAccounts[[#This Row],[Account Name]]="","",INDEX('Business Engine'!$H$2:$H$200,ROW()-ROW(tblAccounts[#Headers])))</f>
      </c>
      <c r="G184" s="2"/>
      <c r="H184" s="2"/>
      <c r="I184" s="2"/>
      <c r="J184" s="2"/>
    </row>
    <row r="185">
      <c r="A185" s="1"/>
      <c r="B185" s="2"/>
      <c r="C185" s="2"/>
      <c r="D185" s="2"/>
      <c r="E185" s="2"/>
      <c r="F185" s="1">
        <f>IF(tblAccounts[[#This Row],[Account Name]]="","",INDEX('Business Engine'!$H$2:$H$200,ROW()-ROW(tblAccounts[#Headers])))</f>
      </c>
      <c r="G185" s="2"/>
      <c r="H185" s="2"/>
      <c r="I185" s="2"/>
      <c r="J185" s="2"/>
    </row>
    <row r="186">
      <c r="A186" s="1"/>
      <c r="B186" s="2"/>
      <c r="C186" s="2"/>
      <c r="D186" s="2"/>
      <c r="E186" s="2"/>
      <c r="F186" s="1">
        <f>IF(tblAccounts[[#This Row],[Account Name]]="","",INDEX('Business Engine'!$H$2:$H$200,ROW()-ROW(tblAccounts[#Headers])))</f>
      </c>
      <c r="G186" s="2"/>
      <c r="H186" s="2"/>
      <c r="I186" s="2"/>
      <c r="J186" s="2"/>
    </row>
    <row r="187">
      <c r="A187" s="1"/>
      <c r="B187" s="2"/>
      <c r="C187" s="2"/>
      <c r="D187" s="2"/>
      <c r="E187" s="2"/>
      <c r="F187" s="1">
        <f>IF(tblAccounts[[#This Row],[Account Name]]="","",INDEX('Business Engine'!$H$2:$H$200,ROW()-ROW(tblAccounts[#Headers])))</f>
      </c>
      <c r="G187" s="2"/>
      <c r="H187" s="2"/>
      <c r="I187" s="2"/>
      <c r="J187" s="2"/>
    </row>
    <row r="188">
      <c r="A188" s="1"/>
      <c r="B188" s="2"/>
      <c r="C188" s="2"/>
      <c r="D188" s="2"/>
      <c r="E188" s="2"/>
      <c r="F188" s="1">
        <f>IF(tblAccounts[[#This Row],[Account Name]]="","",INDEX('Business Engine'!$H$2:$H$200,ROW()-ROW(tblAccounts[#Headers])))</f>
      </c>
      <c r="G188" s="2"/>
      <c r="H188" s="2"/>
      <c r="I188" s="2"/>
      <c r="J188" s="2"/>
    </row>
    <row r="189">
      <c r="A189" s="1"/>
      <c r="B189" s="2"/>
      <c r="C189" s="2"/>
      <c r="D189" s="2"/>
      <c r="E189" s="2"/>
      <c r="F189" s="1">
        <f>IF(tblAccounts[[#This Row],[Account Name]]="","",INDEX('Business Engine'!$H$2:$H$200,ROW()-ROW(tblAccounts[#Headers])))</f>
      </c>
      <c r="G189" s="2"/>
      <c r="H189" s="2"/>
      <c r="I189" s="2"/>
      <c r="J189" s="2"/>
    </row>
    <row r="190">
      <c r="A190" s="1"/>
      <c r="B190" s="2"/>
      <c r="C190" s="2"/>
      <c r="D190" s="2"/>
      <c r="E190" s="2"/>
      <c r="F190" s="1">
        <f>IF(tblAccounts[[#This Row],[Account Name]]="","",INDEX('Business Engine'!$H$2:$H$200,ROW()-ROW(tblAccounts[#Headers])))</f>
      </c>
      <c r="G190" s="2"/>
      <c r="H190" s="2"/>
      <c r="I190" s="2"/>
      <c r="J190" s="2"/>
    </row>
    <row r="191">
      <c r="A191" s="1"/>
      <c r="B191" s="2"/>
      <c r="C191" s="2"/>
      <c r="D191" s="2"/>
      <c r="E191" s="2"/>
      <c r="F191" s="1">
        <f>IF(tblAccounts[[#This Row],[Account Name]]="","",INDEX('Business Engine'!$H$2:$H$200,ROW()-ROW(tblAccounts[#Headers])))</f>
      </c>
      <c r="G191" s="2"/>
      <c r="H191" s="2"/>
      <c r="I191" s="2"/>
      <c r="J191" s="2"/>
    </row>
    <row r="192">
      <c r="A192" s="1"/>
      <c r="B192" s="2"/>
      <c r="C192" s="2"/>
      <c r="D192" s="2"/>
      <c r="E192" s="2"/>
      <c r="F192" s="1">
        <f>IF(tblAccounts[[#This Row],[Account Name]]="","",INDEX('Business Engine'!$H$2:$H$200,ROW()-ROW(tblAccounts[#Headers])))</f>
      </c>
      <c r="G192" s="2"/>
      <c r="H192" s="2"/>
      <c r="I192" s="2"/>
      <c r="J192" s="2"/>
    </row>
    <row r="193">
      <c r="A193" s="1"/>
      <c r="B193" s="2"/>
      <c r="C193" s="2"/>
      <c r="D193" s="2"/>
      <c r="E193" s="2"/>
      <c r="F193" s="1">
        <f>IF(tblAccounts[[#This Row],[Account Name]]="","",INDEX('Business Engine'!$H$2:$H$200,ROW()-ROW(tblAccounts[#Headers])))</f>
      </c>
      <c r="G193" s="2"/>
      <c r="H193" s="2"/>
      <c r="I193" s="2"/>
      <c r="J193" s="2"/>
    </row>
    <row r="194">
      <c r="A194" s="1"/>
      <c r="B194" s="2"/>
      <c r="C194" s="2"/>
      <c r="D194" s="2"/>
      <c r="E194" s="2"/>
      <c r="F194" s="1">
        <f>IF(tblAccounts[[#This Row],[Account Name]]="","",INDEX('Business Engine'!$H$2:$H$200,ROW()-ROW(tblAccounts[#Headers])))</f>
      </c>
      <c r="G194" s="2"/>
      <c r="H194" s="2"/>
      <c r="I194" s="2"/>
      <c r="J194" s="2"/>
    </row>
    <row r="195">
      <c r="A195" s="1"/>
      <c r="B195" s="2"/>
      <c r="C195" s="2"/>
      <c r="D195" s="2"/>
      <c r="E195" s="2"/>
      <c r="F195" s="1">
        <f>IF(tblAccounts[[#This Row],[Account Name]]="","",INDEX('Business Engine'!$H$2:$H$200,ROW()-ROW(tblAccounts[#Headers])))</f>
      </c>
      <c r="G195" s="2"/>
      <c r="H195" s="2"/>
      <c r="I195" s="2"/>
      <c r="J195" s="2"/>
    </row>
    <row r="196">
      <c r="A196" s="1"/>
      <c r="B196" s="2"/>
      <c r="C196" s="2"/>
      <c r="D196" s="2"/>
      <c r="E196" s="2"/>
      <c r="F196" s="1">
        <f>IF(tblAccounts[[#This Row],[Account Name]]="","",INDEX('Business Engine'!$H$2:$H$200,ROW()-ROW(tblAccounts[#Headers])))</f>
      </c>
      <c r="G196" s="2"/>
      <c r="H196" s="2"/>
      <c r="I196" s="2"/>
      <c r="J196" s="2"/>
    </row>
    <row r="197">
      <c r="A197" s="1"/>
      <c r="B197" s="2"/>
      <c r="C197" s="2"/>
      <c r="D197" s="2"/>
      <c r="E197" s="2"/>
      <c r="F197" s="1">
        <f>IF(tblAccounts[[#This Row],[Account Name]]="","",INDEX('Business Engine'!$H$2:$H$200,ROW()-ROW(tblAccounts[#Headers])))</f>
      </c>
      <c r="G197" s="2"/>
      <c r="H197" s="2"/>
      <c r="I197" s="2"/>
      <c r="J197" s="2"/>
    </row>
    <row r="198">
      <c r="A198" s="1"/>
      <c r="B198" s="2"/>
      <c r="C198" s="2"/>
      <c r="D198" s="2"/>
      <c r="E198" s="2"/>
      <c r="F198" s="1">
        <f>IF(tblAccounts[[#This Row],[Account Name]]="","",INDEX('Business Engine'!$H$2:$H$200,ROW()-ROW(tblAccounts[#Headers])))</f>
      </c>
      <c r="G198" s="2"/>
      <c r="H198" s="2"/>
      <c r="I198" s="2"/>
      <c r="J198" s="2"/>
    </row>
    <row r="199">
      <c r="A199" s="1"/>
      <c r="B199" s="2"/>
      <c r="C199" s="2"/>
      <c r="D199" s="2"/>
      <c r="E199" s="2"/>
      <c r="F199" s="1">
        <f>IF(tblAccounts[[#This Row],[Account Name]]="","",INDEX('Business Engine'!$H$2:$H$200,ROW()-ROW(tblAccounts[#Headers])))</f>
      </c>
      <c r="G199" s="2"/>
      <c r="H199" s="2"/>
      <c r="I199" s="2"/>
      <c r="J199" s="2"/>
    </row>
    <row r="200">
      <c r="A200" s="1"/>
      <c r="B200" s="2"/>
      <c r="C200" s="2"/>
      <c r="D200" s="2"/>
      <c r="E200" s="2"/>
      <c r="F200" s="1">
        <f>IF(tblAccounts[[#This Row],[Account Name]]="","",INDEX('Business Engine'!$H$2:$H$200,ROW()-ROW(tblAccounts[#Headers])))</f>
      </c>
      <c r="G200" s="2"/>
      <c r="H200" s="2"/>
      <c r="I200" s="2"/>
      <c r="J200" s="2"/>
    </row>
  </sheetData>
  <sheetProtection sheet="1" objects="1" scenarios="1" formatCells="0" formatColumns="0" formatRows="0" insertColumns="0" insertHyperlinks="0" deleteColumns="0" pivotTables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rngAccountType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rngCurrency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rngAccountStatus</formula1>
    </dataValidation>
    <dataValidation type="list" allowBlank="1" showInputMessage="1" promptTitle="Select a value" prompt="Choose from the list." showErrorMessage="1" errorStyle="stop" errorTitle="Invalid value" error="Select Yes or No." sqref="H2:H200">
      <formula1>rngYesNo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24" customWidth="1"/>
    <col min="3" max="3" width="18" customWidth="1"/>
    <col min="4" max="4" width="26" customWidth="1"/>
    <col min="5" max="5" width="12" customWidth="1"/>
    <col min="6" max="6" width="22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>
      <c r="A2" s="1" t="s">
        <v>369</v>
      </c>
      <c r="B2" s="2" t="s">
        <v>370</v>
      </c>
      <c r="C2" s="2" t="s">
        <v>214</v>
      </c>
      <c r="D2" s="2" t="s">
        <v>360</v>
      </c>
      <c r="E2" s="2" t="s">
        <v>111</v>
      </c>
      <c r="F2" s="2"/>
    </row>
    <row r="3">
      <c r="A3" s="1" t="s">
        <v>371</v>
      </c>
      <c r="B3" s="2" t="s">
        <v>372</v>
      </c>
      <c r="C3" s="2" t="s">
        <v>215</v>
      </c>
      <c r="D3" s="2" t="s">
        <v>360</v>
      </c>
      <c r="E3" s="2" t="s">
        <v>111</v>
      </c>
      <c r="F3" s="2"/>
    </row>
    <row r="4">
      <c r="A4" s="1" t="s">
        <v>373</v>
      </c>
      <c r="B4" s="2" t="s">
        <v>374</v>
      </c>
      <c r="C4" s="2" t="s">
        <v>214</v>
      </c>
      <c r="D4" s="2" t="s">
        <v>360</v>
      </c>
      <c r="E4" s="2" t="s">
        <v>115</v>
      </c>
      <c r="F4" s="2"/>
    </row>
    <row r="5">
      <c r="A5" s="1"/>
      <c r="B5" s="2"/>
      <c r="C5" s="2"/>
      <c r="D5" s="2"/>
      <c r="E5" s="2"/>
      <c r="F5" s="2"/>
    </row>
    <row r="6">
      <c r="A6" s="1"/>
      <c r="B6" s="2"/>
      <c r="C6" s="2"/>
      <c r="D6" s="2"/>
      <c r="E6" s="2"/>
      <c r="F6" s="2"/>
    </row>
    <row r="7">
      <c r="A7" s="1"/>
      <c r="B7" s="2"/>
      <c r="C7" s="2"/>
      <c r="D7" s="2"/>
      <c r="E7" s="2"/>
      <c r="F7" s="2"/>
    </row>
    <row r="8">
      <c r="A8" s="1"/>
      <c r="B8" s="2"/>
      <c r="C8" s="2"/>
      <c r="D8" s="2"/>
      <c r="E8" s="2"/>
      <c r="F8" s="2"/>
    </row>
    <row r="9">
      <c r="A9" s="1"/>
      <c r="B9" s="2"/>
      <c r="C9" s="2"/>
      <c r="D9" s="2"/>
      <c r="E9" s="2"/>
      <c r="F9" s="2"/>
    </row>
    <row r="10">
      <c r="A10" s="1"/>
      <c r="B10" s="2"/>
      <c r="C10" s="2"/>
      <c r="D10" s="2"/>
      <c r="E10" s="2"/>
      <c r="F10" s="2"/>
    </row>
    <row r="11">
      <c r="A11" s="1"/>
      <c r="B11" s="2"/>
      <c r="C11" s="2"/>
      <c r="D11" s="2"/>
      <c r="E11" s="2"/>
      <c r="F11" s="2"/>
    </row>
    <row r="12">
      <c r="A12" s="1"/>
      <c r="B12" s="2"/>
      <c r="C12" s="2"/>
      <c r="D12" s="2"/>
      <c r="E12" s="2"/>
      <c r="F12" s="2"/>
    </row>
    <row r="13">
      <c r="A13" s="1"/>
      <c r="B13" s="2"/>
      <c r="C13" s="2"/>
      <c r="D13" s="2"/>
      <c r="E13" s="2"/>
      <c r="F13" s="2"/>
    </row>
    <row r="14">
      <c r="A14" s="1"/>
      <c r="B14" s="2"/>
      <c r="C14" s="2"/>
      <c r="D14" s="2"/>
      <c r="E14" s="2"/>
      <c r="F14" s="2"/>
    </row>
    <row r="15">
      <c r="A15" s="1"/>
      <c r="B15" s="2"/>
      <c r="C15" s="2"/>
      <c r="D15" s="2"/>
      <c r="E15" s="2"/>
      <c r="F15" s="2"/>
    </row>
    <row r="16">
      <c r="A16" s="1"/>
      <c r="B16" s="2"/>
      <c r="C16" s="2"/>
      <c r="D16" s="2"/>
      <c r="E16" s="2"/>
      <c r="F16" s="2"/>
    </row>
    <row r="17">
      <c r="A17" s="1"/>
      <c r="B17" s="2"/>
      <c r="C17" s="2"/>
      <c r="D17" s="2"/>
      <c r="E17" s="2"/>
      <c r="F17" s="2"/>
    </row>
    <row r="18">
      <c r="A18" s="1"/>
      <c r="B18" s="2"/>
      <c r="C18" s="2"/>
      <c r="D18" s="2"/>
      <c r="E18" s="2"/>
      <c r="F18" s="2"/>
    </row>
    <row r="19">
      <c r="A19" s="1"/>
      <c r="B19" s="2"/>
      <c r="C19" s="2"/>
      <c r="D19" s="2"/>
      <c r="E19" s="2"/>
      <c r="F19" s="2"/>
    </row>
    <row r="20">
      <c r="A20" s="1"/>
      <c r="B20" s="2"/>
      <c r="C20" s="2"/>
      <c r="D20" s="2"/>
      <c r="E20" s="2"/>
      <c r="F20" s="2"/>
    </row>
    <row r="21">
      <c r="A21" s="1"/>
      <c r="B21" s="2"/>
      <c r="C21" s="2"/>
      <c r="D21" s="2"/>
      <c r="E21" s="2"/>
      <c r="F21" s="2"/>
    </row>
    <row r="22">
      <c r="A22" s="1"/>
      <c r="B22" s="2"/>
      <c r="C22" s="2"/>
      <c r="D22" s="2"/>
      <c r="E22" s="2"/>
      <c r="F22" s="2"/>
    </row>
    <row r="23">
      <c r="A23" s="1"/>
      <c r="B23" s="2"/>
      <c r="C23" s="2"/>
      <c r="D23" s="2"/>
      <c r="E23" s="2"/>
      <c r="F23" s="2"/>
    </row>
    <row r="24">
      <c r="A24" s="1"/>
      <c r="B24" s="2"/>
      <c r="C24" s="2"/>
      <c r="D24" s="2"/>
      <c r="E24" s="2"/>
      <c r="F24" s="2"/>
    </row>
    <row r="25">
      <c r="A25" s="1"/>
      <c r="B25" s="2"/>
      <c r="C25" s="2"/>
      <c r="D25" s="2"/>
      <c r="E25" s="2"/>
      <c r="F25" s="2"/>
    </row>
    <row r="26">
      <c r="A26" s="1"/>
      <c r="B26" s="2"/>
      <c r="C26" s="2"/>
      <c r="D26" s="2"/>
      <c r="E26" s="2"/>
      <c r="F26" s="2"/>
    </row>
    <row r="27">
      <c r="A27" s="1"/>
      <c r="B27" s="2"/>
      <c r="C27" s="2"/>
      <c r="D27" s="2"/>
      <c r="E27" s="2"/>
      <c r="F27" s="2"/>
    </row>
    <row r="28">
      <c r="A28" s="1"/>
      <c r="B28" s="2"/>
      <c r="C28" s="2"/>
      <c r="D28" s="2"/>
      <c r="E28" s="2"/>
      <c r="F28" s="2"/>
    </row>
    <row r="29">
      <c r="A29" s="1"/>
      <c r="B29" s="2"/>
      <c r="C29" s="2"/>
      <c r="D29" s="2"/>
      <c r="E29" s="2"/>
      <c r="F29" s="2"/>
    </row>
    <row r="30">
      <c r="A30" s="1"/>
      <c r="B30" s="2"/>
      <c r="C30" s="2"/>
      <c r="D30" s="2"/>
      <c r="E30" s="2"/>
      <c r="F30" s="2"/>
    </row>
    <row r="31">
      <c r="A31" s="1"/>
      <c r="B31" s="2"/>
      <c r="C31" s="2"/>
      <c r="D31" s="2"/>
      <c r="E31" s="2"/>
      <c r="F31" s="2"/>
    </row>
    <row r="32">
      <c r="A32" s="1"/>
      <c r="B32" s="2"/>
      <c r="C32" s="2"/>
      <c r="D32" s="2"/>
      <c r="E32" s="2"/>
      <c r="F32" s="2"/>
    </row>
    <row r="33">
      <c r="A33" s="1"/>
      <c r="B33" s="2"/>
      <c r="C33" s="2"/>
      <c r="D33" s="2"/>
      <c r="E33" s="2"/>
      <c r="F33" s="2"/>
    </row>
    <row r="34">
      <c r="A34" s="1"/>
      <c r="B34" s="2"/>
      <c r="C34" s="2"/>
      <c r="D34" s="2"/>
      <c r="E34" s="2"/>
      <c r="F34" s="2"/>
    </row>
    <row r="35">
      <c r="A35" s="1"/>
      <c r="B35" s="2"/>
      <c r="C35" s="2"/>
      <c r="D35" s="2"/>
      <c r="E35" s="2"/>
      <c r="F35" s="2"/>
    </row>
    <row r="36">
      <c r="A36" s="1"/>
      <c r="B36" s="2"/>
      <c r="C36" s="2"/>
      <c r="D36" s="2"/>
      <c r="E36" s="2"/>
      <c r="F36" s="2"/>
    </row>
    <row r="37">
      <c r="A37" s="1"/>
      <c r="B37" s="2"/>
      <c r="C37" s="2"/>
      <c r="D37" s="2"/>
      <c r="E37" s="2"/>
      <c r="F37" s="2"/>
    </row>
    <row r="38">
      <c r="A38" s="1"/>
      <c r="B38" s="2"/>
      <c r="C38" s="2"/>
      <c r="D38" s="2"/>
      <c r="E38" s="2"/>
      <c r="F38" s="2"/>
    </row>
    <row r="39">
      <c r="A39" s="1"/>
      <c r="B39" s="2"/>
      <c r="C39" s="2"/>
      <c r="D39" s="2"/>
      <c r="E39" s="2"/>
      <c r="F39" s="2"/>
    </row>
    <row r="40">
      <c r="A40" s="1"/>
      <c r="B40" s="2"/>
      <c r="C40" s="2"/>
      <c r="D40" s="2"/>
      <c r="E40" s="2"/>
      <c r="F40" s="2"/>
    </row>
    <row r="41">
      <c r="A41" s="1"/>
      <c r="B41" s="2"/>
      <c r="C41" s="2"/>
      <c r="D41" s="2"/>
      <c r="E41" s="2"/>
      <c r="F41" s="2"/>
    </row>
    <row r="42">
      <c r="A42" s="1"/>
      <c r="B42" s="2"/>
      <c r="C42" s="2"/>
      <c r="D42" s="2"/>
      <c r="E42" s="2"/>
      <c r="F42" s="2"/>
    </row>
    <row r="43">
      <c r="A43" s="1"/>
      <c r="B43" s="2"/>
      <c r="C43" s="2"/>
      <c r="D43" s="2"/>
      <c r="E43" s="2"/>
      <c r="F43" s="2"/>
    </row>
    <row r="44">
      <c r="A44" s="1"/>
      <c r="B44" s="2"/>
      <c r="C44" s="2"/>
      <c r="D44" s="2"/>
      <c r="E44" s="2"/>
      <c r="F44" s="2"/>
    </row>
    <row r="45">
      <c r="A45" s="1"/>
      <c r="B45" s="2"/>
      <c r="C45" s="2"/>
      <c r="D45" s="2"/>
      <c r="E45" s="2"/>
      <c r="F45" s="2"/>
    </row>
    <row r="46">
      <c r="A46" s="1"/>
      <c r="B46" s="2"/>
      <c r="C46" s="2"/>
      <c r="D46" s="2"/>
      <c r="E46" s="2"/>
      <c r="F46" s="2"/>
    </row>
    <row r="47">
      <c r="A47" s="1"/>
      <c r="B47" s="2"/>
      <c r="C47" s="2"/>
      <c r="D47" s="2"/>
      <c r="E47" s="2"/>
      <c r="F47" s="2"/>
    </row>
    <row r="48">
      <c r="A48" s="1"/>
      <c r="B48" s="2"/>
      <c r="C48" s="2"/>
      <c r="D48" s="2"/>
      <c r="E48" s="2"/>
      <c r="F48" s="2"/>
    </row>
    <row r="49">
      <c r="A49" s="1"/>
      <c r="B49" s="2"/>
      <c r="C49" s="2"/>
      <c r="D49" s="2"/>
      <c r="E49" s="2"/>
      <c r="F49" s="2"/>
    </row>
    <row r="50">
      <c r="A50" s="1"/>
      <c r="B50" s="2"/>
      <c r="C50" s="2"/>
      <c r="D50" s="2"/>
      <c r="E50" s="2"/>
      <c r="F50" s="2"/>
    </row>
    <row r="51">
      <c r="A51" s="1"/>
      <c r="B51" s="2"/>
      <c r="C51" s="2"/>
      <c r="D51" s="2"/>
      <c r="E51" s="2"/>
      <c r="F51" s="2"/>
    </row>
    <row r="52">
      <c r="A52" s="1"/>
      <c r="B52" s="2"/>
      <c r="C52" s="2"/>
      <c r="D52" s="2"/>
      <c r="E52" s="2"/>
      <c r="F52" s="2"/>
    </row>
    <row r="53">
      <c r="A53" s="1"/>
      <c r="B53" s="2"/>
      <c r="C53" s="2"/>
      <c r="D53" s="2"/>
      <c r="E53" s="2"/>
      <c r="F53" s="2"/>
    </row>
    <row r="54">
      <c r="A54" s="1"/>
      <c r="B54" s="2"/>
      <c r="C54" s="2"/>
      <c r="D54" s="2"/>
      <c r="E54" s="2"/>
      <c r="F54" s="2"/>
    </row>
    <row r="55">
      <c r="A55" s="1"/>
      <c r="B55" s="2"/>
      <c r="C55" s="2"/>
      <c r="D55" s="2"/>
      <c r="E55" s="2"/>
      <c r="F55" s="2"/>
    </row>
    <row r="56">
      <c r="A56" s="1"/>
      <c r="B56" s="2"/>
      <c r="C56" s="2"/>
      <c r="D56" s="2"/>
      <c r="E56" s="2"/>
      <c r="F56" s="2"/>
    </row>
    <row r="57">
      <c r="A57" s="1"/>
      <c r="B57" s="2"/>
      <c r="C57" s="2"/>
      <c r="D57" s="2"/>
      <c r="E57" s="2"/>
      <c r="F57" s="2"/>
    </row>
    <row r="58">
      <c r="A58" s="1"/>
      <c r="B58" s="2"/>
      <c r="C58" s="2"/>
      <c r="D58" s="2"/>
      <c r="E58" s="2"/>
      <c r="F58" s="2"/>
    </row>
    <row r="59">
      <c r="A59" s="1"/>
      <c r="B59" s="2"/>
      <c r="C59" s="2"/>
      <c r="D59" s="2"/>
      <c r="E59" s="2"/>
      <c r="F59" s="2"/>
    </row>
    <row r="60">
      <c r="A60" s="1"/>
      <c r="B60" s="2"/>
      <c r="C60" s="2"/>
      <c r="D60" s="2"/>
      <c r="E60" s="2"/>
      <c r="F60" s="2"/>
    </row>
    <row r="61">
      <c r="A61" s="1"/>
      <c r="B61" s="2"/>
      <c r="C61" s="2"/>
      <c r="D61" s="2"/>
      <c r="E61" s="2"/>
      <c r="F61" s="2"/>
    </row>
    <row r="62">
      <c r="A62" s="1"/>
      <c r="B62" s="2"/>
      <c r="C62" s="2"/>
      <c r="D62" s="2"/>
      <c r="E62" s="2"/>
      <c r="F62" s="2"/>
    </row>
    <row r="63">
      <c r="A63" s="1"/>
      <c r="B63" s="2"/>
      <c r="C63" s="2"/>
      <c r="D63" s="2"/>
      <c r="E63" s="2"/>
      <c r="F63" s="2"/>
    </row>
    <row r="64">
      <c r="A64" s="1"/>
      <c r="B64" s="2"/>
      <c r="C64" s="2"/>
      <c r="D64" s="2"/>
      <c r="E64" s="2"/>
      <c r="F64" s="2"/>
    </row>
    <row r="65">
      <c r="A65" s="1"/>
      <c r="B65" s="2"/>
      <c r="C65" s="2"/>
      <c r="D65" s="2"/>
      <c r="E65" s="2"/>
      <c r="F65" s="2"/>
    </row>
    <row r="66">
      <c r="A66" s="1"/>
      <c r="B66" s="2"/>
      <c r="C66" s="2"/>
      <c r="D66" s="2"/>
      <c r="E66" s="2"/>
      <c r="F66" s="2"/>
    </row>
    <row r="67">
      <c r="A67" s="1"/>
      <c r="B67" s="2"/>
      <c r="C67" s="2"/>
      <c r="D67" s="2"/>
      <c r="E67" s="2"/>
      <c r="F67" s="2"/>
    </row>
    <row r="68">
      <c r="A68" s="1"/>
      <c r="B68" s="2"/>
      <c r="C68" s="2"/>
      <c r="D68" s="2"/>
      <c r="E68" s="2"/>
      <c r="F68" s="2"/>
    </row>
    <row r="69">
      <c r="A69" s="1"/>
      <c r="B69" s="2"/>
      <c r="C69" s="2"/>
      <c r="D69" s="2"/>
      <c r="E69" s="2"/>
      <c r="F69" s="2"/>
    </row>
    <row r="70">
      <c r="A70" s="1"/>
      <c r="B70" s="2"/>
      <c r="C70" s="2"/>
      <c r="D70" s="2"/>
      <c r="E70" s="2"/>
      <c r="F70" s="2"/>
    </row>
    <row r="71">
      <c r="A71" s="1"/>
      <c r="B71" s="2"/>
      <c r="C71" s="2"/>
      <c r="D71" s="2"/>
      <c r="E71" s="2"/>
      <c r="F71" s="2"/>
    </row>
    <row r="72">
      <c r="A72" s="1"/>
      <c r="B72" s="2"/>
      <c r="C72" s="2"/>
      <c r="D72" s="2"/>
      <c r="E72" s="2"/>
      <c r="F72" s="2"/>
    </row>
    <row r="73">
      <c r="A73" s="1"/>
      <c r="B73" s="2"/>
      <c r="C73" s="2"/>
      <c r="D73" s="2"/>
      <c r="E73" s="2"/>
      <c r="F73" s="2"/>
    </row>
    <row r="74">
      <c r="A74" s="1"/>
      <c r="B74" s="2"/>
      <c r="C74" s="2"/>
      <c r="D74" s="2"/>
      <c r="E74" s="2"/>
      <c r="F74" s="2"/>
    </row>
    <row r="75">
      <c r="A75" s="1"/>
      <c r="B75" s="2"/>
      <c r="C75" s="2"/>
      <c r="D75" s="2"/>
      <c r="E75" s="2"/>
      <c r="F75" s="2"/>
    </row>
    <row r="76">
      <c r="A76" s="1"/>
      <c r="B76" s="2"/>
      <c r="C76" s="2"/>
      <c r="D76" s="2"/>
      <c r="E76" s="2"/>
      <c r="F76" s="2"/>
    </row>
    <row r="77">
      <c r="A77" s="1"/>
      <c r="B77" s="2"/>
      <c r="C77" s="2"/>
      <c r="D77" s="2"/>
      <c r="E77" s="2"/>
      <c r="F77" s="2"/>
    </row>
    <row r="78">
      <c r="A78" s="1"/>
      <c r="B78" s="2"/>
      <c r="C78" s="2"/>
      <c r="D78" s="2"/>
      <c r="E78" s="2"/>
      <c r="F78" s="2"/>
    </row>
    <row r="79">
      <c r="A79" s="1"/>
      <c r="B79" s="2"/>
      <c r="C79" s="2"/>
      <c r="D79" s="2"/>
      <c r="E79" s="2"/>
      <c r="F79" s="2"/>
    </row>
    <row r="80">
      <c r="A80" s="1"/>
      <c r="B80" s="2"/>
      <c r="C80" s="2"/>
      <c r="D80" s="2"/>
      <c r="E80" s="2"/>
      <c r="F80" s="2"/>
    </row>
    <row r="81">
      <c r="A81" s="1"/>
      <c r="B81" s="2"/>
      <c r="C81" s="2"/>
      <c r="D81" s="2"/>
      <c r="E81" s="2"/>
      <c r="F81" s="2"/>
    </row>
    <row r="82">
      <c r="A82" s="1"/>
      <c r="B82" s="2"/>
      <c r="C82" s="2"/>
      <c r="D82" s="2"/>
      <c r="E82" s="2"/>
      <c r="F82" s="2"/>
    </row>
    <row r="83">
      <c r="A83" s="1"/>
      <c r="B83" s="2"/>
      <c r="C83" s="2"/>
      <c r="D83" s="2"/>
      <c r="E83" s="2"/>
      <c r="F83" s="2"/>
    </row>
    <row r="84">
      <c r="A84" s="1"/>
      <c r="B84" s="2"/>
      <c r="C84" s="2"/>
      <c r="D84" s="2"/>
      <c r="E84" s="2"/>
      <c r="F84" s="2"/>
    </row>
    <row r="85">
      <c r="A85" s="1"/>
      <c r="B85" s="2"/>
      <c r="C85" s="2"/>
      <c r="D85" s="2"/>
      <c r="E85" s="2"/>
      <c r="F85" s="2"/>
    </row>
    <row r="86">
      <c r="A86" s="1"/>
      <c r="B86" s="2"/>
      <c r="C86" s="2"/>
      <c r="D86" s="2"/>
      <c r="E86" s="2"/>
      <c r="F86" s="2"/>
    </row>
    <row r="87">
      <c r="A87" s="1"/>
      <c r="B87" s="2"/>
      <c r="C87" s="2"/>
      <c r="D87" s="2"/>
      <c r="E87" s="2"/>
      <c r="F87" s="2"/>
    </row>
    <row r="88">
      <c r="A88" s="1"/>
      <c r="B88" s="2"/>
      <c r="C88" s="2"/>
      <c r="D88" s="2"/>
      <c r="E88" s="2"/>
      <c r="F88" s="2"/>
    </row>
    <row r="89">
      <c r="A89" s="1"/>
      <c r="B89" s="2"/>
      <c r="C89" s="2"/>
      <c r="D89" s="2"/>
      <c r="E89" s="2"/>
      <c r="F89" s="2"/>
    </row>
    <row r="90">
      <c r="A90" s="1"/>
      <c r="B90" s="2"/>
      <c r="C90" s="2"/>
      <c r="D90" s="2"/>
      <c r="E90" s="2"/>
      <c r="F90" s="2"/>
    </row>
    <row r="91">
      <c r="A91" s="1"/>
      <c r="B91" s="2"/>
      <c r="C91" s="2"/>
      <c r="D91" s="2"/>
      <c r="E91" s="2"/>
      <c r="F91" s="2"/>
    </row>
    <row r="92">
      <c r="A92" s="1"/>
      <c r="B92" s="2"/>
      <c r="C92" s="2"/>
      <c r="D92" s="2"/>
      <c r="E92" s="2"/>
      <c r="F92" s="2"/>
    </row>
    <row r="93">
      <c r="A93" s="1"/>
      <c r="B93" s="2"/>
      <c r="C93" s="2"/>
      <c r="D93" s="2"/>
      <c r="E93" s="2"/>
      <c r="F93" s="2"/>
    </row>
    <row r="94">
      <c r="A94" s="1"/>
      <c r="B94" s="2"/>
      <c r="C94" s="2"/>
      <c r="D94" s="2"/>
      <c r="E94" s="2"/>
      <c r="F94" s="2"/>
    </row>
    <row r="95">
      <c r="A95" s="1"/>
      <c r="B95" s="2"/>
      <c r="C95" s="2"/>
      <c r="D95" s="2"/>
      <c r="E95" s="2"/>
      <c r="F95" s="2"/>
    </row>
    <row r="96">
      <c r="A96" s="1"/>
      <c r="B96" s="2"/>
      <c r="C96" s="2"/>
      <c r="D96" s="2"/>
      <c r="E96" s="2"/>
      <c r="F96" s="2"/>
    </row>
    <row r="97">
      <c r="A97" s="1"/>
      <c r="B97" s="2"/>
      <c r="C97" s="2"/>
      <c r="D97" s="2"/>
      <c r="E97" s="2"/>
      <c r="F97" s="2"/>
    </row>
    <row r="98">
      <c r="A98" s="1"/>
      <c r="B98" s="2"/>
      <c r="C98" s="2"/>
      <c r="D98" s="2"/>
      <c r="E98" s="2"/>
      <c r="F98" s="2"/>
    </row>
    <row r="99">
      <c r="A99" s="1"/>
      <c r="B99" s="2"/>
      <c r="C99" s="2"/>
      <c r="D99" s="2"/>
      <c r="E99" s="2"/>
      <c r="F99" s="2"/>
    </row>
    <row r="100">
      <c r="A100" s="1"/>
      <c r="B100" s="2"/>
      <c r="C100" s="2"/>
      <c r="D100" s="2"/>
      <c r="E100" s="2"/>
      <c r="F100" s="2"/>
    </row>
    <row r="101">
      <c r="A101" s="1"/>
      <c r="B101" s="2"/>
      <c r="C101" s="2"/>
      <c r="D101" s="2"/>
      <c r="E101" s="2"/>
      <c r="F101" s="2"/>
    </row>
    <row r="102">
      <c r="A102" s="1"/>
      <c r="B102" s="2"/>
      <c r="C102" s="2"/>
      <c r="D102" s="2"/>
      <c r="E102" s="2"/>
      <c r="F102" s="2"/>
    </row>
    <row r="103">
      <c r="A103" s="1"/>
      <c r="B103" s="2"/>
      <c r="C103" s="2"/>
      <c r="D103" s="2"/>
      <c r="E103" s="2"/>
      <c r="F103" s="2"/>
    </row>
    <row r="104">
      <c r="A104" s="1"/>
      <c r="B104" s="2"/>
      <c r="C104" s="2"/>
      <c r="D104" s="2"/>
      <c r="E104" s="2"/>
      <c r="F104" s="2"/>
    </row>
    <row r="105">
      <c r="A105" s="1"/>
      <c r="B105" s="2"/>
      <c r="C105" s="2"/>
      <c r="D105" s="2"/>
      <c r="E105" s="2"/>
      <c r="F105" s="2"/>
    </row>
    <row r="106">
      <c r="A106" s="1"/>
      <c r="B106" s="2"/>
      <c r="C106" s="2"/>
      <c r="D106" s="2"/>
      <c r="E106" s="2"/>
      <c r="F106" s="2"/>
    </row>
    <row r="107">
      <c r="A107" s="1"/>
      <c r="B107" s="2"/>
      <c r="C107" s="2"/>
      <c r="D107" s="2"/>
      <c r="E107" s="2"/>
      <c r="F107" s="2"/>
    </row>
    <row r="108">
      <c r="A108" s="1"/>
      <c r="B108" s="2"/>
      <c r="C108" s="2"/>
      <c r="D108" s="2"/>
      <c r="E108" s="2"/>
      <c r="F108" s="2"/>
    </row>
    <row r="109">
      <c r="A109" s="1"/>
      <c r="B109" s="2"/>
      <c r="C109" s="2"/>
      <c r="D109" s="2"/>
      <c r="E109" s="2"/>
      <c r="F109" s="2"/>
    </row>
    <row r="110">
      <c r="A110" s="1"/>
      <c r="B110" s="2"/>
      <c r="C110" s="2"/>
      <c r="D110" s="2"/>
      <c r="E110" s="2"/>
      <c r="F110" s="2"/>
    </row>
    <row r="111">
      <c r="A111" s="1"/>
      <c r="B111" s="2"/>
      <c r="C111" s="2"/>
      <c r="D111" s="2"/>
      <c r="E111" s="2"/>
      <c r="F111" s="2"/>
    </row>
    <row r="112">
      <c r="A112" s="1"/>
      <c r="B112" s="2"/>
      <c r="C112" s="2"/>
      <c r="D112" s="2"/>
      <c r="E112" s="2"/>
      <c r="F112" s="2"/>
    </row>
    <row r="113">
      <c r="A113" s="1"/>
      <c r="B113" s="2"/>
      <c r="C113" s="2"/>
      <c r="D113" s="2"/>
      <c r="E113" s="2"/>
      <c r="F113" s="2"/>
    </row>
    <row r="114">
      <c r="A114" s="1"/>
      <c r="B114" s="2"/>
      <c r="C114" s="2"/>
      <c r="D114" s="2"/>
      <c r="E114" s="2"/>
      <c r="F114" s="2"/>
    </row>
    <row r="115">
      <c r="A115" s="1"/>
      <c r="B115" s="2"/>
      <c r="C115" s="2"/>
      <c r="D115" s="2"/>
      <c r="E115" s="2"/>
      <c r="F115" s="2"/>
    </row>
    <row r="116">
      <c r="A116" s="1"/>
      <c r="B116" s="2"/>
      <c r="C116" s="2"/>
      <c r="D116" s="2"/>
      <c r="E116" s="2"/>
      <c r="F116" s="2"/>
    </row>
    <row r="117">
      <c r="A117" s="1"/>
      <c r="B117" s="2"/>
      <c r="C117" s="2"/>
      <c r="D117" s="2"/>
      <c r="E117" s="2"/>
      <c r="F117" s="2"/>
    </row>
    <row r="118">
      <c r="A118" s="1"/>
      <c r="B118" s="2"/>
      <c r="C118" s="2"/>
      <c r="D118" s="2"/>
      <c r="E118" s="2"/>
      <c r="F118" s="2"/>
    </row>
    <row r="119">
      <c r="A119" s="1"/>
      <c r="B119" s="2"/>
      <c r="C119" s="2"/>
      <c r="D119" s="2"/>
      <c r="E119" s="2"/>
      <c r="F119" s="2"/>
    </row>
    <row r="120">
      <c r="A120" s="1"/>
      <c r="B120" s="2"/>
      <c r="C120" s="2"/>
      <c r="D120" s="2"/>
      <c r="E120" s="2"/>
      <c r="F120" s="2"/>
    </row>
    <row r="121">
      <c r="A121" s="1"/>
      <c r="B121" s="2"/>
      <c r="C121" s="2"/>
      <c r="D121" s="2"/>
      <c r="E121" s="2"/>
      <c r="F121" s="2"/>
    </row>
    <row r="122">
      <c r="A122" s="1"/>
      <c r="B122" s="2"/>
      <c r="C122" s="2"/>
      <c r="D122" s="2"/>
      <c r="E122" s="2"/>
      <c r="F122" s="2"/>
    </row>
    <row r="123">
      <c r="A123" s="1"/>
      <c r="B123" s="2"/>
      <c r="C123" s="2"/>
      <c r="D123" s="2"/>
      <c r="E123" s="2"/>
      <c r="F123" s="2"/>
    </row>
    <row r="124">
      <c r="A124" s="1"/>
      <c r="B124" s="2"/>
      <c r="C124" s="2"/>
      <c r="D124" s="2"/>
      <c r="E124" s="2"/>
      <c r="F124" s="2"/>
    </row>
    <row r="125">
      <c r="A125" s="1"/>
      <c r="B125" s="2"/>
      <c r="C125" s="2"/>
      <c r="D125" s="2"/>
      <c r="E125" s="2"/>
      <c r="F125" s="2"/>
    </row>
    <row r="126">
      <c r="A126" s="1"/>
      <c r="B126" s="2"/>
      <c r="C126" s="2"/>
      <c r="D126" s="2"/>
      <c r="E126" s="2"/>
      <c r="F126" s="2"/>
    </row>
    <row r="127">
      <c r="A127" s="1"/>
      <c r="B127" s="2"/>
      <c r="C127" s="2"/>
      <c r="D127" s="2"/>
      <c r="E127" s="2"/>
      <c r="F127" s="2"/>
    </row>
    <row r="128">
      <c r="A128" s="1"/>
      <c r="B128" s="2"/>
      <c r="C128" s="2"/>
      <c r="D128" s="2"/>
      <c r="E128" s="2"/>
      <c r="F128" s="2"/>
    </row>
    <row r="129">
      <c r="A129" s="1"/>
      <c r="B129" s="2"/>
      <c r="C129" s="2"/>
      <c r="D129" s="2"/>
      <c r="E129" s="2"/>
      <c r="F129" s="2"/>
    </row>
    <row r="130">
      <c r="A130" s="1"/>
      <c r="B130" s="2"/>
      <c r="C130" s="2"/>
      <c r="D130" s="2"/>
      <c r="E130" s="2"/>
      <c r="F130" s="2"/>
    </row>
    <row r="131">
      <c r="A131" s="1"/>
      <c r="B131" s="2"/>
      <c r="C131" s="2"/>
      <c r="D131" s="2"/>
      <c r="E131" s="2"/>
      <c r="F131" s="2"/>
    </row>
    <row r="132">
      <c r="A132" s="1"/>
      <c r="B132" s="2"/>
      <c r="C132" s="2"/>
      <c r="D132" s="2"/>
      <c r="E132" s="2"/>
      <c r="F132" s="2"/>
    </row>
    <row r="133">
      <c r="A133" s="1"/>
      <c r="B133" s="2"/>
      <c r="C133" s="2"/>
      <c r="D133" s="2"/>
      <c r="E133" s="2"/>
      <c r="F133" s="2"/>
    </row>
    <row r="134">
      <c r="A134" s="1"/>
      <c r="B134" s="2"/>
      <c r="C134" s="2"/>
      <c r="D134" s="2"/>
      <c r="E134" s="2"/>
      <c r="F134" s="2"/>
    </row>
    <row r="135">
      <c r="A135" s="1"/>
      <c r="B135" s="2"/>
      <c r="C135" s="2"/>
      <c r="D135" s="2"/>
      <c r="E135" s="2"/>
      <c r="F135" s="2"/>
    </row>
    <row r="136">
      <c r="A136" s="1"/>
      <c r="B136" s="2"/>
      <c r="C136" s="2"/>
      <c r="D136" s="2"/>
      <c r="E136" s="2"/>
      <c r="F136" s="2"/>
    </row>
    <row r="137">
      <c r="A137" s="1"/>
      <c r="B137" s="2"/>
      <c r="C137" s="2"/>
      <c r="D137" s="2"/>
      <c r="E137" s="2"/>
      <c r="F137" s="2"/>
    </row>
    <row r="138">
      <c r="A138" s="1"/>
      <c r="B138" s="2"/>
      <c r="C138" s="2"/>
      <c r="D138" s="2"/>
      <c r="E138" s="2"/>
      <c r="F138" s="2"/>
    </row>
    <row r="139">
      <c r="A139" s="1"/>
      <c r="B139" s="2"/>
      <c r="C139" s="2"/>
      <c r="D139" s="2"/>
      <c r="E139" s="2"/>
      <c r="F139" s="2"/>
    </row>
    <row r="140">
      <c r="A140" s="1"/>
      <c r="B140" s="2"/>
      <c r="C140" s="2"/>
      <c r="D140" s="2"/>
      <c r="E140" s="2"/>
      <c r="F140" s="2"/>
    </row>
    <row r="141">
      <c r="A141" s="1"/>
      <c r="B141" s="2"/>
      <c r="C141" s="2"/>
      <c r="D141" s="2"/>
      <c r="E141" s="2"/>
      <c r="F141" s="2"/>
    </row>
    <row r="142">
      <c r="A142" s="1"/>
      <c r="B142" s="2"/>
      <c r="C142" s="2"/>
      <c r="D142" s="2"/>
      <c r="E142" s="2"/>
      <c r="F142" s="2"/>
    </row>
    <row r="143">
      <c r="A143" s="1"/>
      <c r="B143" s="2"/>
      <c r="C143" s="2"/>
      <c r="D143" s="2"/>
      <c r="E143" s="2"/>
      <c r="F143" s="2"/>
    </row>
    <row r="144">
      <c r="A144" s="1"/>
      <c r="B144" s="2"/>
      <c r="C144" s="2"/>
      <c r="D144" s="2"/>
      <c r="E144" s="2"/>
      <c r="F144" s="2"/>
    </row>
    <row r="145">
      <c r="A145" s="1"/>
      <c r="B145" s="2"/>
      <c r="C145" s="2"/>
      <c r="D145" s="2"/>
      <c r="E145" s="2"/>
      <c r="F145" s="2"/>
    </row>
    <row r="146">
      <c r="A146" s="1"/>
      <c r="B146" s="2"/>
      <c r="C146" s="2"/>
      <c r="D146" s="2"/>
      <c r="E146" s="2"/>
      <c r="F146" s="2"/>
    </row>
    <row r="147">
      <c r="A147" s="1"/>
      <c r="B147" s="2"/>
      <c r="C147" s="2"/>
      <c r="D147" s="2"/>
      <c r="E147" s="2"/>
      <c r="F147" s="2"/>
    </row>
    <row r="148">
      <c r="A148" s="1"/>
      <c r="B148" s="2"/>
      <c r="C148" s="2"/>
      <c r="D148" s="2"/>
      <c r="E148" s="2"/>
      <c r="F148" s="2"/>
    </row>
    <row r="149">
      <c r="A149" s="1"/>
      <c r="B149" s="2"/>
      <c r="C149" s="2"/>
      <c r="D149" s="2"/>
      <c r="E149" s="2"/>
      <c r="F149" s="2"/>
    </row>
    <row r="150">
      <c r="A150" s="1"/>
      <c r="B150" s="2"/>
      <c r="C150" s="2"/>
      <c r="D150" s="2"/>
      <c r="E150" s="2"/>
      <c r="F150" s="2"/>
    </row>
    <row r="151">
      <c r="A151" s="1"/>
      <c r="B151" s="2"/>
      <c r="C151" s="2"/>
      <c r="D151" s="2"/>
      <c r="E151" s="2"/>
      <c r="F151" s="2"/>
    </row>
    <row r="152">
      <c r="A152" s="1"/>
      <c r="B152" s="2"/>
      <c r="C152" s="2"/>
      <c r="D152" s="2"/>
      <c r="E152" s="2"/>
      <c r="F152" s="2"/>
    </row>
    <row r="153">
      <c r="A153" s="1"/>
      <c r="B153" s="2"/>
      <c r="C153" s="2"/>
      <c r="D153" s="2"/>
      <c r="E153" s="2"/>
      <c r="F153" s="2"/>
    </row>
    <row r="154">
      <c r="A154" s="1"/>
      <c r="B154" s="2"/>
      <c r="C154" s="2"/>
      <c r="D154" s="2"/>
      <c r="E154" s="2"/>
      <c r="F154" s="2"/>
    </row>
    <row r="155">
      <c r="A155" s="1"/>
      <c r="B155" s="2"/>
      <c r="C155" s="2"/>
      <c r="D155" s="2"/>
      <c r="E155" s="2"/>
      <c r="F155" s="2"/>
    </row>
    <row r="156">
      <c r="A156" s="1"/>
      <c r="B156" s="2"/>
      <c r="C156" s="2"/>
      <c r="D156" s="2"/>
      <c r="E156" s="2"/>
      <c r="F156" s="2"/>
    </row>
    <row r="157">
      <c r="A157" s="1"/>
      <c r="B157" s="2"/>
      <c r="C157" s="2"/>
      <c r="D157" s="2"/>
      <c r="E157" s="2"/>
      <c r="F157" s="2"/>
    </row>
    <row r="158">
      <c r="A158" s="1"/>
      <c r="B158" s="2"/>
      <c r="C158" s="2"/>
      <c r="D158" s="2"/>
      <c r="E158" s="2"/>
      <c r="F158" s="2"/>
    </row>
    <row r="159">
      <c r="A159" s="1"/>
      <c r="B159" s="2"/>
      <c r="C159" s="2"/>
      <c r="D159" s="2"/>
      <c r="E159" s="2"/>
      <c r="F159" s="2"/>
    </row>
    <row r="160">
      <c r="A160" s="1"/>
      <c r="B160" s="2"/>
      <c r="C160" s="2"/>
      <c r="D160" s="2"/>
      <c r="E160" s="2"/>
      <c r="F160" s="2"/>
    </row>
    <row r="161">
      <c r="A161" s="1"/>
      <c r="B161" s="2"/>
      <c r="C161" s="2"/>
      <c r="D161" s="2"/>
      <c r="E161" s="2"/>
      <c r="F161" s="2"/>
    </row>
    <row r="162">
      <c r="A162" s="1"/>
      <c r="B162" s="2"/>
      <c r="C162" s="2"/>
      <c r="D162" s="2"/>
      <c r="E162" s="2"/>
      <c r="F162" s="2"/>
    </row>
    <row r="163">
      <c r="A163" s="1"/>
      <c r="B163" s="2"/>
      <c r="C163" s="2"/>
      <c r="D163" s="2"/>
      <c r="E163" s="2"/>
      <c r="F163" s="2"/>
    </row>
    <row r="164">
      <c r="A164" s="1"/>
      <c r="B164" s="2"/>
      <c r="C164" s="2"/>
      <c r="D164" s="2"/>
      <c r="E164" s="2"/>
      <c r="F164" s="2"/>
    </row>
    <row r="165">
      <c r="A165" s="1"/>
      <c r="B165" s="2"/>
      <c r="C165" s="2"/>
      <c r="D165" s="2"/>
      <c r="E165" s="2"/>
      <c r="F165" s="2"/>
    </row>
    <row r="166">
      <c r="A166" s="1"/>
      <c r="B166" s="2"/>
      <c r="C166" s="2"/>
      <c r="D166" s="2"/>
      <c r="E166" s="2"/>
      <c r="F166" s="2"/>
    </row>
    <row r="167">
      <c r="A167" s="1"/>
      <c r="B167" s="2"/>
      <c r="C167" s="2"/>
      <c r="D167" s="2"/>
      <c r="E167" s="2"/>
      <c r="F167" s="2"/>
    </row>
    <row r="168">
      <c r="A168" s="1"/>
      <c r="B168" s="2"/>
      <c r="C168" s="2"/>
      <c r="D168" s="2"/>
      <c r="E168" s="2"/>
      <c r="F168" s="2"/>
    </row>
    <row r="169">
      <c r="A169" s="1"/>
      <c r="B169" s="2"/>
      <c r="C169" s="2"/>
      <c r="D169" s="2"/>
      <c r="E169" s="2"/>
      <c r="F169" s="2"/>
    </row>
    <row r="170">
      <c r="A170" s="1"/>
      <c r="B170" s="2"/>
      <c r="C170" s="2"/>
      <c r="D170" s="2"/>
      <c r="E170" s="2"/>
      <c r="F170" s="2"/>
    </row>
    <row r="171">
      <c r="A171" s="1"/>
      <c r="B171" s="2"/>
      <c r="C171" s="2"/>
      <c r="D171" s="2"/>
      <c r="E171" s="2"/>
      <c r="F171" s="2"/>
    </row>
    <row r="172">
      <c r="A172" s="1"/>
      <c r="B172" s="2"/>
      <c r="C172" s="2"/>
      <c r="D172" s="2"/>
      <c r="E172" s="2"/>
      <c r="F172" s="2"/>
    </row>
    <row r="173">
      <c r="A173" s="1"/>
      <c r="B173" s="2"/>
      <c r="C173" s="2"/>
      <c r="D173" s="2"/>
      <c r="E173" s="2"/>
      <c r="F173" s="2"/>
    </row>
    <row r="174">
      <c r="A174" s="1"/>
      <c r="B174" s="2"/>
      <c r="C174" s="2"/>
      <c r="D174" s="2"/>
      <c r="E174" s="2"/>
      <c r="F174" s="2"/>
    </row>
    <row r="175">
      <c r="A175" s="1"/>
      <c r="B175" s="2"/>
      <c r="C175" s="2"/>
      <c r="D175" s="2"/>
      <c r="E175" s="2"/>
      <c r="F175" s="2"/>
    </row>
    <row r="176">
      <c r="A176" s="1"/>
      <c r="B176" s="2"/>
      <c r="C176" s="2"/>
      <c r="D176" s="2"/>
      <c r="E176" s="2"/>
      <c r="F176" s="2"/>
    </row>
    <row r="177">
      <c r="A177" s="1"/>
      <c r="B177" s="2"/>
      <c r="C177" s="2"/>
      <c r="D177" s="2"/>
      <c r="E177" s="2"/>
      <c r="F177" s="2"/>
    </row>
    <row r="178">
      <c r="A178" s="1"/>
      <c r="B178" s="2"/>
      <c r="C178" s="2"/>
      <c r="D178" s="2"/>
      <c r="E178" s="2"/>
      <c r="F178" s="2"/>
    </row>
    <row r="179">
      <c r="A179" s="1"/>
      <c r="B179" s="2"/>
      <c r="C179" s="2"/>
      <c r="D179" s="2"/>
      <c r="E179" s="2"/>
      <c r="F179" s="2"/>
    </row>
    <row r="180">
      <c r="A180" s="1"/>
      <c r="B180" s="2"/>
      <c r="C180" s="2"/>
      <c r="D180" s="2"/>
      <c r="E180" s="2"/>
      <c r="F180" s="2"/>
    </row>
    <row r="181">
      <c r="A181" s="1"/>
      <c r="B181" s="2"/>
      <c r="C181" s="2"/>
      <c r="D181" s="2"/>
      <c r="E181" s="2"/>
      <c r="F181" s="2"/>
    </row>
    <row r="182">
      <c r="A182" s="1"/>
      <c r="B182" s="2"/>
      <c r="C182" s="2"/>
      <c r="D182" s="2"/>
      <c r="E182" s="2"/>
      <c r="F182" s="2"/>
    </row>
    <row r="183">
      <c r="A183" s="1"/>
      <c r="B183" s="2"/>
      <c r="C183" s="2"/>
      <c r="D183" s="2"/>
      <c r="E183" s="2"/>
      <c r="F183" s="2"/>
    </row>
    <row r="184">
      <c r="A184" s="1"/>
      <c r="B184" s="2"/>
      <c r="C184" s="2"/>
      <c r="D184" s="2"/>
      <c r="E184" s="2"/>
      <c r="F184" s="2"/>
    </row>
    <row r="185">
      <c r="A185" s="1"/>
      <c r="B185" s="2"/>
      <c r="C185" s="2"/>
      <c r="D185" s="2"/>
      <c r="E185" s="2"/>
      <c r="F185" s="2"/>
    </row>
    <row r="186">
      <c r="A186" s="1"/>
      <c r="B186" s="2"/>
      <c r="C186" s="2"/>
      <c r="D186" s="2"/>
      <c r="E186" s="2"/>
      <c r="F186" s="2"/>
    </row>
    <row r="187">
      <c r="A187" s="1"/>
      <c r="B187" s="2"/>
      <c r="C187" s="2"/>
      <c r="D187" s="2"/>
      <c r="E187" s="2"/>
      <c r="F187" s="2"/>
    </row>
    <row r="188">
      <c r="A188" s="1"/>
      <c r="B188" s="2"/>
      <c r="C188" s="2"/>
      <c r="D188" s="2"/>
      <c r="E188" s="2"/>
      <c r="F188" s="2"/>
    </row>
    <row r="189">
      <c r="A189" s="1"/>
      <c r="B189" s="2"/>
      <c r="C189" s="2"/>
      <c r="D189" s="2"/>
      <c r="E189" s="2"/>
      <c r="F189" s="2"/>
    </row>
    <row r="190">
      <c r="A190" s="1"/>
      <c r="B190" s="2"/>
      <c r="C190" s="2"/>
      <c r="D190" s="2"/>
      <c r="E190" s="2"/>
      <c r="F190" s="2"/>
    </row>
    <row r="191">
      <c r="A191" s="1"/>
      <c r="B191" s="2"/>
      <c r="C191" s="2"/>
      <c r="D191" s="2"/>
      <c r="E191" s="2"/>
      <c r="F191" s="2"/>
    </row>
    <row r="192">
      <c r="A192" s="1"/>
      <c r="B192" s="2"/>
      <c r="C192" s="2"/>
      <c r="D192" s="2"/>
      <c r="E192" s="2"/>
      <c r="F192" s="2"/>
    </row>
    <row r="193">
      <c r="A193" s="1"/>
      <c r="B193" s="2"/>
      <c r="C193" s="2"/>
      <c r="D193" s="2"/>
      <c r="E193" s="2"/>
      <c r="F193" s="2"/>
    </row>
    <row r="194">
      <c r="A194" s="1"/>
      <c r="B194" s="2"/>
      <c r="C194" s="2"/>
      <c r="D194" s="2"/>
      <c r="E194" s="2"/>
      <c r="F194" s="2"/>
    </row>
    <row r="195">
      <c r="A195" s="1"/>
      <c r="B195" s="2"/>
      <c r="C195" s="2"/>
      <c r="D195" s="2"/>
      <c r="E195" s="2"/>
      <c r="F195" s="2"/>
    </row>
    <row r="196">
      <c r="A196" s="1"/>
      <c r="B196" s="2"/>
      <c r="C196" s="2"/>
      <c r="D196" s="2"/>
      <c r="E196" s="2"/>
      <c r="F196" s="2"/>
    </row>
    <row r="197">
      <c r="A197" s="1"/>
      <c r="B197" s="2"/>
      <c r="C197" s="2"/>
      <c r="D197" s="2"/>
      <c r="E197" s="2"/>
      <c r="F197" s="2"/>
    </row>
    <row r="198">
      <c r="A198" s="1"/>
      <c r="B198" s="2"/>
      <c r="C198" s="2"/>
      <c r="D198" s="2"/>
      <c r="E198" s="2"/>
      <c r="F198" s="2"/>
    </row>
    <row r="199">
      <c r="A199" s="1"/>
      <c r="B199" s="2"/>
      <c r="C199" s="2"/>
      <c r="D199" s="2"/>
      <c r="E199" s="2"/>
      <c r="F199" s="2"/>
    </row>
    <row r="200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rngIncomeType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8" customWidth="1"/>
    <col min="6" max="6" width="14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2" customWidth="1"/>
    <col min="13" max="13" width="20" customWidth="1"/>
  </cols>
  <sheetData>
    <row r="1" spans="1:1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>
      <c r="A2" s="1" t="s">
        <v>375</v>
      </c>
      <c r="B2" s="2" t="s">
        <v>376</v>
      </c>
      <c r="C2" s="2" t="s">
        <v>377</v>
      </c>
      <c r="D2" s="2" t="s">
        <v>181</v>
      </c>
      <c r="E2" s="2" t="s">
        <v>363</v>
      </c>
      <c r="F2" s="4">
        <v>45672</v>
      </c>
      <c r="G2" s="2">
        <v>100000</v>
      </c>
      <c r="H2" s="2">
        <v>112000</v>
      </c>
      <c r="I2" s="1">
        <f>tblAssets[[#This Row],[Current Value]]-tblAssets[[#This Row],[Purchase Value]]</f>
      </c>
      <c r="J2" s="1">
        <f>IFERROR(tblAssets[[#This Row],[Appreciation Amount]]/tblAssets[[#This Row],[Purchase Value]],0)</f>
      </c>
      <c r="K2" s="2" t="s">
        <v>119</v>
      </c>
      <c r="L2" s="2" t="s">
        <v>111</v>
      </c>
      <c r="M2" s="2"/>
    </row>
    <row r="3">
      <c r="A3" s="1" t="s">
        <v>378</v>
      </c>
      <c r="B3" s="2" t="s">
        <v>379</v>
      </c>
      <c r="C3" s="2" t="s">
        <v>377</v>
      </c>
      <c r="D3" s="2" t="s">
        <v>187</v>
      </c>
      <c r="E3" s="2" t="s">
        <v>363</v>
      </c>
      <c r="F3" s="4">
        <v>43983</v>
      </c>
      <c r="G3" s="2">
        <v>50000</v>
      </c>
      <c r="H3" s="2">
        <v>50000</v>
      </c>
      <c r="I3" s="1">
        <f>tblAssets[[#This Row],[Current Value]]-tblAssets[[#This Row],[Purchase Value]]</f>
      </c>
      <c r="J3" s="1">
        <f>IFERROR(tblAssets[[#This Row],[Appreciation Amount]]/tblAssets[[#This Row],[Purchase Value]],0)</f>
      </c>
      <c r="K3" s="2" t="s">
        <v>119</v>
      </c>
      <c r="L3" s="2" t="s">
        <v>115</v>
      </c>
      <c r="M3" s="2"/>
    </row>
    <row r="4">
      <c r="A4" s="1"/>
      <c r="B4" s="2"/>
      <c r="C4" s="2"/>
      <c r="D4" s="2"/>
      <c r="E4" s="2"/>
      <c r="F4" s="4"/>
      <c r="G4" s="2"/>
      <c r="H4" s="2"/>
      <c r="I4" s="1">
        <f>tblAssets[[#This Row],[Current Value]]-tblAssets[[#This Row],[Purchase Value]]</f>
      </c>
      <c r="J4" s="1">
        <f>IFERROR(tblAssets[[#This Row],[Appreciation Amount]]/tblAssets[[#This Row],[Purchase Value]],0)</f>
      </c>
      <c r="K4" s="2"/>
      <c r="L4" s="2"/>
      <c r="M4" s="2"/>
    </row>
    <row r="5">
      <c r="A5" s="1"/>
      <c r="B5" s="2"/>
      <c r="C5" s="2"/>
      <c r="D5" s="2"/>
      <c r="E5" s="2"/>
      <c r="F5" s="4"/>
      <c r="G5" s="2"/>
      <c r="H5" s="2"/>
      <c r="I5" s="1">
        <f>tblAssets[[#This Row],[Current Value]]-tblAssets[[#This Row],[Purchase Value]]</f>
      </c>
      <c r="J5" s="1">
        <f>IFERROR(tblAssets[[#This Row],[Appreciation Amount]]/tblAssets[[#This Row],[Purchase Value]],0)</f>
      </c>
      <c r="K5" s="2"/>
      <c r="L5" s="2"/>
      <c r="M5" s="2"/>
    </row>
    <row r="6">
      <c r="A6" s="1"/>
      <c r="B6" s="2"/>
      <c r="C6" s="2"/>
      <c r="D6" s="2"/>
      <c r="E6" s="2"/>
      <c r="F6" s="4"/>
      <c r="G6" s="2"/>
      <c r="H6" s="2"/>
      <c r="I6" s="1">
        <f>tblAssets[[#This Row],[Current Value]]-tblAssets[[#This Row],[Purchase Value]]</f>
      </c>
      <c r="J6" s="1">
        <f>IFERROR(tblAssets[[#This Row],[Appreciation Amount]]/tblAssets[[#This Row],[Purchase Value]],0)</f>
      </c>
      <c r="K6" s="2"/>
      <c r="L6" s="2"/>
      <c r="M6" s="2"/>
    </row>
    <row r="7">
      <c r="A7" s="1"/>
      <c r="B7" s="2"/>
      <c r="C7" s="2"/>
      <c r="D7" s="2"/>
      <c r="E7" s="2"/>
      <c r="F7" s="4"/>
      <c r="G7" s="2"/>
      <c r="H7" s="2"/>
      <c r="I7" s="1">
        <f>tblAssets[[#This Row],[Current Value]]-tblAssets[[#This Row],[Purchase Value]]</f>
      </c>
      <c r="J7" s="1">
        <f>IFERROR(tblAssets[[#This Row],[Appreciation Amount]]/tblAssets[[#This Row],[Purchase Value]],0)</f>
      </c>
      <c r="K7" s="2"/>
      <c r="L7" s="2"/>
      <c r="M7" s="2"/>
    </row>
    <row r="8">
      <c r="A8" s="1"/>
      <c r="B8" s="2"/>
      <c r="C8" s="2"/>
      <c r="D8" s="2"/>
      <c r="E8" s="2"/>
      <c r="F8" s="4"/>
      <c r="G8" s="2"/>
      <c r="H8" s="2"/>
      <c r="I8" s="1">
        <f>tblAssets[[#This Row],[Current Value]]-tblAssets[[#This Row],[Purchase Value]]</f>
      </c>
      <c r="J8" s="1">
        <f>IFERROR(tblAssets[[#This Row],[Appreciation Amount]]/tblAssets[[#This Row],[Purchase Value]],0)</f>
      </c>
      <c r="K8" s="2"/>
      <c r="L8" s="2"/>
      <c r="M8" s="2"/>
    </row>
    <row r="9">
      <c r="A9" s="1"/>
      <c r="B9" s="2"/>
      <c r="C9" s="2"/>
      <c r="D9" s="2"/>
      <c r="E9" s="2"/>
      <c r="F9" s="4"/>
      <c r="G9" s="2"/>
      <c r="H9" s="2"/>
      <c r="I9" s="1">
        <f>tblAssets[[#This Row],[Current Value]]-tblAssets[[#This Row],[Purchase Value]]</f>
      </c>
      <c r="J9" s="1">
        <f>IFERROR(tblAssets[[#This Row],[Appreciation Amount]]/tblAssets[[#This Row],[Purchase Value]],0)</f>
      </c>
      <c r="K9" s="2"/>
      <c r="L9" s="2"/>
      <c r="M9" s="2"/>
    </row>
    <row r="10">
      <c r="A10" s="1"/>
      <c r="B10" s="2"/>
      <c r="C10" s="2"/>
      <c r="D10" s="2"/>
      <c r="E10" s="2"/>
      <c r="F10" s="4"/>
      <c r="G10" s="2"/>
      <c r="H10" s="2"/>
      <c r="I10" s="1">
        <f>tblAssets[[#This Row],[Current Value]]-tblAssets[[#This Row],[Purchase Value]]</f>
      </c>
      <c r="J10" s="1">
        <f>IFERROR(tblAssets[[#This Row],[Appreciation Amount]]/tblAssets[[#This Row],[Purchase Value]],0)</f>
      </c>
      <c r="K10" s="2"/>
      <c r="L10" s="2"/>
      <c r="M10" s="2"/>
    </row>
    <row r="11">
      <c r="A11" s="1"/>
      <c r="B11" s="2"/>
      <c r="C11" s="2"/>
      <c r="D11" s="2"/>
      <c r="E11" s="2"/>
      <c r="F11" s="4"/>
      <c r="G11" s="2"/>
      <c r="H11" s="2"/>
      <c r="I11" s="1">
        <f>tblAssets[[#This Row],[Current Value]]-tblAssets[[#This Row],[Purchase Value]]</f>
      </c>
      <c r="J11" s="1">
        <f>IFERROR(tblAssets[[#This Row],[Appreciation Amount]]/tblAssets[[#This Row],[Purchase Value]],0)</f>
      </c>
      <c r="K11" s="2"/>
      <c r="L11" s="2"/>
      <c r="M11" s="2"/>
    </row>
    <row r="12">
      <c r="A12" s="1"/>
      <c r="B12" s="2"/>
      <c r="C12" s="2"/>
      <c r="D12" s="2"/>
      <c r="E12" s="2"/>
      <c r="F12" s="4"/>
      <c r="G12" s="2"/>
      <c r="H12" s="2"/>
      <c r="I12" s="1">
        <f>tblAssets[[#This Row],[Current Value]]-tblAssets[[#This Row],[Purchase Value]]</f>
      </c>
      <c r="J12" s="1">
        <f>IFERROR(tblAssets[[#This Row],[Appreciation Amount]]/tblAssets[[#This Row],[Purchase Value]],0)</f>
      </c>
      <c r="K12" s="2"/>
      <c r="L12" s="2"/>
      <c r="M12" s="2"/>
    </row>
    <row r="13">
      <c r="A13" s="1"/>
      <c r="B13" s="2"/>
      <c r="C13" s="2"/>
      <c r="D13" s="2"/>
      <c r="E13" s="2"/>
      <c r="F13" s="4"/>
      <c r="G13" s="2"/>
      <c r="H13" s="2"/>
      <c r="I13" s="1">
        <f>tblAssets[[#This Row],[Current Value]]-tblAssets[[#This Row],[Purchase Value]]</f>
      </c>
      <c r="J13" s="1">
        <f>IFERROR(tblAssets[[#This Row],[Appreciation Amount]]/tblAssets[[#This Row],[Purchase Value]],0)</f>
      </c>
      <c r="K13" s="2"/>
      <c r="L13" s="2"/>
      <c r="M13" s="2"/>
    </row>
    <row r="14">
      <c r="A14" s="1"/>
      <c r="B14" s="2"/>
      <c r="C14" s="2"/>
      <c r="D14" s="2"/>
      <c r="E14" s="2"/>
      <c r="F14" s="4"/>
      <c r="G14" s="2"/>
      <c r="H14" s="2"/>
      <c r="I14" s="1">
        <f>tblAssets[[#This Row],[Current Value]]-tblAssets[[#This Row],[Purchase Value]]</f>
      </c>
      <c r="J14" s="1">
        <f>IFERROR(tblAssets[[#This Row],[Appreciation Amount]]/tblAssets[[#This Row],[Purchase Value]],0)</f>
      </c>
      <c r="K14" s="2"/>
      <c r="L14" s="2"/>
      <c r="M14" s="2"/>
    </row>
    <row r="15">
      <c r="A15" s="1"/>
      <c r="B15" s="2"/>
      <c r="C15" s="2"/>
      <c r="D15" s="2"/>
      <c r="E15" s="2"/>
      <c r="F15" s="4"/>
      <c r="G15" s="2"/>
      <c r="H15" s="2"/>
      <c r="I15" s="1">
        <f>tblAssets[[#This Row],[Current Value]]-tblAssets[[#This Row],[Purchase Value]]</f>
      </c>
      <c r="J15" s="1">
        <f>IFERROR(tblAssets[[#This Row],[Appreciation Amount]]/tblAssets[[#This Row],[Purchase Value]],0)</f>
      </c>
      <c r="K15" s="2"/>
      <c r="L15" s="2"/>
      <c r="M15" s="2"/>
    </row>
    <row r="16">
      <c r="A16" s="1"/>
      <c r="B16" s="2"/>
      <c r="C16" s="2"/>
      <c r="D16" s="2"/>
      <c r="E16" s="2"/>
      <c r="F16" s="4"/>
      <c r="G16" s="2"/>
      <c r="H16" s="2"/>
      <c r="I16" s="1">
        <f>tblAssets[[#This Row],[Current Value]]-tblAssets[[#This Row],[Purchase Value]]</f>
      </c>
      <c r="J16" s="1">
        <f>IFERROR(tblAssets[[#This Row],[Appreciation Amount]]/tblAssets[[#This Row],[Purchase Value]],0)</f>
      </c>
      <c r="K16" s="2"/>
      <c r="L16" s="2"/>
      <c r="M16" s="2"/>
    </row>
    <row r="17">
      <c r="A17" s="1"/>
      <c r="B17" s="2"/>
      <c r="C17" s="2"/>
      <c r="D17" s="2"/>
      <c r="E17" s="2"/>
      <c r="F17" s="4"/>
      <c r="G17" s="2"/>
      <c r="H17" s="2"/>
      <c r="I17" s="1">
        <f>tblAssets[[#This Row],[Current Value]]-tblAssets[[#This Row],[Purchase Value]]</f>
      </c>
      <c r="J17" s="1">
        <f>IFERROR(tblAssets[[#This Row],[Appreciation Amount]]/tblAssets[[#This Row],[Purchase Value]],0)</f>
      </c>
      <c r="K17" s="2"/>
      <c r="L17" s="2"/>
      <c r="M17" s="2"/>
    </row>
    <row r="18">
      <c r="A18" s="1"/>
      <c r="B18" s="2"/>
      <c r="C18" s="2"/>
      <c r="D18" s="2"/>
      <c r="E18" s="2"/>
      <c r="F18" s="4"/>
      <c r="G18" s="2"/>
      <c r="H18" s="2"/>
      <c r="I18" s="1">
        <f>tblAssets[[#This Row],[Current Value]]-tblAssets[[#This Row],[Purchase Value]]</f>
      </c>
      <c r="J18" s="1">
        <f>IFERROR(tblAssets[[#This Row],[Appreciation Amount]]/tblAssets[[#This Row],[Purchase Value]],0)</f>
      </c>
      <c r="K18" s="2"/>
      <c r="L18" s="2"/>
      <c r="M18" s="2"/>
    </row>
    <row r="19">
      <c r="A19" s="1"/>
      <c r="B19" s="2"/>
      <c r="C19" s="2"/>
      <c r="D19" s="2"/>
      <c r="E19" s="2"/>
      <c r="F19" s="4"/>
      <c r="G19" s="2"/>
      <c r="H19" s="2"/>
      <c r="I19" s="1">
        <f>tblAssets[[#This Row],[Current Value]]-tblAssets[[#This Row],[Purchase Value]]</f>
      </c>
      <c r="J19" s="1">
        <f>IFERROR(tblAssets[[#This Row],[Appreciation Amount]]/tblAssets[[#This Row],[Purchase Value]],0)</f>
      </c>
      <c r="K19" s="2"/>
      <c r="L19" s="2"/>
      <c r="M19" s="2"/>
    </row>
    <row r="20">
      <c r="A20" s="1"/>
      <c r="B20" s="2"/>
      <c r="C20" s="2"/>
      <c r="D20" s="2"/>
      <c r="E20" s="2"/>
      <c r="F20" s="4"/>
      <c r="G20" s="2"/>
      <c r="H20" s="2"/>
      <c r="I20" s="1">
        <f>tblAssets[[#This Row],[Current Value]]-tblAssets[[#This Row],[Purchase Value]]</f>
      </c>
      <c r="J20" s="1">
        <f>IFERROR(tblAssets[[#This Row],[Appreciation Amount]]/tblAssets[[#This Row],[Purchase Value]],0)</f>
      </c>
      <c r="K20" s="2"/>
      <c r="L20" s="2"/>
      <c r="M20" s="2"/>
    </row>
    <row r="21">
      <c r="A21" s="1"/>
      <c r="B21" s="2"/>
      <c r="C21" s="2"/>
      <c r="D21" s="2"/>
      <c r="E21" s="2"/>
      <c r="F21" s="4"/>
      <c r="G21" s="2"/>
      <c r="H21" s="2"/>
      <c r="I21" s="1">
        <f>tblAssets[[#This Row],[Current Value]]-tblAssets[[#This Row],[Purchase Value]]</f>
      </c>
      <c r="J21" s="1">
        <f>IFERROR(tblAssets[[#This Row],[Appreciation Amount]]/tblAssets[[#This Row],[Purchase Value]],0)</f>
      </c>
      <c r="K21" s="2"/>
      <c r="L21" s="2"/>
      <c r="M21" s="2"/>
    </row>
    <row r="22">
      <c r="A22" s="1"/>
      <c r="B22" s="2"/>
      <c r="C22" s="2"/>
      <c r="D22" s="2"/>
      <c r="E22" s="2"/>
      <c r="F22" s="4"/>
      <c r="G22" s="2"/>
      <c r="H22" s="2"/>
      <c r="I22" s="1">
        <f>tblAssets[[#This Row],[Current Value]]-tblAssets[[#This Row],[Purchase Value]]</f>
      </c>
      <c r="J22" s="1">
        <f>IFERROR(tblAssets[[#This Row],[Appreciation Amount]]/tblAssets[[#This Row],[Purchase Value]],0)</f>
      </c>
      <c r="K22" s="2"/>
      <c r="L22" s="2"/>
      <c r="M22" s="2"/>
    </row>
    <row r="23">
      <c r="A23" s="1"/>
      <c r="B23" s="2"/>
      <c r="C23" s="2"/>
      <c r="D23" s="2"/>
      <c r="E23" s="2"/>
      <c r="F23" s="4"/>
      <c r="G23" s="2"/>
      <c r="H23" s="2"/>
      <c r="I23" s="1">
        <f>tblAssets[[#This Row],[Current Value]]-tblAssets[[#This Row],[Purchase Value]]</f>
      </c>
      <c r="J23" s="1">
        <f>IFERROR(tblAssets[[#This Row],[Appreciation Amount]]/tblAssets[[#This Row],[Purchase Value]],0)</f>
      </c>
      <c r="K23" s="2"/>
      <c r="L23" s="2"/>
      <c r="M23" s="2"/>
    </row>
    <row r="24">
      <c r="A24" s="1"/>
      <c r="B24" s="2"/>
      <c r="C24" s="2"/>
      <c r="D24" s="2"/>
      <c r="E24" s="2"/>
      <c r="F24" s="4"/>
      <c r="G24" s="2"/>
      <c r="H24" s="2"/>
      <c r="I24" s="1">
        <f>tblAssets[[#This Row],[Current Value]]-tblAssets[[#This Row],[Purchase Value]]</f>
      </c>
      <c r="J24" s="1">
        <f>IFERROR(tblAssets[[#This Row],[Appreciation Amount]]/tblAssets[[#This Row],[Purchase Value]],0)</f>
      </c>
      <c r="K24" s="2"/>
      <c r="L24" s="2"/>
      <c r="M24" s="2"/>
    </row>
    <row r="25">
      <c r="A25" s="1"/>
      <c r="B25" s="2"/>
      <c r="C25" s="2"/>
      <c r="D25" s="2"/>
      <c r="E25" s="2"/>
      <c r="F25" s="4"/>
      <c r="G25" s="2"/>
      <c r="H25" s="2"/>
      <c r="I25" s="1">
        <f>tblAssets[[#This Row],[Current Value]]-tblAssets[[#This Row],[Purchase Value]]</f>
      </c>
      <c r="J25" s="1">
        <f>IFERROR(tblAssets[[#This Row],[Appreciation Amount]]/tblAssets[[#This Row],[Purchase Value]],0)</f>
      </c>
      <c r="K25" s="2"/>
      <c r="L25" s="2"/>
      <c r="M25" s="2"/>
    </row>
    <row r="26">
      <c r="A26" s="1"/>
      <c r="B26" s="2"/>
      <c r="C26" s="2"/>
      <c r="D26" s="2"/>
      <c r="E26" s="2"/>
      <c r="F26" s="4"/>
      <c r="G26" s="2"/>
      <c r="H26" s="2"/>
      <c r="I26" s="1">
        <f>tblAssets[[#This Row],[Current Value]]-tblAssets[[#This Row],[Purchase Value]]</f>
      </c>
      <c r="J26" s="1">
        <f>IFERROR(tblAssets[[#This Row],[Appreciation Amount]]/tblAssets[[#This Row],[Purchase Value]],0)</f>
      </c>
      <c r="K26" s="2"/>
      <c r="L26" s="2"/>
      <c r="M26" s="2"/>
    </row>
    <row r="27">
      <c r="A27" s="1"/>
      <c r="B27" s="2"/>
      <c r="C27" s="2"/>
      <c r="D27" s="2"/>
      <c r="E27" s="2"/>
      <c r="F27" s="4"/>
      <c r="G27" s="2"/>
      <c r="H27" s="2"/>
      <c r="I27" s="1">
        <f>tblAssets[[#This Row],[Current Value]]-tblAssets[[#This Row],[Purchase Value]]</f>
      </c>
      <c r="J27" s="1">
        <f>IFERROR(tblAssets[[#This Row],[Appreciation Amount]]/tblAssets[[#This Row],[Purchase Value]],0)</f>
      </c>
      <c r="K27" s="2"/>
      <c r="L27" s="2"/>
      <c r="M27" s="2"/>
    </row>
    <row r="28">
      <c r="A28" s="1"/>
      <c r="B28" s="2"/>
      <c r="C28" s="2"/>
      <c r="D28" s="2"/>
      <c r="E28" s="2"/>
      <c r="F28" s="4"/>
      <c r="G28" s="2"/>
      <c r="H28" s="2"/>
      <c r="I28" s="1">
        <f>tblAssets[[#This Row],[Current Value]]-tblAssets[[#This Row],[Purchase Value]]</f>
      </c>
      <c r="J28" s="1">
        <f>IFERROR(tblAssets[[#This Row],[Appreciation Amount]]/tblAssets[[#This Row],[Purchase Value]],0)</f>
      </c>
      <c r="K28" s="2"/>
      <c r="L28" s="2"/>
      <c r="M28" s="2"/>
    </row>
    <row r="29">
      <c r="A29" s="1"/>
      <c r="B29" s="2"/>
      <c r="C29" s="2"/>
      <c r="D29" s="2"/>
      <c r="E29" s="2"/>
      <c r="F29" s="4"/>
      <c r="G29" s="2"/>
      <c r="H29" s="2"/>
      <c r="I29" s="1">
        <f>tblAssets[[#This Row],[Current Value]]-tblAssets[[#This Row],[Purchase Value]]</f>
      </c>
      <c r="J29" s="1">
        <f>IFERROR(tblAssets[[#This Row],[Appreciation Amount]]/tblAssets[[#This Row],[Purchase Value]],0)</f>
      </c>
      <c r="K29" s="2"/>
      <c r="L29" s="2"/>
      <c r="M29" s="2"/>
    </row>
    <row r="30">
      <c r="A30" s="1"/>
      <c r="B30" s="2"/>
      <c r="C30" s="2"/>
      <c r="D30" s="2"/>
      <c r="E30" s="2"/>
      <c r="F30" s="4"/>
      <c r="G30" s="2"/>
      <c r="H30" s="2"/>
      <c r="I30" s="1">
        <f>tblAssets[[#This Row],[Current Value]]-tblAssets[[#This Row],[Purchase Value]]</f>
      </c>
      <c r="J30" s="1">
        <f>IFERROR(tblAssets[[#This Row],[Appreciation Amount]]/tblAssets[[#This Row],[Purchase Value]],0)</f>
      </c>
      <c r="K30" s="2"/>
      <c r="L30" s="2"/>
      <c r="M30" s="2"/>
    </row>
    <row r="31">
      <c r="A31" s="1"/>
      <c r="B31" s="2"/>
      <c r="C31" s="2"/>
      <c r="D31" s="2"/>
      <c r="E31" s="2"/>
      <c r="F31" s="4"/>
      <c r="G31" s="2"/>
      <c r="H31" s="2"/>
      <c r="I31" s="1">
        <f>tblAssets[[#This Row],[Current Value]]-tblAssets[[#This Row],[Purchase Value]]</f>
      </c>
      <c r="J31" s="1">
        <f>IFERROR(tblAssets[[#This Row],[Appreciation Amount]]/tblAssets[[#This Row],[Purchase Value]],0)</f>
      </c>
      <c r="K31" s="2"/>
      <c r="L31" s="2"/>
      <c r="M31" s="2"/>
    </row>
    <row r="32">
      <c r="A32" s="1"/>
      <c r="B32" s="2"/>
      <c r="C32" s="2"/>
      <c r="D32" s="2"/>
      <c r="E32" s="2"/>
      <c r="F32" s="4"/>
      <c r="G32" s="2"/>
      <c r="H32" s="2"/>
      <c r="I32" s="1">
        <f>tblAssets[[#This Row],[Current Value]]-tblAssets[[#This Row],[Purchase Value]]</f>
      </c>
      <c r="J32" s="1">
        <f>IFERROR(tblAssets[[#This Row],[Appreciation Amount]]/tblAssets[[#This Row],[Purchase Value]],0)</f>
      </c>
      <c r="K32" s="2"/>
      <c r="L32" s="2"/>
      <c r="M32" s="2"/>
    </row>
    <row r="33">
      <c r="A33" s="1"/>
      <c r="B33" s="2"/>
      <c r="C33" s="2"/>
      <c r="D33" s="2"/>
      <c r="E33" s="2"/>
      <c r="F33" s="4"/>
      <c r="G33" s="2"/>
      <c r="H33" s="2"/>
      <c r="I33" s="1">
        <f>tblAssets[[#This Row],[Current Value]]-tblAssets[[#This Row],[Purchase Value]]</f>
      </c>
      <c r="J33" s="1">
        <f>IFERROR(tblAssets[[#This Row],[Appreciation Amount]]/tblAssets[[#This Row],[Purchase Value]],0)</f>
      </c>
      <c r="K33" s="2"/>
      <c r="L33" s="2"/>
      <c r="M33" s="2"/>
    </row>
    <row r="34">
      <c r="A34" s="1"/>
      <c r="B34" s="2"/>
      <c r="C34" s="2"/>
      <c r="D34" s="2"/>
      <c r="E34" s="2"/>
      <c r="F34" s="4"/>
      <c r="G34" s="2"/>
      <c r="H34" s="2"/>
      <c r="I34" s="1">
        <f>tblAssets[[#This Row],[Current Value]]-tblAssets[[#This Row],[Purchase Value]]</f>
      </c>
      <c r="J34" s="1">
        <f>IFERROR(tblAssets[[#This Row],[Appreciation Amount]]/tblAssets[[#This Row],[Purchase Value]],0)</f>
      </c>
      <c r="K34" s="2"/>
      <c r="L34" s="2"/>
      <c r="M34" s="2"/>
    </row>
    <row r="35">
      <c r="A35" s="1"/>
      <c r="B35" s="2"/>
      <c r="C35" s="2"/>
      <c r="D35" s="2"/>
      <c r="E35" s="2"/>
      <c r="F35" s="4"/>
      <c r="G35" s="2"/>
      <c r="H35" s="2"/>
      <c r="I35" s="1">
        <f>tblAssets[[#This Row],[Current Value]]-tblAssets[[#This Row],[Purchase Value]]</f>
      </c>
      <c r="J35" s="1">
        <f>IFERROR(tblAssets[[#This Row],[Appreciation Amount]]/tblAssets[[#This Row],[Purchase Value]],0)</f>
      </c>
      <c r="K35" s="2"/>
      <c r="L35" s="2"/>
      <c r="M35" s="2"/>
    </row>
    <row r="36">
      <c r="A36" s="1"/>
      <c r="B36" s="2"/>
      <c r="C36" s="2"/>
      <c r="D36" s="2"/>
      <c r="E36" s="2"/>
      <c r="F36" s="4"/>
      <c r="G36" s="2"/>
      <c r="H36" s="2"/>
      <c r="I36" s="1">
        <f>tblAssets[[#This Row],[Current Value]]-tblAssets[[#This Row],[Purchase Value]]</f>
      </c>
      <c r="J36" s="1">
        <f>IFERROR(tblAssets[[#This Row],[Appreciation Amount]]/tblAssets[[#This Row],[Purchase Value]],0)</f>
      </c>
      <c r="K36" s="2"/>
      <c r="L36" s="2"/>
      <c r="M36" s="2"/>
    </row>
    <row r="37">
      <c r="A37" s="1"/>
      <c r="B37" s="2"/>
      <c r="C37" s="2"/>
      <c r="D37" s="2"/>
      <c r="E37" s="2"/>
      <c r="F37" s="4"/>
      <c r="G37" s="2"/>
      <c r="H37" s="2"/>
      <c r="I37" s="1">
        <f>tblAssets[[#This Row],[Current Value]]-tblAssets[[#This Row],[Purchase Value]]</f>
      </c>
      <c r="J37" s="1">
        <f>IFERROR(tblAssets[[#This Row],[Appreciation Amount]]/tblAssets[[#This Row],[Purchase Value]],0)</f>
      </c>
      <c r="K37" s="2"/>
      <c r="L37" s="2"/>
      <c r="M37" s="2"/>
    </row>
    <row r="38">
      <c r="A38" s="1"/>
      <c r="B38" s="2"/>
      <c r="C38" s="2"/>
      <c r="D38" s="2"/>
      <c r="E38" s="2"/>
      <c r="F38" s="4"/>
      <c r="G38" s="2"/>
      <c r="H38" s="2"/>
      <c r="I38" s="1">
        <f>tblAssets[[#This Row],[Current Value]]-tblAssets[[#This Row],[Purchase Value]]</f>
      </c>
      <c r="J38" s="1">
        <f>IFERROR(tblAssets[[#This Row],[Appreciation Amount]]/tblAssets[[#This Row],[Purchase Value]],0)</f>
      </c>
      <c r="K38" s="2"/>
      <c r="L38" s="2"/>
      <c r="M38" s="2"/>
    </row>
    <row r="39">
      <c r="A39" s="1"/>
      <c r="B39" s="2"/>
      <c r="C39" s="2"/>
      <c r="D39" s="2"/>
      <c r="E39" s="2"/>
      <c r="F39" s="4"/>
      <c r="G39" s="2"/>
      <c r="H39" s="2"/>
      <c r="I39" s="1">
        <f>tblAssets[[#This Row],[Current Value]]-tblAssets[[#This Row],[Purchase Value]]</f>
      </c>
      <c r="J39" s="1">
        <f>IFERROR(tblAssets[[#This Row],[Appreciation Amount]]/tblAssets[[#This Row],[Purchase Value]],0)</f>
      </c>
      <c r="K39" s="2"/>
      <c r="L39" s="2"/>
      <c r="M39" s="2"/>
    </row>
    <row r="40">
      <c r="A40" s="1"/>
      <c r="B40" s="2"/>
      <c r="C40" s="2"/>
      <c r="D40" s="2"/>
      <c r="E40" s="2"/>
      <c r="F40" s="4"/>
      <c r="G40" s="2"/>
      <c r="H40" s="2"/>
      <c r="I40" s="1">
        <f>tblAssets[[#This Row],[Current Value]]-tblAssets[[#This Row],[Purchase Value]]</f>
      </c>
      <c r="J40" s="1">
        <f>IFERROR(tblAssets[[#This Row],[Appreciation Amount]]/tblAssets[[#This Row],[Purchase Value]],0)</f>
      </c>
      <c r="K40" s="2"/>
      <c r="L40" s="2"/>
      <c r="M40" s="2"/>
    </row>
    <row r="41">
      <c r="A41" s="1"/>
      <c r="B41" s="2"/>
      <c r="C41" s="2"/>
      <c r="D41" s="2"/>
      <c r="E41" s="2"/>
      <c r="F41" s="4"/>
      <c r="G41" s="2"/>
      <c r="H41" s="2"/>
      <c r="I41" s="1">
        <f>tblAssets[[#This Row],[Current Value]]-tblAssets[[#This Row],[Purchase Value]]</f>
      </c>
      <c r="J41" s="1">
        <f>IFERROR(tblAssets[[#This Row],[Appreciation Amount]]/tblAssets[[#This Row],[Purchase Value]],0)</f>
      </c>
      <c r="K41" s="2"/>
      <c r="L41" s="2"/>
      <c r="M41" s="2"/>
    </row>
    <row r="42">
      <c r="A42" s="1"/>
      <c r="B42" s="2"/>
      <c r="C42" s="2"/>
      <c r="D42" s="2"/>
      <c r="E42" s="2"/>
      <c r="F42" s="4"/>
      <c r="G42" s="2"/>
      <c r="H42" s="2"/>
      <c r="I42" s="1">
        <f>tblAssets[[#This Row],[Current Value]]-tblAssets[[#This Row],[Purchase Value]]</f>
      </c>
      <c r="J42" s="1">
        <f>IFERROR(tblAssets[[#This Row],[Appreciation Amount]]/tblAssets[[#This Row],[Purchase Value]],0)</f>
      </c>
      <c r="K42" s="2"/>
      <c r="L42" s="2"/>
      <c r="M42" s="2"/>
    </row>
    <row r="43">
      <c r="A43" s="1"/>
      <c r="B43" s="2"/>
      <c r="C43" s="2"/>
      <c r="D43" s="2"/>
      <c r="E43" s="2"/>
      <c r="F43" s="4"/>
      <c r="G43" s="2"/>
      <c r="H43" s="2"/>
      <c r="I43" s="1">
        <f>tblAssets[[#This Row],[Current Value]]-tblAssets[[#This Row],[Purchase Value]]</f>
      </c>
      <c r="J43" s="1">
        <f>IFERROR(tblAssets[[#This Row],[Appreciation Amount]]/tblAssets[[#This Row],[Purchase Value]],0)</f>
      </c>
      <c r="K43" s="2"/>
      <c r="L43" s="2"/>
      <c r="M43" s="2"/>
    </row>
    <row r="44">
      <c r="A44" s="1"/>
      <c r="B44" s="2"/>
      <c r="C44" s="2"/>
      <c r="D44" s="2"/>
      <c r="E44" s="2"/>
      <c r="F44" s="4"/>
      <c r="G44" s="2"/>
      <c r="H44" s="2"/>
      <c r="I44" s="1">
        <f>tblAssets[[#This Row],[Current Value]]-tblAssets[[#This Row],[Purchase Value]]</f>
      </c>
      <c r="J44" s="1">
        <f>IFERROR(tblAssets[[#This Row],[Appreciation Amount]]/tblAssets[[#This Row],[Purchase Value]],0)</f>
      </c>
      <c r="K44" s="2"/>
      <c r="L44" s="2"/>
      <c r="M44" s="2"/>
    </row>
    <row r="45">
      <c r="A45" s="1"/>
      <c r="B45" s="2"/>
      <c r="C45" s="2"/>
      <c r="D45" s="2"/>
      <c r="E45" s="2"/>
      <c r="F45" s="4"/>
      <c r="G45" s="2"/>
      <c r="H45" s="2"/>
      <c r="I45" s="1">
        <f>tblAssets[[#This Row],[Current Value]]-tblAssets[[#This Row],[Purchase Value]]</f>
      </c>
      <c r="J45" s="1">
        <f>IFERROR(tblAssets[[#This Row],[Appreciation Amount]]/tblAssets[[#This Row],[Purchase Value]],0)</f>
      </c>
      <c r="K45" s="2"/>
      <c r="L45" s="2"/>
      <c r="M45" s="2"/>
    </row>
    <row r="46">
      <c r="A46" s="1"/>
      <c r="B46" s="2"/>
      <c r="C46" s="2"/>
      <c r="D46" s="2"/>
      <c r="E46" s="2"/>
      <c r="F46" s="4"/>
      <c r="G46" s="2"/>
      <c r="H46" s="2"/>
      <c r="I46" s="1">
        <f>tblAssets[[#This Row],[Current Value]]-tblAssets[[#This Row],[Purchase Value]]</f>
      </c>
      <c r="J46" s="1">
        <f>IFERROR(tblAssets[[#This Row],[Appreciation Amount]]/tblAssets[[#This Row],[Purchase Value]],0)</f>
      </c>
      <c r="K46" s="2"/>
      <c r="L46" s="2"/>
      <c r="M46" s="2"/>
    </row>
    <row r="47">
      <c r="A47" s="1"/>
      <c r="B47" s="2"/>
      <c r="C47" s="2"/>
      <c r="D47" s="2"/>
      <c r="E47" s="2"/>
      <c r="F47" s="4"/>
      <c r="G47" s="2"/>
      <c r="H47" s="2"/>
      <c r="I47" s="1">
        <f>tblAssets[[#This Row],[Current Value]]-tblAssets[[#This Row],[Purchase Value]]</f>
      </c>
      <c r="J47" s="1">
        <f>IFERROR(tblAssets[[#This Row],[Appreciation Amount]]/tblAssets[[#This Row],[Purchase Value]],0)</f>
      </c>
      <c r="K47" s="2"/>
      <c r="L47" s="2"/>
      <c r="M47" s="2"/>
    </row>
    <row r="48">
      <c r="A48" s="1"/>
      <c r="B48" s="2"/>
      <c r="C48" s="2"/>
      <c r="D48" s="2"/>
      <c r="E48" s="2"/>
      <c r="F48" s="4"/>
      <c r="G48" s="2"/>
      <c r="H48" s="2"/>
      <c r="I48" s="1">
        <f>tblAssets[[#This Row],[Current Value]]-tblAssets[[#This Row],[Purchase Value]]</f>
      </c>
      <c r="J48" s="1">
        <f>IFERROR(tblAssets[[#This Row],[Appreciation Amount]]/tblAssets[[#This Row],[Purchase Value]],0)</f>
      </c>
      <c r="K48" s="2"/>
      <c r="L48" s="2"/>
      <c r="M48" s="2"/>
    </row>
    <row r="49">
      <c r="A49" s="1"/>
      <c r="B49" s="2"/>
      <c r="C49" s="2"/>
      <c r="D49" s="2"/>
      <c r="E49" s="2"/>
      <c r="F49" s="4"/>
      <c r="G49" s="2"/>
      <c r="H49" s="2"/>
      <c r="I49" s="1">
        <f>tblAssets[[#This Row],[Current Value]]-tblAssets[[#This Row],[Purchase Value]]</f>
      </c>
      <c r="J49" s="1">
        <f>IFERROR(tblAssets[[#This Row],[Appreciation Amount]]/tblAssets[[#This Row],[Purchase Value]],0)</f>
      </c>
      <c r="K49" s="2"/>
      <c r="L49" s="2"/>
      <c r="M49" s="2"/>
    </row>
    <row r="50">
      <c r="A50" s="1"/>
      <c r="B50" s="2"/>
      <c r="C50" s="2"/>
      <c r="D50" s="2"/>
      <c r="E50" s="2"/>
      <c r="F50" s="4"/>
      <c r="G50" s="2"/>
      <c r="H50" s="2"/>
      <c r="I50" s="1">
        <f>tblAssets[[#This Row],[Current Value]]-tblAssets[[#This Row],[Purchase Value]]</f>
      </c>
      <c r="J50" s="1">
        <f>IFERROR(tblAssets[[#This Row],[Appreciation Amount]]/tblAssets[[#This Row],[Purchase Value]],0)</f>
      </c>
      <c r="K50" s="2"/>
      <c r="L50" s="2"/>
      <c r="M50" s="2"/>
    </row>
    <row r="51">
      <c r="A51" s="1"/>
      <c r="B51" s="2"/>
      <c r="C51" s="2"/>
      <c r="D51" s="2"/>
      <c r="E51" s="2"/>
      <c r="F51" s="4"/>
      <c r="G51" s="2"/>
      <c r="H51" s="2"/>
      <c r="I51" s="1">
        <f>tblAssets[[#This Row],[Current Value]]-tblAssets[[#This Row],[Purchase Value]]</f>
      </c>
      <c r="J51" s="1">
        <f>IFERROR(tblAssets[[#This Row],[Appreciation Amount]]/tblAssets[[#This Row],[Purchase Value]],0)</f>
      </c>
      <c r="K51" s="2"/>
      <c r="L51" s="2"/>
      <c r="M51" s="2"/>
    </row>
    <row r="52">
      <c r="A52" s="1"/>
      <c r="B52" s="2"/>
      <c r="C52" s="2"/>
      <c r="D52" s="2"/>
      <c r="E52" s="2"/>
      <c r="F52" s="4"/>
      <c r="G52" s="2"/>
      <c r="H52" s="2"/>
      <c r="I52" s="1">
        <f>tblAssets[[#This Row],[Current Value]]-tblAssets[[#This Row],[Purchase Value]]</f>
      </c>
      <c r="J52" s="1">
        <f>IFERROR(tblAssets[[#This Row],[Appreciation Amount]]/tblAssets[[#This Row],[Purchase Value]],0)</f>
      </c>
      <c r="K52" s="2"/>
      <c r="L52" s="2"/>
      <c r="M52" s="2"/>
    </row>
    <row r="53">
      <c r="A53" s="1"/>
      <c r="B53" s="2"/>
      <c r="C53" s="2"/>
      <c r="D53" s="2"/>
      <c r="E53" s="2"/>
      <c r="F53" s="4"/>
      <c r="G53" s="2"/>
      <c r="H53" s="2"/>
      <c r="I53" s="1">
        <f>tblAssets[[#This Row],[Current Value]]-tblAssets[[#This Row],[Purchase Value]]</f>
      </c>
      <c r="J53" s="1">
        <f>IFERROR(tblAssets[[#This Row],[Appreciation Amount]]/tblAssets[[#This Row],[Purchase Value]],0)</f>
      </c>
      <c r="K53" s="2"/>
      <c r="L53" s="2"/>
      <c r="M53" s="2"/>
    </row>
    <row r="54">
      <c r="A54" s="1"/>
      <c r="B54" s="2"/>
      <c r="C54" s="2"/>
      <c r="D54" s="2"/>
      <c r="E54" s="2"/>
      <c r="F54" s="4"/>
      <c r="G54" s="2"/>
      <c r="H54" s="2"/>
      <c r="I54" s="1">
        <f>tblAssets[[#This Row],[Current Value]]-tblAssets[[#This Row],[Purchase Value]]</f>
      </c>
      <c r="J54" s="1">
        <f>IFERROR(tblAssets[[#This Row],[Appreciation Amount]]/tblAssets[[#This Row],[Purchase Value]],0)</f>
      </c>
      <c r="K54" s="2"/>
      <c r="L54" s="2"/>
      <c r="M54" s="2"/>
    </row>
    <row r="55">
      <c r="A55" s="1"/>
      <c r="B55" s="2"/>
      <c r="C55" s="2"/>
      <c r="D55" s="2"/>
      <c r="E55" s="2"/>
      <c r="F55" s="4"/>
      <c r="G55" s="2"/>
      <c r="H55" s="2"/>
      <c r="I55" s="1">
        <f>tblAssets[[#This Row],[Current Value]]-tblAssets[[#This Row],[Purchase Value]]</f>
      </c>
      <c r="J55" s="1">
        <f>IFERROR(tblAssets[[#This Row],[Appreciation Amount]]/tblAssets[[#This Row],[Purchase Value]],0)</f>
      </c>
      <c r="K55" s="2"/>
      <c r="L55" s="2"/>
      <c r="M55" s="2"/>
    </row>
    <row r="56">
      <c r="A56" s="1"/>
      <c r="B56" s="2"/>
      <c r="C56" s="2"/>
      <c r="D56" s="2"/>
      <c r="E56" s="2"/>
      <c r="F56" s="4"/>
      <c r="G56" s="2"/>
      <c r="H56" s="2"/>
      <c r="I56" s="1">
        <f>tblAssets[[#This Row],[Current Value]]-tblAssets[[#This Row],[Purchase Value]]</f>
      </c>
      <c r="J56" s="1">
        <f>IFERROR(tblAssets[[#This Row],[Appreciation Amount]]/tblAssets[[#This Row],[Purchase Value]],0)</f>
      </c>
      <c r="K56" s="2"/>
      <c r="L56" s="2"/>
      <c r="M56" s="2"/>
    </row>
    <row r="57">
      <c r="A57" s="1"/>
      <c r="B57" s="2"/>
      <c r="C57" s="2"/>
      <c r="D57" s="2"/>
      <c r="E57" s="2"/>
      <c r="F57" s="4"/>
      <c r="G57" s="2"/>
      <c r="H57" s="2"/>
      <c r="I57" s="1">
        <f>tblAssets[[#This Row],[Current Value]]-tblAssets[[#This Row],[Purchase Value]]</f>
      </c>
      <c r="J57" s="1">
        <f>IFERROR(tblAssets[[#This Row],[Appreciation Amount]]/tblAssets[[#This Row],[Purchase Value]],0)</f>
      </c>
      <c r="K57" s="2"/>
      <c r="L57" s="2"/>
      <c r="M57" s="2"/>
    </row>
    <row r="58">
      <c r="A58" s="1"/>
      <c r="B58" s="2"/>
      <c r="C58" s="2"/>
      <c r="D58" s="2"/>
      <c r="E58" s="2"/>
      <c r="F58" s="4"/>
      <c r="G58" s="2"/>
      <c r="H58" s="2"/>
      <c r="I58" s="1">
        <f>tblAssets[[#This Row],[Current Value]]-tblAssets[[#This Row],[Purchase Value]]</f>
      </c>
      <c r="J58" s="1">
        <f>IFERROR(tblAssets[[#This Row],[Appreciation Amount]]/tblAssets[[#This Row],[Purchase Value]],0)</f>
      </c>
      <c r="K58" s="2"/>
      <c r="L58" s="2"/>
      <c r="M58" s="2"/>
    </row>
    <row r="59">
      <c r="A59" s="1"/>
      <c r="B59" s="2"/>
      <c r="C59" s="2"/>
      <c r="D59" s="2"/>
      <c r="E59" s="2"/>
      <c r="F59" s="4"/>
      <c r="G59" s="2"/>
      <c r="H59" s="2"/>
      <c r="I59" s="1">
        <f>tblAssets[[#This Row],[Current Value]]-tblAssets[[#This Row],[Purchase Value]]</f>
      </c>
      <c r="J59" s="1">
        <f>IFERROR(tblAssets[[#This Row],[Appreciation Amount]]/tblAssets[[#This Row],[Purchase Value]],0)</f>
      </c>
      <c r="K59" s="2"/>
      <c r="L59" s="2"/>
      <c r="M59" s="2"/>
    </row>
    <row r="60">
      <c r="A60" s="1"/>
      <c r="B60" s="2"/>
      <c r="C60" s="2"/>
      <c r="D60" s="2"/>
      <c r="E60" s="2"/>
      <c r="F60" s="4"/>
      <c r="G60" s="2"/>
      <c r="H60" s="2"/>
      <c r="I60" s="1">
        <f>tblAssets[[#This Row],[Current Value]]-tblAssets[[#This Row],[Purchase Value]]</f>
      </c>
      <c r="J60" s="1">
        <f>IFERROR(tblAssets[[#This Row],[Appreciation Amount]]/tblAssets[[#This Row],[Purchase Value]],0)</f>
      </c>
      <c r="K60" s="2"/>
      <c r="L60" s="2"/>
      <c r="M60" s="2"/>
    </row>
    <row r="61">
      <c r="A61" s="1"/>
      <c r="B61" s="2"/>
      <c r="C61" s="2"/>
      <c r="D61" s="2"/>
      <c r="E61" s="2"/>
      <c r="F61" s="4"/>
      <c r="G61" s="2"/>
      <c r="H61" s="2"/>
      <c r="I61" s="1">
        <f>tblAssets[[#This Row],[Current Value]]-tblAssets[[#This Row],[Purchase Value]]</f>
      </c>
      <c r="J61" s="1">
        <f>IFERROR(tblAssets[[#This Row],[Appreciation Amount]]/tblAssets[[#This Row],[Purchase Value]],0)</f>
      </c>
      <c r="K61" s="2"/>
      <c r="L61" s="2"/>
      <c r="M61" s="2"/>
    </row>
    <row r="62">
      <c r="A62" s="1"/>
      <c r="B62" s="2"/>
      <c r="C62" s="2"/>
      <c r="D62" s="2"/>
      <c r="E62" s="2"/>
      <c r="F62" s="4"/>
      <c r="G62" s="2"/>
      <c r="H62" s="2"/>
      <c r="I62" s="1">
        <f>tblAssets[[#This Row],[Current Value]]-tblAssets[[#This Row],[Purchase Value]]</f>
      </c>
      <c r="J62" s="1">
        <f>IFERROR(tblAssets[[#This Row],[Appreciation Amount]]/tblAssets[[#This Row],[Purchase Value]],0)</f>
      </c>
      <c r="K62" s="2"/>
      <c r="L62" s="2"/>
      <c r="M62" s="2"/>
    </row>
    <row r="63">
      <c r="A63" s="1"/>
      <c r="B63" s="2"/>
      <c r="C63" s="2"/>
      <c r="D63" s="2"/>
      <c r="E63" s="2"/>
      <c r="F63" s="4"/>
      <c r="G63" s="2"/>
      <c r="H63" s="2"/>
      <c r="I63" s="1">
        <f>tblAssets[[#This Row],[Current Value]]-tblAssets[[#This Row],[Purchase Value]]</f>
      </c>
      <c r="J63" s="1">
        <f>IFERROR(tblAssets[[#This Row],[Appreciation Amount]]/tblAssets[[#This Row],[Purchase Value]],0)</f>
      </c>
      <c r="K63" s="2"/>
      <c r="L63" s="2"/>
      <c r="M63" s="2"/>
    </row>
    <row r="64">
      <c r="A64" s="1"/>
      <c r="B64" s="2"/>
      <c r="C64" s="2"/>
      <c r="D64" s="2"/>
      <c r="E64" s="2"/>
      <c r="F64" s="4"/>
      <c r="G64" s="2"/>
      <c r="H64" s="2"/>
      <c r="I64" s="1">
        <f>tblAssets[[#This Row],[Current Value]]-tblAssets[[#This Row],[Purchase Value]]</f>
      </c>
      <c r="J64" s="1">
        <f>IFERROR(tblAssets[[#This Row],[Appreciation Amount]]/tblAssets[[#This Row],[Purchase Value]],0)</f>
      </c>
      <c r="K64" s="2"/>
      <c r="L64" s="2"/>
      <c r="M64" s="2"/>
    </row>
    <row r="65">
      <c r="A65" s="1"/>
      <c r="B65" s="2"/>
      <c r="C65" s="2"/>
      <c r="D65" s="2"/>
      <c r="E65" s="2"/>
      <c r="F65" s="4"/>
      <c r="G65" s="2"/>
      <c r="H65" s="2"/>
      <c r="I65" s="1">
        <f>tblAssets[[#This Row],[Current Value]]-tblAssets[[#This Row],[Purchase Value]]</f>
      </c>
      <c r="J65" s="1">
        <f>IFERROR(tblAssets[[#This Row],[Appreciation Amount]]/tblAssets[[#This Row],[Purchase Value]],0)</f>
      </c>
      <c r="K65" s="2"/>
      <c r="L65" s="2"/>
      <c r="M65" s="2"/>
    </row>
    <row r="66">
      <c r="A66" s="1"/>
      <c r="B66" s="2"/>
      <c r="C66" s="2"/>
      <c r="D66" s="2"/>
      <c r="E66" s="2"/>
      <c r="F66" s="4"/>
      <c r="G66" s="2"/>
      <c r="H66" s="2"/>
      <c r="I66" s="1">
        <f>tblAssets[[#This Row],[Current Value]]-tblAssets[[#This Row],[Purchase Value]]</f>
      </c>
      <c r="J66" s="1">
        <f>IFERROR(tblAssets[[#This Row],[Appreciation Amount]]/tblAssets[[#This Row],[Purchase Value]],0)</f>
      </c>
      <c r="K66" s="2"/>
      <c r="L66" s="2"/>
      <c r="M66" s="2"/>
    </row>
    <row r="67">
      <c r="A67" s="1"/>
      <c r="B67" s="2"/>
      <c r="C67" s="2"/>
      <c r="D67" s="2"/>
      <c r="E67" s="2"/>
      <c r="F67" s="4"/>
      <c r="G67" s="2"/>
      <c r="H67" s="2"/>
      <c r="I67" s="1">
        <f>tblAssets[[#This Row],[Current Value]]-tblAssets[[#This Row],[Purchase Value]]</f>
      </c>
      <c r="J67" s="1">
        <f>IFERROR(tblAssets[[#This Row],[Appreciation Amount]]/tblAssets[[#This Row],[Purchase Value]],0)</f>
      </c>
      <c r="K67" s="2"/>
      <c r="L67" s="2"/>
      <c r="M67" s="2"/>
    </row>
    <row r="68">
      <c r="A68" s="1"/>
      <c r="B68" s="2"/>
      <c r="C68" s="2"/>
      <c r="D68" s="2"/>
      <c r="E68" s="2"/>
      <c r="F68" s="4"/>
      <c r="G68" s="2"/>
      <c r="H68" s="2"/>
      <c r="I68" s="1">
        <f>tblAssets[[#This Row],[Current Value]]-tblAssets[[#This Row],[Purchase Value]]</f>
      </c>
      <c r="J68" s="1">
        <f>IFERROR(tblAssets[[#This Row],[Appreciation Amount]]/tblAssets[[#This Row],[Purchase Value]],0)</f>
      </c>
      <c r="K68" s="2"/>
      <c r="L68" s="2"/>
      <c r="M68" s="2"/>
    </row>
    <row r="69">
      <c r="A69" s="1"/>
      <c r="B69" s="2"/>
      <c r="C69" s="2"/>
      <c r="D69" s="2"/>
      <c r="E69" s="2"/>
      <c r="F69" s="4"/>
      <c r="G69" s="2"/>
      <c r="H69" s="2"/>
      <c r="I69" s="1">
        <f>tblAssets[[#This Row],[Current Value]]-tblAssets[[#This Row],[Purchase Value]]</f>
      </c>
      <c r="J69" s="1">
        <f>IFERROR(tblAssets[[#This Row],[Appreciation Amount]]/tblAssets[[#This Row],[Purchase Value]],0)</f>
      </c>
      <c r="K69" s="2"/>
      <c r="L69" s="2"/>
      <c r="M69" s="2"/>
    </row>
    <row r="70">
      <c r="A70" s="1"/>
      <c r="B70" s="2"/>
      <c r="C70" s="2"/>
      <c r="D70" s="2"/>
      <c r="E70" s="2"/>
      <c r="F70" s="4"/>
      <c r="G70" s="2"/>
      <c r="H70" s="2"/>
      <c r="I70" s="1">
        <f>tblAssets[[#This Row],[Current Value]]-tblAssets[[#This Row],[Purchase Value]]</f>
      </c>
      <c r="J70" s="1">
        <f>IFERROR(tblAssets[[#This Row],[Appreciation Amount]]/tblAssets[[#This Row],[Purchase Value]],0)</f>
      </c>
      <c r="K70" s="2"/>
      <c r="L70" s="2"/>
      <c r="M70" s="2"/>
    </row>
    <row r="71">
      <c r="A71" s="1"/>
      <c r="B71" s="2"/>
      <c r="C71" s="2"/>
      <c r="D71" s="2"/>
      <c r="E71" s="2"/>
      <c r="F71" s="4"/>
      <c r="G71" s="2"/>
      <c r="H71" s="2"/>
      <c r="I71" s="1">
        <f>tblAssets[[#This Row],[Current Value]]-tblAssets[[#This Row],[Purchase Value]]</f>
      </c>
      <c r="J71" s="1">
        <f>IFERROR(tblAssets[[#This Row],[Appreciation Amount]]/tblAssets[[#This Row],[Purchase Value]],0)</f>
      </c>
      <c r="K71" s="2"/>
      <c r="L71" s="2"/>
      <c r="M71" s="2"/>
    </row>
    <row r="72">
      <c r="A72" s="1"/>
      <c r="B72" s="2"/>
      <c r="C72" s="2"/>
      <c r="D72" s="2"/>
      <c r="E72" s="2"/>
      <c r="F72" s="4"/>
      <c r="G72" s="2"/>
      <c r="H72" s="2"/>
      <c r="I72" s="1">
        <f>tblAssets[[#This Row],[Current Value]]-tblAssets[[#This Row],[Purchase Value]]</f>
      </c>
      <c r="J72" s="1">
        <f>IFERROR(tblAssets[[#This Row],[Appreciation Amount]]/tblAssets[[#This Row],[Purchase Value]],0)</f>
      </c>
      <c r="K72" s="2"/>
      <c r="L72" s="2"/>
      <c r="M72" s="2"/>
    </row>
    <row r="73">
      <c r="A73" s="1"/>
      <c r="B73" s="2"/>
      <c r="C73" s="2"/>
      <c r="D73" s="2"/>
      <c r="E73" s="2"/>
      <c r="F73" s="4"/>
      <c r="G73" s="2"/>
      <c r="H73" s="2"/>
      <c r="I73" s="1">
        <f>tblAssets[[#This Row],[Current Value]]-tblAssets[[#This Row],[Purchase Value]]</f>
      </c>
      <c r="J73" s="1">
        <f>IFERROR(tblAssets[[#This Row],[Appreciation Amount]]/tblAssets[[#This Row],[Purchase Value]],0)</f>
      </c>
      <c r="K73" s="2"/>
      <c r="L73" s="2"/>
      <c r="M73" s="2"/>
    </row>
    <row r="74">
      <c r="A74" s="1"/>
      <c r="B74" s="2"/>
      <c r="C74" s="2"/>
      <c r="D74" s="2"/>
      <c r="E74" s="2"/>
      <c r="F74" s="4"/>
      <c r="G74" s="2"/>
      <c r="H74" s="2"/>
      <c r="I74" s="1">
        <f>tblAssets[[#This Row],[Current Value]]-tblAssets[[#This Row],[Purchase Value]]</f>
      </c>
      <c r="J74" s="1">
        <f>IFERROR(tblAssets[[#This Row],[Appreciation Amount]]/tblAssets[[#This Row],[Purchase Value]],0)</f>
      </c>
      <c r="K74" s="2"/>
      <c r="L74" s="2"/>
      <c r="M74" s="2"/>
    </row>
    <row r="75">
      <c r="A75" s="1"/>
      <c r="B75" s="2"/>
      <c r="C75" s="2"/>
      <c r="D75" s="2"/>
      <c r="E75" s="2"/>
      <c r="F75" s="4"/>
      <c r="G75" s="2"/>
      <c r="H75" s="2"/>
      <c r="I75" s="1">
        <f>tblAssets[[#This Row],[Current Value]]-tblAssets[[#This Row],[Purchase Value]]</f>
      </c>
      <c r="J75" s="1">
        <f>IFERROR(tblAssets[[#This Row],[Appreciation Amount]]/tblAssets[[#This Row],[Purchase Value]],0)</f>
      </c>
      <c r="K75" s="2"/>
      <c r="L75" s="2"/>
      <c r="M75" s="2"/>
    </row>
    <row r="76">
      <c r="A76" s="1"/>
      <c r="B76" s="2"/>
      <c r="C76" s="2"/>
      <c r="D76" s="2"/>
      <c r="E76" s="2"/>
      <c r="F76" s="4"/>
      <c r="G76" s="2"/>
      <c r="H76" s="2"/>
      <c r="I76" s="1">
        <f>tblAssets[[#This Row],[Current Value]]-tblAssets[[#This Row],[Purchase Value]]</f>
      </c>
      <c r="J76" s="1">
        <f>IFERROR(tblAssets[[#This Row],[Appreciation Amount]]/tblAssets[[#This Row],[Purchase Value]],0)</f>
      </c>
      <c r="K76" s="2"/>
      <c r="L76" s="2"/>
      <c r="M76" s="2"/>
    </row>
    <row r="77">
      <c r="A77" s="1"/>
      <c r="B77" s="2"/>
      <c r="C77" s="2"/>
      <c r="D77" s="2"/>
      <c r="E77" s="2"/>
      <c r="F77" s="4"/>
      <c r="G77" s="2"/>
      <c r="H77" s="2"/>
      <c r="I77" s="1">
        <f>tblAssets[[#This Row],[Current Value]]-tblAssets[[#This Row],[Purchase Value]]</f>
      </c>
      <c r="J77" s="1">
        <f>IFERROR(tblAssets[[#This Row],[Appreciation Amount]]/tblAssets[[#This Row],[Purchase Value]],0)</f>
      </c>
      <c r="K77" s="2"/>
      <c r="L77" s="2"/>
      <c r="M77" s="2"/>
    </row>
    <row r="78">
      <c r="A78" s="1"/>
      <c r="B78" s="2"/>
      <c r="C78" s="2"/>
      <c r="D78" s="2"/>
      <c r="E78" s="2"/>
      <c r="F78" s="4"/>
      <c r="G78" s="2"/>
      <c r="H78" s="2"/>
      <c r="I78" s="1">
        <f>tblAssets[[#This Row],[Current Value]]-tblAssets[[#This Row],[Purchase Value]]</f>
      </c>
      <c r="J78" s="1">
        <f>IFERROR(tblAssets[[#This Row],[Appreciation Amount]]/tblAssets[[#This Row],[Purchase Value]],0)</f>
      </c>
      <c r="K78" s="2"/>
      <c r="L78" s="2"/>
      <c r="M78" s="2"/>
    </row>
    <row r="79">
      <c r="A79" s="1"/>
      <c r="B79" s="2"/>
      <c r="C79" s="2"/>
      <c r="D79" s="2"/>
      <c r="E79" s="2"/>
      <c r="F79" s="4"/>
      <c r="G79" s="2"/>
      <c r="H79" s="2"/>
      <c r="I79" s="1">
        <f>tblAssets[[#This Row],[Current Value]]-tblAssets[[#This Row],[Purchase Value]]</f>
      </c>
      <c r="J79" s="1">
        <f>IFERROR(tblAssets[[#This Row],[Appreciation Amount]]/tblAssets[[#This Row],[Purchase Value]],0)</f>
      </c>
      <c r="K79" s="2"/>
      <c r="L79" s="2"/>
      <c r="M79" s="2"/>
    </row>
    <row r="80">
      <c r="A80" s="1"/>
      <c r="B80" s="2"/>
      <c r="C80" s="2"/>
      <c r="D80" s="2"/>
      <c r="E80" s="2"/>
      <c r="F80" s="4"/>
      <c r="G80" s="2"/>
      <c r="H80" s="2"/>
      <c r="I80" s="1">
        <f>tblAssets[[#This Row],[Current Value]]-tblAssets[[#This Row],[Purchase Value]]</f>
      </c>
      <c r="J80" s="1">
        <f>IFERROR(tblAssets[[#This Row],[Appreciation Amount]]/tblAssets[[#This Row],[Purchase Value]],0)</f>
      </c>
      <c r="K80" s="2"/>
      <c r="L80" s="2"/>
      <c r="M80" s="2"/>
    </row>
    <row r="81">
      <c r="A81" s="1"/>
      <c r="B81" s="2"/>
      <c r="C81" s="2"/>
      <c r="D81" s="2"/>
      <c r="E81" s="2"/>
      <c r="F81" s="4"/>
      <c r="G81" s="2"/>
      <c r="H81" s="2"/>
      <c r="I81" s="1">
        <f>tblAssets[[#This Row],[Current Value]]-tblAssets[[#This Row],[Purchase Value]]</f>
      </c>
      <c r="J81" s="1">
        <f>IFERROR(tblAssets[[#This Row],[Appreciation Amount]]/tblAssets[[#This Row],[Purchase Value]],0)</f>
      </c>
      <c r="K81" s="2"/>
      <c r="L81" s="2"/>
      <c r="M81" s="2"/>
    </row>
    <row r="82">
      <c r="A82" s="1"/>
      <c r="B82" s="2"/>
      <c r="C82" s="2"/>
      <c r="D82" s="2"/>
      <c r="E82" s="2"/>
      <c r="F82" s="4"/>
      <c r="G82" s="2"/>
      <c r="H82" s="2"/>
      <c r="I82" s="1">
        <f>tblAssets[[#This Row],[Current Value]]-tblAssets[[#This Row],[Purchase Value]]</f>
      </c>
      <c r="J82" s="1">
        <f>IFERROR(tblAssets[[#This Row],[Appreciation Amount]]/tblAssets[[#This Row],[Purchase Value]],0)</f>
      </c>
      <c r="K82" s="2"/>
      <c r="L82" s="2"/>
      <c r="M82" s="2"/>
    </row>
    <row r="83">
      <c r="A83" s="1"/>
      <c r="B83" s="2"/>
      <c r="C83" s="2"/>
      <c r="D83" s="2"/>
      <c r="E83" s="2"/>
      <c r="F83" s="4"/>
      <c r="G83" s="2"/>
      <c r="H83" s="2"/>
      <c r="I83" s="1">
        <f>tblAssets[[#This Row],[Current Value]]-tblAssets[[#This Row],[Purchase Value]]</f>
      </c>
      <c r="J83" s="1">
        <f>IFERROR(tblAssets[[#This Row],[Appreciation Amount]]/tblAssets[[#This Row],[Purchase Value]],0)</f>
      </c>
      <c r="K83" s="2"/>
      <c r="L83" s="2"/>
      <c r="M83" s="2"/>
    </row>
    <row r="84">
      <c r="A84" s="1"/>
      <c r="B84" s="2"/>
      <c r="C84" s="2"/>
      <c r="D84" s="2"/>
      <c r="E84" s="2"/>
      <c r="F84" s="4"/>
      <c r="G84" s="2"/>
      <c r="H84" s="2"/>
      <c r="I84" s="1">
        <f>tblAssets[[#This Row],[Current Value]]-tblAssets[[#This Row],[Purchase Value]]</f>
      </c>
      <c r="J84" s="1">
        <f>IFERROR(tblAssets[[#This Row],[Appreciation Amount]]/tblAssets[[#This Row],[Purchase Value]],0)</f>
      </c>
      <c r="K84" s="2"/>
      <c r="L84" s="2"/>
      <c r="M84" s="2"/>
    </row>
    <row r="85">
      <c r="A85" s="1"/>
      <c r="B85" s="2"/>
      <c r="C85" s="2"/>
      <c r="D85" s="2"/>
      <c r="E85" s="2"/>
      <c r="F85" s="4"/>
      <c r="G85" s="2"/>
      <c r="H85" s="2"/>
      <c r="I85" s="1">
        <f>tblAssets[[#This Row],[Current Value]]-tblAssets[[#This Row],[Purchase Value]]</f>
      </c>
      <c r="J85" s="1">
        <f>IFERROR(tblAssets[[#This Row],[Appreciation Amount]]/tblAssets[[#This Row],[Purchase Value]],0)</f>
      </c>
      <c r="K85" s="2"/>
      <c r="L85" s="2"/>
      <c r="M85" s="2"/>
    </row>
    <row r="86">
      <c r="A86" s="1"/>
      <c r="B86" s="2"/>
      <c r="C86" s="2"/>
      <c r="D86" s="2"/>
      <c r="E86" s="2"/>
      <c r="F86" s="4"/>
      <c r="G86" s="2"/>
      <c r="H86" s="2"/>
      <c r="I86" s="1">
        <f>tblAssets[[#This Row],[Current Value]]-tblAssets[[#This Row],[Purchase Value]]</f>
      </c>
      <c r="J86" s="1">
        <f>IFERROR(tblAssets[[#This Row],[Appreciation Amount]]/tblAssets[[#This Row],[Purchase Value]],0)</f>
      </c>
      <c r="K86" s="2"/>
      <c r="L86" s="2"/>
      <c r="M86" s="2"/>
    </row>
    <row r="87">
      <c r="A87" s="1"/>
      <c r="B87" s="2"/>
      <c r="C87" s="2"/>
      <c r="D87" s="2"/>
      <c r="E87" s="2"/>
      <c r="F87" s="4"/>
      <c r="G87" s="2"/>
      <c r="H87" s="2"/>
      <c r="I87" s="1">
        <f>tblAssets[[#This Row],[Current Value]]-tblAssets[[#This Row],[Purchase Value]]</f>
      </c>
      <c r="J87" s="1">
        <f>IFERROR(tblAssets[[#This Row],[Appreciation Amount]]/tblAssets[[#This Row],[Purchase Value]],0)</f>
      </c>
      <c r="K87" s="2"/>
      <c r="L87" s="2"/>
      <c r="M87" s="2"/>
    </row>
    <row r="88">
      <c r="A88" s="1"/>
      <c r="B88" s="2"/>
      <c r="C88" s="2"/>
      <c r="D88" s="2"/>
      <c r="E88" s="2"/>
      <c r="F88" s="4"/>
      <c r="G88" s="2"/>
      <c r="H88" s="2"/>
      <c r="I88" s="1">
        <f>tblAssets[[#This Row],[Current Value]]-tblAssets[[#This Row],[Purchase Value]]</f>
      </c>
      <c r="J88" s="1">
        <f>IFERROR(tblAssets[[#This Row],[Appreciation Amount]]/tblAssets[[#This Row],[Purchase Value]],0)</f>
      </c>
      <c r="K88" s="2"/>
      <c r="L88" s="2"/>
      <c r="M88" s="2"/>
    </row>
    <row r="89">
      <c r="A89" s="1"/>
      <c r="B89" s="2"/>
      <c r="C89" s="2"/>
      <c r="D89" s="2"/>
      <c r="E89" s="2"/>
      <c r="F89" s="4"/>
      <c r="G89" s="2"/>
      <c r="H89" s="2"/>
      <c r="I89" s="1">
        <f>tblAssets[[#This Row],[Current Value]]-tblAssets[[#This Row],[Purchase Value]]</f>
      </c>
      <c r="J89" s="1">
        <f>IFERROR(tblAssets[[#This Row],[Appreciation Amount]]/tblAssets[[#This Row],[Purchase Value]],0)</f>
      </c>
      <c r="K89" s="2"/>
      <c r="L89" s="2"/>
      <c r="M89" s="2"/>
    </row>
    <row r="90">
      <c r="A90" s="1"/>
      <c r="B90" s="2"/>
      <c r="C90" s="2"/>
      <c r="D90" s="2"/>
      <c r="E90" s="2"/>
      <c r="F90" s="4"/>
      <c r="G90" s="2"/>
      <c r="H90" s="2"/>
      <c r="I90" s="1">
        <f>tblAssets[[#This Row],[Current Value]]-tblAssets[[#This Row],[Purchase Value]]</f>
      </c>
      <c r="J90" s="1">
        <f>IFERROR(tblAssets[[#This Row],[Appreciation Amount]]/tblAssets[[#This Row],[Purchase Value]],0)</f>
      </c>
      <c r="K90" s="2"/>
      <c r="L90" s="2"/>
      <c r="M90" s="2"/>
    </row>
    <row r="91">
      <c r="A91" s="1"/>
      <c r="B91" s="2"/>
      <c r="C91" s="2"/>
      <c r="D91" s="2"/>
      <c r="E91" s="2"/>
      <c r="F91" s="4"/>
      <c r="G91" s="2"/>
      <c r="H91" s="2"/>
      <c r="I91" s="1">
        <f>tblAssets[[#This Row],[Current Value]]-tblAssets[[#This Row],[Purchase Value]]</f>
      </c>
      <c r="J91" s="1">
        <f>IFERROR(tblAssets[[#This Row],[Appreciation Amount]]/tblAssets[[#This Row],[Purchase Value]],0)</f>
      </c>
      <c r="K91" s="2"/>
      <c r="L91" s="2"/>
      <c r="M91" s="2"/>
    </row>
    <row r="92">
      <c r="A92" s="1"/>
      <c r="B92" s="2"/>
      <c r="C92" s="2"/>
      <c r="D92" s="2"/>
      <c r="E92" s="2"/>
      <c r="F92" s="4"/>
      <c r="G92" s="2"/>
      <c r="H92" s="2"/>
      <c r="I92" s="1">
        <f>tblAssets[[#This Row],[Current Value]]-tblAssets[[#This Row],[Purchase Value]]</f>
      </c>
      <c r="J92" s="1">
        <f>IFERROR(tblAssets[[#This Row],[Appreciation Amount]]/tblAssets[[#This Row],[Purchase Value]],0)</f>
      </c>
      <c r="K92" s="2"/>
      <c r="L92" s="2"/>
      <c r="M92" s="2"/>
    </row>
    <row r="93">
      <c r="A93" s="1"/>
      <c r="B93" s="2"/>
      <c r="C93" s="2"/>
      <c r="D93" s="2"/>
      <c r="E93" s="2"/>
      <c r="F93" s="4"/>
      <c r="G93" s="2"/>
      <c r="H93" s="2"/>
      <c r="I93" s="1">
        <f>tblAssets[[#This Row],[Current Value]]-tblAssets[[#This Row],[Purchase Value]]</f>
      </c>
      <c r="J93" s="1">
        <f>IFERROR(tblAssets[[#This Row],[Appreciation Amount]]/tblAssets[[#This Row],[Purchase Value]],0)</f>
      </c>
      <c r="K93" s="2"/>
      <c r="L93" s="2"/>
      <c r="M93" s="2"/>
    </row>
    <row r="94">
      <c r="A94" s="1"/>
      <c r="B94" s="2"/>
      <c r="C94" s="2"/>
      <c r="D94" s="2"/>
      <c r="E94" s="2"/>
      <c r="F94" s="4"/>
      <c r="G94" s="2"/>
      <c r="H94" s="2"/>
      <c r="I94" s="1">
        <f>tblAssets[[#This Row],[Current Value]]-tblAssets[[#This Row],[Purchase Value]]</f>
      </c>
      <c r="J94" s="1">
        <f>IFERROR(tblAssets[[#This Row],[Appreciation Amount]]/tblAssets[[#This Row],[Purchase Value]],0)</f>
      </c>
      <c r="K94" s="2"/>
      <c r="L94" s="2"/>
      <c r="M94" s="2"/>
    </row>
    <row r="95">
      <c r="A95" s="1"/>
      <c r="B95" s="2"/>
      <c r="C95" s="2"/>
      <c r="D95" s="2"/>
      <c r="E95" s="2"/>
      <c r="F95" s="4"/>
      <c r="G95" s="2"/>
      <c r="H95" s="2"/>
      <c r="I95" s="1">
        <f>tblAssets[[#This Row],[Current Value]]-tblAssets[[#This Row],[Purchase Value]]</f>
      </c>
      <c r="J95" s="1">
        <f>IFERROR(tblAssets[[#This Row],[Appreciation Amount]]/tblAssets[[#This Row],[Purchase Value]],0)</f>
      </c>
      <c r="K95" s="2"/>
      <c r="L95" s="2"/>
      <c r="M95" s="2"/>
    </row>
    <row r="96">
      <c r="A96" s="1"/>
      <c r="B96" s="2"/>
      <c r="C96" s="2"/>
      <c r="D96" s="2"/>
      <c r="E96" s="2"/>
      <c r="F96" s="4"/>
      <c r="G96" s="2"/>
      <c r="H96" s="2"/>
      <c r="I96" s="1">
        <f>tblAssets[[#This Row],[Current Value]]-tblAssets[[#This Row],[Purchase Value]]</f>
      </c>
      <c r="J96" s="1">
        <f>IFERROR(tblAssets[[#This Row],[Appreciation Amount]]/tblAssets[[#This Row],[Purchase Value]],0)</f>
      </c>
      <c r="K96" s="2"/>
      <c r="L96" s="2"/>
      <c r="M96" s="2"/>
    </row>
    <row r="97">
      <c r="A97" s="1"/>
      <c r="B97" s="2"/>
      <c r="C97" s="2"/>
      <c r="D97" s="2"/>
      <c r="E97" s="2"/>
      <c r="F97" s="4"/>
      <c r="G97" s="2"/>
      <c r="H97" s="2"/>
      <c r="I97" s="1">
        <f>tblAssets[[#This Row],[Current Value]]-tblAssets[[#This Row],[Purchase Value]]</f>
      </c>
      <c r="J97" s="1">
        <f>IFERROR(tblAssets[[#This Row],[Appreciation Amount]]/tblAssets[[#This Row],[Purchase Value]],0)</f>
      </c>
      <c r="K97" s="2"/>
      <c r="L97" s="2"/>
      <c r="M97" s="2"/>
    </row>
    <row r="98">
      <c r="A98" s="1"/>
      <c r="B98" s="2"/>
      <c r="C98" s="2"/>
      <c r="D98" s="2"/>
      <c r="E98" s="2"/>
      <c r="F98" s="4"/>
      <c r="G98" s="2"/>
      <c r="H98" s="2"/>
      <c r="I98" s="1">
        <f>tblAssets[[#This Row],[Current Value]]-tblAssets[[#This Row],[Purchase Value]]</f>
      </c>
      <c r="J98" s="1">
        <f>IFERROR(tblAssets[[#This Row],[Appreciation Amount]]/tblAssets[[#This Row],[Purchase Value]],0)</f>
      </c>
      <c r="K98" s="2"/>
      <c r="L98" s="2"/>
      <c r="M98" s="2"/>
    </row>
    <row r="99">
      <c r="A99" s="1"/>
      <c r="B99" s="2"/>
      <c r="C99" s="2"/>
      <c r="D99" s="2"/>
      <c r="E99" s="2"/>
      <c r="F99" s="4"/>
      <c r="G99" s="2"/>
      <c r="H99" s="2"/>
      <c r="I99" s="1">
        <f>tblAssets[[#This Row],[Current Value]]-tblAssets[[#This Row],[Purchase Value]]</f>
      </c>
      <c r="J99" s="1">
        <f>IFERROR(tblAssets[[#This Row],[Appreciation Amount]]/tblAssets[[#This Row],[Purchase Value]],0)</f>
      </c>
      <c r="K99" s="2"/>
      <c r="L99" s="2"/>
      <c r="M99" s="2"/>
    </row>
    <row r="100">
      <c r="A100" s="1"/>
      <c r="B100" s="2"/>
      <c r="C100" s="2"/>
      <c r="D100" s="2"/>
      <c r="E100" s="2"/>
      <c r="F100" s="4"/>
      <c r="G100" s="2"/>
      <c r="H100" s="2"/>
      <c r="I100" s="1">
        <f>tblAssets[[#This Row],[Current Value]]-tblAssets[[#This Row],[Purchase Value]]</f>
      </c>
      <c r="J100" s="1">
        <f>IFERROR(tblAssets[[#This Row],[Appreciation Amount]]/tblAssets[[#This Row],[Purchase Value]],0)</f>
      </c>
      <c r="K100" s="2"/>
      <c r="L100" s="2"/>
      <c r="M100" s="2"/>
    </row>
    <row r="101">
      <c r="A101" s="1"/>
      <c r="B101" s="2"/>
      <c r="C101" s="2"/>
      <c r="D101" s="2"/>
      <c r="E101" s="2"/>
      <c r="F101" s="4"/>
      <c r="G101" s="2"/>
      <c r="H101" s="2"/>
      <c r="I101" s="1">
        <f>tblAssets[[#This Row],[Current Value]]-tblAssets[[#This Row],[Purchase Value]]</f>
      </c>
      <c r="J101" s="1">
        <f>IFERROR(tblAssets[[#This Row],[Appreciation Amount]]/tblAssets[[#This Row],[Purchase Value]],0)</f>
      </c>
      <c r="K101" s="2"/>
      <c r="L101" s="2"/>
      <c r="M101" s="2"/>
    </row>
    <row r="102">
      <c r="A102" s="1"/>
      <c r="B102" s="2"/>
      <c r="C102" s="2"/>
      <c r="D102" s="2"/>
      <c r="E102" s="2"/>
      <c r="F102" s="4"/>
      <c r="G102" s="2"/>
      <c r="H102" s="2"/>
      <c r="I102" s="1">
        <f>tblAssets[[#This Row],[Current Value]]-tblAssets[[#This Row],[Purchase Value]]</f>
      </c>
      <c r="J102" s="1">
        <f>IFERROR(tblAssets[[#This Row],[Appreciation Amount]]/tblAssets[[#This Row],[Purchase Value]],0)</f>
      </c>
      <c r="K102" s="2"/>
      <c r="L102" s="2"/>
      <c r="M102" s="2"/>
    </row>
    <row r="103">
      <c r="A103" s="1"/>
      <c r="B103" s="2"/>
      <c r="C103" s="2"/>
      <c r="D103" s="2"/>
      <c r="E103" s="2"/>
      <c r="F103" s="4"/>
      <c r="G103" s="2"/>
      <c r="H103" s="2"/>
      <c r="I103" s="1">
        <f>tblAssets[[#This Row],[Current Value]]-tblAssets[[#This Row],[Purchase Value]]</f>
      </c>
      <c r="J103" s="1">
        <f>IFERROR(tblAssets[[#This Row],[Appreciation Amount]]/tblAssets[[#This Row],[Purchase Value]],0)</f>
      </c>
      <c r="K103" s="2"/>
      <c r="L103" s="2"/>
      <c r="M103" s="2"/>
    </row>
    <row r="104">
      <c r="A104" s="1"/>
      <c r="B104" s="2"/>
      <c r="C104" s="2"/>
      <c r="D104" s="2"/>
      <c r="E104" s="2"/>
      <c r="F104" s="4"/>
      <c r="G104" s="2"/>
      <c r="H104" s="2"/>
      <c r="I104" s="1">
        <f>tblAssets[[#This Row],[Current Value]]-tblAssets[[#This Row],[Purchase Value]]</f>
      </c>
      <c r="J104" s="1">
        <f>IFERROR(tblAssets[[#This Row],[Appreciation Amount]]/tblAssets[[#This Row],[Purchase Value]],0)</f>
      </c>
      <c r="K104" s="2"/>
      <c r="L104" s="2"/>
      <c r="M104" s="2"/>
    </row>
    <row r="105">
      <c r="A105" s="1"/>
      <c r="B105" s="2"/>
      <c r="C105" s="2"/>
      <c r="D105" s="2"/>
      <c r="E105" s="2"/>
      <c r="F105" s="4"/>
      <c r="G105" s="2"/>
      <c r="H105" s="2"/>
      <c r="I105" s="1">
        <f>tblAssets[[#This Row],[Current Value]]-tblAssets[[#This Row],[Purchase Value]]</f>
      </c>
      <c r="J105" s="1">
        <f>IFERROR(tblAssets[[#This Row],[Appreciation Amount]]/tblAssets[[#This Row],[Purchase Value]],0)</f>
      </c>
      <c r="K105" s="2"/>
      <c r="L105" s="2"/>
      <c r="M105" s="2"/>
    </row>
    <row r="106">
      <c r="A106" s="1"/>
      <c r="B106" s="2"/>
      <c r="C106" s="2"/>
      <c r="D106" s="2"/>
      <c r="E106" s="2"/>
      <c r="F106" s="4"/>
      <c r="G106" s="2"/>
      <c r="H106" s="2"/>
      <c r="I106" s="1">
        <f>tblAssets[[#This Row],[Current Value]]-tblAssets[[#This Row],[Purchase Value]]</f>
      </c>
      <c r="J106" s="1">
        <f>IFERROR(tblAssets[[#This Row],[Appreciation Amount]]/tblAssets[[#This Row],[Purchase Value]],0)</f>
      </c>
      <c r="K106" s="2"/>
      <c r="L106" s="2"/>
      <c r="M106" s="2"/>
    </row>
    <row r="107">
      <c r="A107" s="1"/>
      <c r="B107" s="2"/>
      <c r="C107" s="2"/>
      <c r="D107" s="2"/>
      <c r="E107" s="2"/>
      <c r="F107" s="4"/>
      <c r="G107" s="2"/>
      <c r="H107" s="2"/>
      <c r="I107" s="1">
        <f>tblAssets[[#This Row],[Current Value]]-tblAssets[[#This Row],[Purchase Value]]</f>
      </c>
      <c r="J107" s="1">
        <f>IFERROR(tblAssets[[#This Row],[Appreciation Amount]]/tblAssets[[#This Row],[Purchase Value]],0)</f>
      </c>
      <c r="K107" s="2"/>
      <c r="L107" s="2"/>
      <c r="M107" s="2"/>
    </row>
    <row r="108">
      <c r="A108" s="1"/>
      <c r="B108" s="2"/>
      <c r="C108" s="2"/>
      <c r="D108" s="2"/>
      <c r="E108" s="2"/>
      <c r="F108" s="4"/>
      <c r="G108" s="2"/>
      <c r="H108" s="2"/>
      <c r="I108" s="1">
        <f>tblAssets[[#This Row],[Current Value]]-tblAssets[[#This Row],[Purchase Value]]</f>
      </c>
      <c r="J108" s="1">
        <f>IFERROR(tblAssets[[#This Row],[Appreciation Amount]]/tblAssets[[#This Row],[Purchase Value]],0)</f>
      </c>
      <c r="K108" s="2"/>
      <c r="L108" s="2"/>
      <c r="M108" s="2"/>
    </row>
    <row r="109">
      <c r="A109" s="1"/>
      <c r="B109" s="2"/>
      <c r="C109" s="2"/>
      <c r="D109" s="2"/>
      <c r="E109" s="2"/>
      <c r="F109" s="4"/>
      <c r="G109" s="2"/>
      <c r="H109" s="2"/>
      <c r="I109" s="1">
        <f>tblAssets[[#This Row],[Current Value]]-tblAssets[[#This Row],[Purchase Value]]</f>
      </c>
      <c r="J109" s="1">
        <f>IFERROR(tblAssets[[#This Row],[Appreciation Amount]]/tblAssets[[#This Row],[Purchase Value]],0)</f>
      </c>
      <c r="K109" s="2"/>
      <c r="L109" s="2"/>
      <c r="M109" s="2"/>
    </row>
    <row r="110">
      <c r="A110" s="1"/>
      <c r="B110" s="2"/>
      <c r="C110" s="2"/>
      <c r="D110" s="2"/>
      <c r="E110" s="2"/>
      <c r="F110" s="4"/>
      <c r="G110" s="2"/>
      <c r="H110" s="2"/>
      <c r="I110" s="1">
        <f>tblAssets[[#This Row],[Current Value]]-tblAssets[[#This Row],[Purchase Value]]</f>
      </c>
      <c r="J110" s="1">
        <f>IFERROR(tblAssets[[#This Row],[Appreciation Amount]]/tblAssets[[#This Row],[Purchase Value]],0)</f>
      </c>
      <c r="K110" s="2"/>
      <c r="L110" s="2"/>
      <c r="M110" s="2"/>
    </row>
    <row r="111">
      <c r="A111" s="1"/>
      <c r="B111" s="2"/>
      <c r="C111" s="2"/>
      <c r="D111" s="2"/>
      <c r="E111" s="2"/>
      <c r="F111" s="4"/>
      <c r="G111" s="2"/>
      <c r="H111" s="2"/>
      <c r="I111" s="1">
        <f>tblAssets[[#This Row],[Current Value]]-tblAssets[[#This Row],[Purchase Value]]</f>
      </c>
      <c r="J111" s="1">
        <f>IFERROR(tblAssets[[#This Row],[Appreciation Amount]]/tblAssets[[#This Row],[Purchase Value]],0)</f>
      </c>
      <c r="K111" s="2"/>
      <c r="L111" s="2"/>
      <c r="M111" s="2"/>
    </row>
    <row r="112">
      <c r="A112" s="1"/>
      <c r="B112" s="2"/>
      <c r="C112" s="2"/>
      <c r="D112" s="2"/>
      <c r="E112" s="2"/>
      <c r="F112" s="4"/>
      <c r="G112" s="2"/>
      <c r="H112" s="2"/>
      <c r="I112" s="1">
        <f>tblAssets[[#This Row],[Current Value]]-tblAssets[[#This Row],[Purchase Value]]</f>
      </c>
      <c r="J112" s="1">
        <f>IFERROR(tblAssets[[#This Row],[Appreciation Amount]]/tblAssets[[#This Row],[Purchase Value]],0)</f>
      </c>
      <c r="K112" s="2"/>
      <c r="L112" s="2"/>
      <c r="M112" s="2"/>
    </row>
    <row r="113">
      <c r="A113" s="1"/>
      <c r="B113" s="2"/>
      <c r="C113" s="2"/>
      <c r="D113" s="2"/>
      <c r="E113" s="2"/>
      <c r="F113" s="4"/>
      <c r="G113" s="2"/>
      <c r="H113" s="2"/>
      <c r="I113" s="1">
        <f>tblAssets[[#This Row],[Current Value]]-tblAssets[[#This Row],[Purchase Value]]</f>
      </c>
      <c r="J113" s="1">
        <f>IFERROR(tblAssets[[#This Row],[Appreciation Amount]]/tblAssets[[#This Row],[Purchase Value]],0)</f>
      </c>
      <c r="K113" s="2"/>
      <c r="L113" s="2"/>
      <c r="M113" s="2"/>
    </row>
    <row r="114">
      <c r="A114" s="1"/>
      <c r="B114" s="2"/>
      <c r="C114" s="2"/>
      <c r="D114" s="2"/>
      <c r="E114" s="2"/>
      <c r="F114" s="4"/>
      <c r="G114" s="2"/>
      <c r="H114" s="2"/>
      <c r="I114" s="1">
        <f>tblAssets[[#This Row],[Current Value]]-tblAssets[[#This Row],[Purchase Value]]</f>
      </c>
      <c r="J114" s="1">
        <f>IFERROR(tblAssets[[#This Row],[Appreciation Amount]]/tblAssets[[#This Row],[Purchase Value]],0)</f>
      </c>
      <c r="K114" s="2"/>
      <c r="L114" s="2"/>
      <c r="M114" s="2"/>
    </row>
    <row r="115">
      <c r="A115" s="1"/>
      <c r="B115" s="2"/>
      <c r="C115" s="2"/>
      <c r="D115" s="2"/>
      <c r="E115" s="2"/>
      <c r="F115" s="4"/>
      <c r="G115" s="2"/>
      <c r="H115" s="2"/>
      <c r="I115" s="1">
        <f>tblAssets[[#This Row],[Current Value]]-tblAssets[[#This Row],[Purchase Value]]</f>
      </c>
      <c r="J115" s="1">
        <f>IFERROR(tblAssets[[#This Row],[Appreciation Amount]]/tblAssets[[#This Row],[Purchase Value]],0)</f>
      </c>
      <c r="K115" s="2"/>
      <c r="L115" s="2"/>
      <c r="M115" s="2"/>
    </row>
    <row r="116">
      <c r="A116" s="1"/>
      <c r="B116" s="2"/>
      <c r="C116" s="2"/>
      <c r="D116" s="2"/>
      <c r="E116" s="2"/>
      <c r="F116" s="4"/>
      <c r="G116" s="2"/>
      <c r="H116" s="2"/>
      <c r="I116" s="1">
        <f>tblAssets[[#This Row],[Current Value]]-tblAssets[[#This Row],[Purchase Value]]</f>
      </c>
      <c r="J116" s="1">
        <f>IFERROR(tblAssets[[#This Row],[Appreciation Amount]]/tblAssets[[#This Row],[Purchase Value]],0)</f>
      </c>
      <c r="K116" s="2"/>
      <c r="L116" s="2"/>
      <c r="M116" s="2"/>
    </row>
    <row r="117">
      <c r="A117" s="1"/>
      <c r="B117" s="2"/>
      <c r="C117" s="2"/>
      <c r="D117" s="2"/>
      <c r="E117" s="2"/>
      <c r="F117" s="4"/>
      <c r="G117" s="2"/>
      <c r="H117" s="2"/>
      <c r="I117" s="1">
        <f>tblAssets[[#This Row],[Current Value]]-tblAssets[[#This Row],[Purchase Value]]</f>
      </c>
      <c r="J117" s="1">
        <f>IFERROR(tblAssets[[#This Row],[Appreciation Amount]]/tblAssets[[#This Row],[Purchase Value]],0)</f>
      </c>
      <c r="K117" s="2"/>
      <c r="L117" s="2"/>
      <c r="M117" s="2"/>
    </row>
    <row r="118">
      <c r="A118" s="1"/>
      <c r="B118" s="2"/>
      <c r="C118" s="2"/>
      <c r="D118" s="2"/>
      <c r="E118" s="2"/>
      <c r="F118" s="4"/>
      <c r="G118" s="2"/>
      <c r="H118" s="2"/>
      <c r="I118" s="1">
        <f>tblAssets[[#This Row],[Current Value]]-tblAssets[[#This Row],[Purchase Value]]</f>
      </c>
      <c r="J118" s="1">
        <f>IFERROR(tblAssets[[#This Row],[Appreciation Amount]]/tblAssets[[#This Row],[Purchase Value]],0)</f>
      </c>
      <c r="K118" s="2"/>
      <c r="L118" s="2"/>
      <c r="M118" s="2"/>
    </row>
    <row r="119">
      <c r="A119" s="1"/>
      <c r="B119" s="2"/>
      <c r="C119" s="2"/>
      <c r="D119" s="2"/>
      <c r="E119" s="2"/>
      <c r="F119" s="4"/>
      <c r="G119" s="2"/>
      <c r="H119" s="2"/>
      <c r="I119" s="1">
        <f>tblAssets[[#This Row],[Current Value]]-tblAssets[[#This Row],[Purchase Value]]</f>
      </c>
      <c r="J119" s="1">
        <f>IFERROR(tblAssets[[#This Row],[Appreciation Amount]]/tblAssets[[#This Row],[Purchase Value]],0)</f>
      </c>
      <c r="K119" s="2"/>
      <c r="L119" s="2"/>
      <c r="M119" s="2"/>
    </row>
    <row r="120">
      <c r="A120" s="1"/>
      <c r="B120" s="2"/>
      <c r="C120" s="2"/>
      <c r="D120" s="2"/>
      <c r="E120" s="2"/>
      <c r="F120" s="4"/>
      <c r="G120" s="2"/>
      <c r="H120" s="2"/>
      <c r="I120" s="1">
        <f>tblAssets[[#This Row],[Current Value]]-tblAssets[[#This Row],[Purchase Value]]</f>
      </c>
      <c r="J120" s="1">
        <f>IFERROR(tblAssets[[#This Row],[Appreciation Amount]]/tblAssets[[#This Row],[Purchase Value]],0)</f>
      </c>
      <c r="K120" s="2"/>
      <c r="L120" s="2"/>
      <c r="M120" s="2"/>
    </row>
    <row r="121">
      <c r="A121" s="1"/>
      <c r="B121" s="2"/>
      <c r="C121" s="2"/>
      <c r="D121" s="2"/>
      <c r="E121" s="2"/>
      <c r="F121" s="4"/>
      <c r="G121" s="2"/>
      <c r="H121" s="2"/>
      <c r="I121" s="1">
        <f>tblAssets[[#This Row],[Current Value]]-tblAssets[[#This Row],[Purchase Value]]</f>
      </c>
      <c r="J121" s="1">
        <f>IFERROR(tblAssets[[#This Row],[Appreciation Amount]]/tblAssets[[#This Row],[Purchase Value]],0)</f>
      </c>
      <c r="K121" s="2"/>
      <c r="L121" s="2"/>
      <c r="M121" s="2"/>
    </row>
    <row r="122">
      <c r="A122" s="1"/>
      <c r="B122" s="2"/>
      <c r="C122" s="2"/>
      <c r="D122" s="2"/>
      <c r="E122" s="2"/>
      <c r="F122" s="4"/>
      <c r="G122" s="2"/>
      <c r="H122" s="2"/>
      <c r="I122" s="1">
        <f>tblAssets[[#This Row],[Current Value]]-tblAssets[[#This Row],[Purchase Value]]</f>
      </c>
      <c r="J122" s="1">
        <f>IFERROR(tblAssets[[#This Row],[Appreciation Amount]]/tblAssets[[#This Row],[Purchase Value]],0)</f>
      </c>
      <c r="K122" s="2"/>
      <c r="L122" s="2"/>
      <c r="M122" s="2"/>
    </row>
    <row r="123">
      <c r="A123" s="1"/>
      <c r="B123" s="2"/>
      <c r="C123" s="2"/>
      <c r="D123" s="2"/>
      <c r="E123" s="2"/>
      <c r="F123" s="4"/>
      <c r="G123" s="2"/>
      <c r="H123" s="2"/>
      <c r="I123" s="1">
        <f>tblAssets[[#This Row],[Current Value]]-tblAssets[[#This Row],[Purchase Value]]</f>
      </c>
      <c r="J123" s="1">
        <f>IFERROR(tblAssets[[#This Row],[Appreciation Amount]]/tblAssets[[#This Row],[Purchase Value]],0)</f>
      </c>
      <c r="K123" s="2"/>
      <c r="L123" s="2"/>
      <c r="M123" s="2"/>
    </row>
    <row r="124">
      <c r="A124" s="1"/>
      <c r="B124" s="2"/>
      <c r="C124" s="2"/>
      <c r="D124" s="2"/>
      <c r="E124" s="2"/>
      <c r="F124" s="4"/>
      <c r="G124" s="2"/>
      <c r="H124" s="2"/>
      <c r="I124" s="1">
        <f>tblAssets[[#This Row],[Current Value]]-tblAssets[[#This Row],[Purchase Value]]</f>
      </c>
      <c r="J124" s="1">
        <f>IFERROR(tblAssets[[#This Row],[Appreciation Amount]]/tblAssets[[#This Row],[Purchase Value]],0)</f>
      </c>
      <c r="K124" s="2"/>
      <c r="L124" s="2"/>
      <c r="M124" s="2"/>
    </row>
    <row r="125">
      <c r="A125" s="1"/>
      <c r="B125" s="2"/>
      <c r="C125" s="2"/>
      <c r="D125" s="2"/>
      <c r="E125" s="2"/>
      <c r="F125" s="4"/>
      <c r="G125" s="2"/>
      <c r="H125" s="2"/>
      <c r="I125" s="1">
        <f>tblAssets[[#This Row],[Current Value]]-tblAssets[[#This Row],[Purchase Value]]</f>
      </c>
      <c r="J125" s="1">
        <f>IFERROR(tblAssets[[#This Row],[Appreciation Amount]]/tblAssets[[#This Row],[Purchase Value]],0)</f>
      </c>
      <c r="K125" s="2"/>
      <c r="L125" s="2"/>
      <c r="M125" s="2"/>
    </row>
    <row r="126">
      <c r="A126" s="1"/>
      <c r="B126" s="2"/>
      <c r="C126" s="2"/>
      <c r="D126" s="2"/>
      <c r="E126" s="2"/>
      <c r="F126" s="4"/>
      <c r="G126" s="2"/>
      <c r="H126" s="2"/>
      <c r="I126" s="1">
        <f>tblAssets[[#This Row],[Current Value]]-tblAssets[[#This Row],[Purchase Value]]</f>
      </c>
      <c r="J126" s="1">
        <f>IFERROR(tblAssets[[#This Row],[Appreciation Amount]]/tblAssets[[#This Row],[Purchase Value]],0)</f>
      </c>
      <c r="K126" s="2"/>
      <c r="L126" s="2"/>
      <c r="M126" s="2"/>
    </row>
    <row r="127">
      <c r="A127" s="1"/>
      <c r="B127" s="2"/>
      <c r="C127" s="2"/>
      <c r="D127" s="2"/>
      <c r="E127" s="2"/>
      <c r="F127" s="4"/>
      <c r="G127" s="2"/>
      <c r="H127" s="2"/>
      <c r="I127" s="1">
        <f>tblAssets[[#This Row],[Current Value]]-tblAssets[[#This Row],[Purchase Value]]</f>
      </c>
      <c r="J127" s="1">
        <f>IFERROR(tblAssets[[#This Row],[Appreciation Amount]]/tblAssets[[#This Row],[Purchase Value]],0)</f>
      </c>
      <c r="K127" s="2"/>
      <c r="L127" s="2"/>
      <c r="M127" s="2"/>
    </row>
    <row r="128">
      <c r="A128" s="1"/>
      <c r="B128" s="2"/>
      <c r="C128" s="2"/>
      <c r="D128" s="2"/>
      <c r="E128" s="2"/>
      <c r="F128" s="4"/>
      <c r="G128" s="2"/>
      <c r="H128" s="2"/>
      <c r="I128" s="1">
        <f>tblAssets[[#This Row],[Current Value]]-tblAssets[[#This Row],[Purchase Value]]</f>
      </c>
      <c r="J128" s="1">
        <f>IFERROR(tblAssets[[#This Row],[Appreciation Amount]]/tblAssets[[#This Row],[Purchase Value]],0)</f>
      </c>
      <c r="K128" s="2"/>
      <c r="L128" s="2"/>
      <c r="M128" s="2"/>
    </row>
    <row r="129">
      <c r="A129" s="1"/>
      <c r="B129" s="2"/>
      <c r="C129" s="2"/>
      <c r="D129" s="2"/>
      <c r="E129" s="2"/>
      <c r="F129" s="4"/>
      <c r="G129" s="2"/>
      <c r="H129" s="2"/>
      <c r="I129" s="1">
        <f>tblAssets[[#This Row],[Current Value]]-tblAssets[[#This Row],[Purchase Value]]</f>
      </c>
      <c r="J129" s="1">
        <f>IFERROR(tblAssets[[#This Row],[Appreciation Amount]]/tblAssets[[#This Row],[Purchase Value]],0)</f>
      </c>
      <c r="K129" s="2"/>
      <c r="L129" s="2"/>
      <c r="M129" s="2"/>
    </row>
    <row r="130">
      <c r="A130" s="1"/>
      <c r="B130" s="2"/>
      <c r="C130" s="2"/>
      <c r="D130" s="2"/>
      <c r="E130" s="2"/>
      <c r="F130" s="4"/>
      <c r="G130" s="2"/>
      <c r="H130" s="2"/>
      <c r="I130" s="1">
        <f>tblAssets[[#This Row],[Current Value]]-tblAssets[[#This Row],[Purchase Value]]</f>
      </c>
      <c r="J130" s="1">
        <f>IFERROR(tblAssets[[#This Row],[Appreciation Amount]]/tblAssets[[#This Row],[Purchase Value]],0)</f>
      </c>
      <c r="K130" s="2"/>
      <c r="L130" s="2"/>
      <c r="M130" s="2"/>
    </row>
    <row r="131">
      <c r="A131" s="1"/>
      <c r="B131" s="2"/>
      <c r="C131" s="2"/>
      <c r="D131" s="2"/>
      <c r="E131" s="2"/>
      <c r="F131" s="4"/>
      <c r="G131" s="2"/>
      <c r="H131" s="2"/>
      <c r="I131" s="1">
        <f>tblAssets[[#This Row],[Current Value]]-tblAssets[[#This Row],[Purchase Value]]</f>
      </c>
      <c r="J131" s="1">
        <f>IFERROR(tblAssets[[#This Row],[Appreciation Amount]]/tblAssets[[#This Row],[Purchase Value]],0)</f>
      </c>
      <c r="K131" s="2"/>
      <c r="L131" s="2"/>
      <c r="M131" s="2"/>
    </row>
    <row r="132">
      <c r="A132" s="1"/>
      <c r="B132" s="2"/>
      <c r="C132" s="2"/>
      <c r="D132" s="2"/>
      <c r="E132" s="2"/>
      <c r="F132" s="4"/>
      <c r="G132" s="2"/>
      <c r="H132" s="2"/>
      <c r="I132" s="1">
        <f>tblAssets[[#This Row],[Current Value]]-tblAssets[[#This Row],[Purchase Value]]</f>
      </c>
      <c r="J132" s="1">
        <f>IFERROR(tblAssets[[#This Row],[Appreciation Amount]]/tblAssets[[#This Row],[Purchase Value]],0)</f>
      </c>
      <c r="K132" s="2"/>
      <c r="L132" s="2"/>
      <c r="M132" s="2"/>
    </row>
    <row r="133">
      <c r="A133" s="1"/>
      <c r="B133" s="2"/>
      <c r="C133" s="2"/>
      <c r="D133" s="2"/>
      <c r="E133" s="2"/>
      <c r="F133" s="4"/>
      <c r="G133" s="2"/>
      <c r="H133" s="2"/>
      <c r="I133" s="1">
        <f>tblAssets[[#This Row],[Current Value]]-tblAssets[[#This Row],[Purchase Value]]</f>
      </c>
      <c r="J133" s="1">
        <f>IFERROR(tblAssets[[#This Row],[Appreciation Amount]]/tblAssets[[#This Row],[Purchase Value]],0)</f>
      </c>
      <c r="K133" s="2"/>
      <c r="L133" s="2"/>
      <c r="M133" s="2"/>
    </row>
    <row r="134">
      <c r="A134" s="1"/>
      <c r="B134" s="2"/>
      <c r="C134" s="2"/>
      <c r="D134" s="2"/>
      <c r="E134" s="2"/>
      <c r="F134" s="4"/>
      <c r="G134" s="2"/>
      <c r="H134" s="2"/>
      <c r="I134" s="1">
        <f>tblAssets[[#This Row],[Current Value]]-tblAssets[[#This Row],[Purchase Value]]</f>
      </c>
      <c r="J134" s="1">
        <f>IFERROR(tblAssets[[#This Row],[Appreciation Amount]]/tblAssets[[#This Row],[Purchase Value]],0)</f>
      </c>
      <c r="K134" s="2"/>
      <c r="L134" s="2"/>
      <c r="M134" s="2"/>
    </row>
    <row r="135">
      <c r="A135" s="1"/>
      <c r="B135" s="2"/>
      <c r="C135" s="2"/>
      <c r="D135" s="2"/>
      <c r="E135" s="2"/>
      <c r="F135" s="4"/>
      <c r="G135" s="2"/>
      <c r="H135" s="2"/>
      <c r="I135" s="1">
        <f>tblAssets[[#This Row],[Current Value]]-tblAssets[[#This Row],[Purchase Value]]</f>
      </c>
      <c r="J135" s="1">
        <f>IFERROR(tblAssets[[#This Row],[Appreciation Amount]]/tblAssets[[#This Row],[Purchase Value]],0)</f>
      </c>
      <c r="K135" s="2"/>
      <c r="L135" s="2"/>
      <c r="M135" s="2"/>
    </row>
    <row r="136">
      <c r="A136" s="1"/>
      <c r="B136" s="2"/>
      <c r="C136" s="2"/>
      <c r="D136" s="2"/>
      <c r="E136" s="2"/>
      <c r="F136" s="4"/>
      <c r="G136" s="2"/>
      <c r="H136" s="2"/>
      <c r="I136" s="1">
        <f>tblAssets[[#This Row],[Current Value]]-tblAssets[[#This Row],[Purchase Value]]</f>
      </c>
      <c r="J136" s="1">
        <f>IFERROR(tblAssets[[#This Row],[Appreciation Amount]]/tblAssets[[#This Row],[Purchase Value]],0)</f>
      </c>
      <c r="K136" s="2"/>
      <c r="L136" s="2"/>
      <c r="M136" s="2"/>
    </row>
    <row r="137">
      <c r="A137" s="1"/>
      <c r="B137" s="2"/>
      <c r="C137" s="2"/>
      <c r="D137" s="2"/>
      <c r="E137" s="2"/>
      <c r="F137" s="4"/>
      <c r="G137" s="2"/>
      <c r="H137" s="2"/>
      <c r="I137" s="1">
        <f>tblAssets[[#This Row],[Current Value]]-tblAssets[[#This Row],[Purchase Value]]</f>
      </c>
      <c r="J137" s="1">
        <f>IFERROR(tblAssets[[#This Row],[Appreciation Amount]]/tblAssets[[#This Row],[Purchase Value]],0)</f>
      </c>
      <c r="K137" s="2"/>
      <c r="L137" s="2"/>
      <c r="M137" s="2"/>
    </row>
    <row r="138">
      <c r="A138" s="1"/>
      <c r="B138" s="2"/>
      <c r="C138" s="2"/>
      <c r="D138" s="2"/>
      <c r="E138" s="2"/>
      <c r="F138" s="4"/>
      <c r="G138" s="2"/>
      <c r="H138" s="2"/>
      <c r="I138" s="1">
        <f>tblAssets[[#This Row],[Current Value]]-tblAssets[[#This Row],[Purchase Value]]</f>
      </c>
      <c r="J138" s="1">
        <f>IFERROR(tblAssets[[#This Row],[Appreciation Amount]]/tblAssets[[#This Row],[Purchase Value]],0)</f>
      </c>
      <c r="K138" s="2"/>
      <c r="L138" s="2"/>
      <c r="M138" s="2"/>
    </row>
    <row r="139">
      <c r="A139" s="1"/>
      <c r="B139" s="2"/>
      <c r="C139" s="2"/>
      <c r="D139" s="2"/>
      <c r="E139" s="2"/>
      <c r="F139" s="4"/>
      <c r="G139" s="2"/>
      <c r="H139" s="2"/>
      <c r="I139" s="1">
        <f>tblAssets[[#This Row],[Current Value]]-tblAssets[[#This Row],[Purchase Value]]</f>
      </c>
      <c r="J139" s="1">
        <f>IFERROR(tblAssets[[#This Row],[Appreciation Amount]]/tblAssets[[#This Row],[Purchase Value]],0)</f>
      </c>
      <c r="K139" s="2"/>
      <c r="L139" s="2"/>
      <c r="M139" s="2"/>
    </row>
    <row r="140">
      <c r="A140" s="1"/>
      <c r="B140" s="2"/>
      <c r="C140" s="2"/>
      <c r="D140" s="2"/>
      <c r="E140" s="2"/>
      <c r="F140" s="4"/>
      <c r="G140" s="2"/>
      <c r="H140" s="2"/>
      <c r="I140" s="1">
        <f>tblAssets[[#This Row],[Current Value]]-tblAssets[[#This Row],[Purchase Value]]</f>
      </c>
      <c r="J140" s="1">
        <f>IFERROR(tblAssets[[#This Row],[Appreciation Amount]]/tblAssets[[#This Row],[Purchase Value]],0)</f>
      </c>
      <c r="K140" s="2"/>
      <c r="L140" s="2"/>
      <c r="M140" s="2"/>
    </row>
    <row r="141">
      <c r="A141" s="1"/>
      <c r="B141" s="2"/>
      <c r="C141" s="2"/>
      <c r="D141" s="2"/>
      <c r="E141" s="2"/>
      <c r="F141" s="4"/>
      <c r="G141" s="2"/>
      <c r="H141" s="2"/>
      <c r="I141" s="1">
        <f>tblAssets[[#This Row],[Current Value]]-tblAssets[[#This Row],[Purchase Value]]</f>
      </c>
      <c r="J141" s="1">
        <f>IFERROR(tblAssets[[#This Row],[Appreciation Amount]]/tblAssets[[#This Row],[Purchase Value]],0)</f>
      </c>
      <c r="K141" s="2"/>
      <c r="L141" s="2"/>
      <c r="M141" s="2"/>
    </row>
    <row r="142">
      <c r="A142" s="1"/>
      <c r="B142" s="2"/>
      <c r="C142" s="2"/>
      <c r="D142" s="2"/>
      <c r="E142" s="2"/>
      <c r="F142" s="4"/>
      <c r="G142" s="2"/>
      <c r="H142" s="2"/>
      <c r="I142" s="1">
        <f>tblAssets[[#This Row],[Current Value]]-tblAssets[[#This Row],[Purchase Value]]</f>
      </c>
      <c r="J142" s="1">
        <f>IFERROR(tblAssets[[#This Row],[Appreciation Amount]]/tblAssets[[#This Row],[Purchase Value]],0)</f>
      </c>
      <c r="K142" s="2"/>
      <c r="L142" s="2"/>
      <c r="M142" s="2"/>
    </row>
    <row r="143">
      <c r="A143" s="1"/>
      <c r="B143" s="2"/>
      <c r="C143" s="2"/>
      <c r="D143" s="2"/>
      <c r="E143" s="2"/>
      <c r="F143" s="4"/>
      <c r="G143" s="2"/>
      <c r="H143" s="2"/>
      <c r="I143" s="1">
        <f>tblAssets[[#This Row],[Current Value]]-tblAssets[[#This Row],[Purchase Value]]</f>
      </c>
      <c r="J143" s="1">
        <f>IFERROR(tblAssets[[#This Row],[Appreciation Amount]]/tblAssets[[#This Row],[Purchase Value]],0)</f>
      </c>
      <c r="K143" s="2"/>
      <c r="L143" s="2"/>
      <c r="M143" s="2"/>
    </row>
    <row r="144">
      <c r="A144" s="1"/>
      <c r="B144" s="2"/>
      <c r="C144" s="2"/>
      <c r="D144" s="2"/>
      <c r="E144" s="2"/>
      <c r="F144" s="4"/>
      <c r="G144" s="2"/>
      <c r="H144" s="2"/>
      <c r="I144" s="1">
        <f>tblAssets[[#This Row],[Current Value]]-tblAssets[[#This Row],[Purchase Value]]</f>
      </c>
      <c r="J144" s="1">
        <f>IFERROR(tblAssets[[#This Row],[Appreciation Amount]]/tblAssets[[#This Row],[Purchase Value]],0)</f>
      </c>
      <c r="K144" s="2"/>
      <c r="L144" s="2"/>
      <c r="M144" s="2"/>
    </row>
    <row r="145">
      <c r="A145" s="1"/>
      <c r="B145" s="2"/>
      <c r="C145" s="2"/>
      <c r="D145" s="2"/>
      <c r="E145" s="2"/>
      <c r="F145" s="4"/>
      <c r="G145" s="2"/>
      <c r="H145" s="2"/>
      <c r="I145" s="1">
        <f>tblAssets[[#This Row],[Current Value]]-tblAssets[[#This Row],[Purchase Value]]</f>
      </c>
      <c r="J145" s="1">
        <f>IFERROR(tblAssets[[#This Row],[Appreciation Amount]]/tblAssets[[#This Row],[Purchase Value]],0)</f>
      </c>
      <c r="K145" s="2"/>
      <c r="L145" s="2"/>
      <c r="M145" s="2"/>
    </row>
    <row r="146">
      <c r="A146" s="1"/>
      <c r="B146" s="2"/>
      <c r="C146" s="2"/>
      <c r="D146" s="2"/>
      <c r="E146" s="2"/>
      <c r="F146" s="4"/>
      <c r="G146" s="2"/>
      <c r="H146" s="2"/>
      <c r="I146" s="1">
        <f>tblAssets[[#This Row],[Current Value]]-tblAssets[[#This Row],[Purchase Value]]</f>
      </c>
      <c r="J146" s="1">
        <f>IFERROR(tblAssets[[#This Row],[Appreciation Amount]]/tblAssets[[#This Row],[Purchase Value]],0)</f>
      </c>
      <c r="K146" s="2"/>
      <c r="L146" s="2"/>
      <c r="M146" s="2"/>
    </row>
    <row r="147">
      <c r="A147" s="1"/>
      <c r="B147" s="2"/>
      <c r="C147" s="2"/>
      <c r="D147" s="2"/>
      <c r="E147" s="2"/>
      <c r="F147" s="4"/>
      <c r="G147" s="2"/>
      <c r="H147" s="2"/>
      <c r="I147" s="1">
        <f>tblAssets[[#This Row],[Current Value]]-tblAssets[[#This Row],[Purchase Value]]</f>
      </c>
      <c r="J147" s="1">
        <f>IFERROR(tblAssets[[#This Row],[Appreciation Amount]]/tblAssets[[#This Row],[Purchase Value]],0)</f>
      </c>
      <c r="K147" s="2"/>
      <c r="L147" s="2"/>
      <c r="M147" s="2"/>
    </row>
    <row r="148">
      <c r="A148" s="1"/>
      <c r="B148" s="2"/>
      <c r="C148" s="2"/>
      <c r="D148" s="2"/>
      <c r="E148" s="2"/>
      <c r="F148" s="4"/>
      <c r="G148" s="2"/>
      <c r="H148" s="2"/>
      <c r="I148" s="1">
        <f>tblAssets[[#This Row],[Current Value]]-tblAssets[[#This Row],[Purchase Value]]</f>
      </c>
      <c r="J148" s="1">
        <f>IFERROR(tblAssets[[#This Row],[Appreciation Amount]]/tblAssets[[#This Row],[Purchase Value]],0)</f>
      </c>
      <c r="K148" s="2"/>
      <c r="L148" s="2"/>
      <c r="M148" s="2"/>
    </row>
    <row r="149">
      <c r="A149" s="1"/>
      <c r="B149" s="2"/>
      <c r="C149" s="2"/>
      <c r="D149" s="2"/>
      <c r="E149" s="2"/>
      <c r="F149" s="4"/>
      <c r="G149" s="2"/>
      <c r="H149" s="2"/>
      <c r="I149" s="1">
        <f>tblAssets[[#This Row],[Current Value]]-tblAssets[[#This Row],[Purchase Value]]</f>
      </c>
      <c r="J149" s="1">
        <f>IFERROR(tblAssets[[#This Row],[Appreciation Amount]]/tblAssets[[#This Row],[Purchase Value]],0)</f>
      </c>
      <c r="K149" s="2"/>
      <c r="L149" s="2"/>
      <c r="M149" s="2"/>
    </row>
    <row r="150">
      <c r="A150" s="1"/>
      <c r="B150" s="2"/>
      <c r="C150" s="2"/>
      <c r="D150" s="2"/>
      <c r="E150" s="2"/>
      <c r="F150" s="4"/>
      <c r="G150" s="2"/>
      <c r="H150" s="2"/>
      <c r="I150" s="1">
        <f>tblAssets[[#This Row],[Current Value]]-tblAssets[[#This Row],[Purchase Value]]</f>
      </c>
      <c r="J150" s="1">
        <f>IFERROR(tblAssets[[#This Row],[Appreciation Amount]]/tblAssets[[#This Row],[Purchase Value]],0)</f>
      </c>
      <c r="K150" s="2"/>
      <c r="L150" s="2"/>
      <c r="M150" s="2"/>
    </row>
    <row r="151">
      <c r="A151" s="1"/>
      <c r="B151" s="2"/>
      <c r="C151" s="2"/>
      <c r="D151" s="2"/>
      <c r="E151" s="2"/>
      <c r="F151" s="4"/>
      <c r="G151" s="2"/>
      <c r="H151" s="2"/>
      <c r="I151" s="1">
        <f>tblAssets[[#This Row],[Current Value]]-tblAssets[[#This Row],[Purchase Value]]</f>
      </c>
      <c r="J151" s="1">
        <f>IFERROR(tblAssets[[#This Row],[Appreciation Amount]]/tblAssets[[#This Row],[Purchase Value]],0)</f>
      </c>
      <c r="K151" s="2"/>
      <c r="L151" s="2"/>
      <c r="M151" s="2"/>
    </row>
    <row r="152">
      <c r="A152" s="1"/>
      <c r="B152" s="2"/>
      <c r="C152" s="2"/>
      <c r="D152" s="2"/>
      <c r="E152" s="2"/>
      <c r="F152" s="4"/>
      <c r="G152" s="2"/>
      <c r="H152" s="2"/>
      <c r="I152" s="1">
        <f>tblAssets[[#This Row],[Current Value]]-tblAssets[[#This Row],[Purchase Value]]</f>
      </c>
      <c r="J152" s="1">
        <f>IFERROR(tblAssets[[#This Row],[Appreciation Amount]]/tblAssets[[#This Row],[Purchase Value]],0)</f>
      </c>
      <c r="K152" s="2"/>
      <c r="L152" s="2"/>
      <c r="M152" s="2"/>
    </row>
    <row r="153">
      <c r="A153" s="1"/>
      <c r="B153" s="2"/>
      <c r="C153" s="2"/>
      <c r="D153" s="2"/>
      <c r="E153" s="2"/>
      <c r="F153" s="4"/>
      <c r="G153" s="2"/>
      <c r="H153" s="2"/>
      <c r="I153" s="1">
        <f>tblAssets[[#This Row],[Current Value]]-tblAssets[[#This Row],[Purchase Value]]</f>
      </c>
      <c r="J153" s="1">
        <f>IFERROR(tblAssets[[#This Row],[Appreciation Amount]]/tblAssets[[#This Row],[Purchase Value]],0)</f>
      </c>
      <c r="K153" s="2"/>
      <c r="L153" s="2"/>
      <c r="M153" s="2"/>
    </row>
    <row r="154">
      <c r="A154" s="1"/>
      <c r="B154" s="2"/>
      <c r="C154" s="2"/>
      <c r="D154" s="2"/>
      <c r="E154" s="2"/>
      <c r="F154" s="4"/>
      <c r="G154" s="2"/>
      <c r="H154" s="2"/>
      <c r="I154" s="1">
        <f>tblAssets[[#This Row],[Current Value]]-tblAssets[[#This Row],[Purchase Value]]</f>
      </c>
      <c r="J154" s="1">
        <f>IFERROR(tblAssets[[#This Row],[Appreciation Amount]]/tblAssets[[#This Row],[Purchase Value]],0)</f>
      </c>
      <c r="K154" s="2"/>
      <c r="L154" s="2"/>
      <c r="M154" s="2"/>
    </row>
    <row r="155">
      <c r="A155" s="1"/>
      <c r="B155" s="2"/>
      <c r="C155" s="2"/>
      <c r="D155" s="2"/>
      <c r="E155" s="2"/>
      <c r="F155" s="4"/>
      <c r="G155" s="2"/>
      <c r="H155" s="2"/>
      <c r="I155" s="1">
        <f>tblAssets[[#This Row],[Current Value]]-tblAssets[[#This Row],[Purchase Value]]</f>
      </c>
      <c r="J155" s="1">
        <f>IFERROR(tblAssets[[#This Row],[Appreciation Amount]]/tblAssets[[#This Row],[Purchase Value]],0)</f>
      </c>
      <c r="K155" s="2"/>
      <c r="L155" s="2"/>
      <c r="M155" s="2"/>
    </row>
    <row r="156">
      <c r="A156" s="1"/>
      <c r="B156" s="2"/>
      <c r="C156" s="2"/>
      <c r="D156" s="2"/>
      <c r="E156" s="2"/>
      <c r="F156" s="4"/>
      <c r="G156" s="2"/>
      <c r="H156" s="2"/>
      <c r="I156" s="1">
        <f>tblAssets[[#This Row],[Current Value]]-tblAssets[[#This Row],[Purchase Value]]</f>
      </c>
      <c r="J156" s="1">
        <f>IFERROR(tblAssets[[#This Row],[Appreciation Amount]]/tblAssets[[#This Row],[Purchase Value]],0)</f>
      </c>
      <c r="K156" s="2"/>
      <c r="L156" s="2"/>
      <c r="M156" s="2"/>
    </row>
    <row r="157">
      <c r="A157" s="1"/>
      <c r="B157" s="2"/>
      <c r="C157" s="2"/>
      <c r="D157" s="2"/>
      <c r="E157" s="2"/>
      <c r="F157" s="4"/>
      <c r="G157" s="2"/>
      <c r="H157" s="2"/>
      <c r="I157" s="1">
        <f>tblAssets[[#This Row],[Current Value]]-tblAssets[[#This Row],[Purchase Value]]</f>
      </c>
      <c r="J157" s="1">
        <f>IFERROR(tblAssets[[#This Row],[Appreciation Amount]]/tblAssets[[#This Row],[Purchase Value]],0)</f>
      </c>
      <c r="K157" s="2"/>
      <c r="L157" s="2"/>
      <c r="M157" s="2"/>
    </row>
    <row r="158">
      <c r="A158" s="1"/>
      <c r="B158" s="2"/>
      <c r="C158" s="2"/>
      <c r="D158" s="2"/>
      <c r="E158" s="2"/>
      <c r="F158" s="4"/>
      <c r="G158" s="2"/>
      <c r="H158" s="2"/>
      <c r="I158" s="1">
        <f>tblAssets[[#This Row],[Current Value]]-tblAssets[[#This Row],[Purchase Value]]</f>
      </c>
      <c r="J158" s="1">
        <f>IFERROR(tblAssets[[#This Row],[Appreciation Amount]]/tblAssets[[#This Row],[Purchase Value]],0)</f>
      </c>
      <c r="K158" s="2"/>
      <c r="L158" s="2"/>
      <c r="M158" s="2"/>
    </row>
    <row r="159">
      <c r="A159" s="1"/>
      <c r="B159" s="2"/>
      <c r="C159" s="2"/>
      <c r="D159" s="2"/>
      <c r="E159" s="2"/>
      <c r="F159" s="4"/>
      <c r="G159" s="2"/>
      <c r="H159" s="2"/>
      <c r="I159" s="1">
        <f>tblAssets[[#This Row],[Current Value]]-tblAssets[[#This Row],[Purchase Value]]</f>
      </c>
      <c r="J159" s="1">
        <f>IFERROR(tblAssets[[#This Row],[Appreciation Amount]]/tblAssets[[#This Row],[Purchase Value]],0)</f>
      </c>
      <c r="K159" s="2"/>
      <c r="L159" s="2"/>
      <c r="M159" s="2"/>
    </row>
    <row r="160">
      <c r="A160" s="1"/>
      <c r="B160" s="2"/>
      <c r="C160" s="2"/>
      <c r="D160" s="2"/>
      <c r="E160" s="2"/>
      <c r="F160" s="4"/>
      <c r="G160" s="2"/>
      <c r="H160" s="2"/>
      <c r="I160" s="1">
        <f>tblAssets[[#This Row],[Current Value]]-tblAssets[[#This Row],[Purchase Value]]</f>
      </c>
      <c r="J160" s="1">
        <f>IFERROR(tblAssets[[#This Row],[Appreciation Amount]]/tblAssets[[#This Row],[Purchase Value]],0)</f>
      </c>
      <c r="K160" s="2"/>
      <c r="L160" s="2"/>
      <c r="M160" s="2"/>
    </row>
    <row r="161">
      <c r="A161" s="1"/>
      <c r="B161" s="2"/>
      <c r="C161" s="2"/>
      <c r="D161" s="2"/>
      <c r="E161" s="2"/>
      <c r="F161" s="4"/>
      <c r="G161" s="2"/>
      <c r="H161" s="2"/>
      <c r="I161" s="1">
        <f>tblAssets[[#This Row],[Current Value]]-tblAssets[[#This Row],[Purchase Value]]</f>
      </c>
      <c r="J161" s="1">
        <f>IFERROR(tblAssets[[#This Row],[Appreciation Amount]]/tblAssets[[#This Row],[Purchase Value]],0)</f>
      </c>
      <c r="K161" s="2"/>
      <c r="L161" s="2"/>
      <c r="M161" s="2"/>
    </row>
    <row r="162">
      <c r="A162" s="1"/>
      <c r="B162" s="2"/>
      <c r="C162" s="2"/>
      <c r="D162" s="2"/>
      <c r="E162" s="2"/>
      <c r="F162" s="4"/>
      <c r="G162" s="2"/>
      <c r="H162" s="2"/>
      <c r="I162" s="1">
        <f>tblAssets[[#This Row],[Current Value]]-tblAssets[[#This Row],[Purchase Value]]</f>
      </c>
      <c r="J162" s="1">
        <f>IFERROR(tblAssets[[#This Row],[Appreciation Amount]]/tblAssets[[#This Row],[Purchase Value]],0)</f>
      </c>
      <c r="K162" s="2"/>
      <c r="L162" s="2"/>
      <c r="M162" s="2"/>
    </row>
    <row r="163">
      <c r="A163" s="1"/>
      <c r="B163" s="2"/>
      <c r="C163" s="2"/>
      <c r="D163" s="2"/>
      <c r="E163" s="2"/>
      <c r="F163" s="4"/>
      <c r="G163" s="2"/>
      <c r="H163" s="2"/>
      <c r="I163" s="1">
        <f>tblAssets[[#This Row],[Current Value]]-tblAssets[[#This Row],[Purchase Value]]</f>
      </c>
      <c r="J163" s="1">
        <f>IFERROR(tblAssets[[#This Row],[Appreciation Amount]]/tblAssets[[#This Row],[Purchase Value]],0)</f>
      </c>
      <c r="K163" s="2"/>
      <c r="L163" s="2"/>
      <c r="M163" s="2"/>
    </row>
    <row r="164">
      <c r="A164" s="1"/>
      <c r="B164" s="2"/>
      <c r="C164" s="2"/>
      <c r="D164" s="2"/>
      <c r="E164" s="2"/>
      <c r="F164" s="4"/>
      <c r="G164" s="2"/>
      <c r="H164" s="2"/>
      <c r="I164" s="1">
        <f>tblAssets[[#This Row],[Current Value]]-tblAssets[[#This Row],[Purchase Value]]</f>
      </c>
      <c r="J164" s="1">
        <f>IFERROR(tblAssets[[#This Row],[Appreciation Amount]]/tblAssets[[#This Row],[Purchase Value]],0)</f>
      </c>
      <c r="K164" s="2"/>
      <c r="L164" s="2"/>
      <c r="M164" s="2"/>
    </row>
    <row r="165">
      <c r="A165" s="1"/>
      <c r="B165" s="2"/>
      <c r="C165" s="2"/>
      <c r="D165" s="2"/>
      <c r="E165" s="2"/>
      <c r="F165" s="4"/>
      <c r="G165" s="2"/>
      <c r="H165" s="2"/>
      <c r="I165" s="1">
        <f>tblAssets[[#This Row],[Current Value]]-tblAssets[[#This Row],[Purchase Value]]</f>
      </c>
      <c r="J165" s="1">
        <f>IFERROR(tblAssets[[#This Row],[Appreciation Amount]]/tblAssets[[#This Row],[Purchase Value]],0)</f>
      </c>
      <c r="K165" s="2"/>
      <c r="L165" s="2"/>
      <c r="M165" s="2"/>
    </row>
    <row r="166">
      <c r="A166" s="1"/>
      <c r="B166" s="2"/>
      <c r="C166" s="2"/>
      <c r="D166" s="2"/>
      <c r="E166" s="2"/>
      <c r="F166" s="4"/>
      <c r="G166" s="2"/>
      <c r="H166" s="2"/>
      <c r="I166" s="1">
        <f>tblAssets[[#This Row],[Current Value]]-tblAssets[[#This Row],[Purchase Value]]</f>
      </c>
      <c r="J166" s="1">
        <f>IFERROR(tblAssets[[#This Row],[Appreciation Amount]]/tblAssets[[#This Row],[Purchase Value]],0)</f>
      </c>
      <c r="K166" s="2"/>
      <c r="L166" s="2"/>
      <c r="M166" s="2"/>
    </row>
    <row r="167">
      <c r="A167" s="1"/>
      <c r="B167" s="2"/>
      <c r="C167" s="2"/>
      <c r="D167" s="2"/>
      <c r="E167" s="2"/>
      <c r="F167" s="4"/>
      <c r="G167" s="2"/>
      <c r="H167" s="2"/>
      <c r="I167" s="1">
        <f>tblAssets[[#This Row],[Current Value]]-tblAssets[[#This Row],[Purchase Value]]</f>
      </c>
      <c r="J167" s="1">
        <f>IFERROR(tblAssets[[#This Row],[Appreciation Amount]]/tblAssets[[#This Row],[Purchase Value]],0)</f>
      </c>
      <c r="K167" s="2"/>
      <c r="L167" s="2"/>
      <c r="M167" s="2"/>
    </row>
    <row r="168">
      <c r="A168" s="1"/>
      <c r="B168" s="2"/>
      <c r="C168" s="2"/>
      <c r="D168" s="2"/>
      <c r="E168" s="2"/>
      <c r="F168" s="4"/>
      <c r="G168" s="2"/>
      <c r="H168" s="2"/>
      <c r="I168" s="1">
        <f>tblAssets[[#This Row],[Current Value]]-tblAssets[[#This Row],[Purchase Value]]</f>
      </c>
      <c r="J168" s="1">
        <f>IFERROR(tblAssets[[#This Row],[Appreciation Amount]]/tblAssets[[#This Row],[Purchase Value]],0)</f>
      </c>
      <c r="K168" s="2"/>
      <c r="L168" s="2"/>
      <c r="M168" s="2"/>
    </row>
    <row r="169">
      <c r="A169" s="1"/>
      <c r="B169" s="2"/>
      <c r="C169" s="2"/>
      <c r="D169" s="2"/>
      <c r="E169" s="2"/>
      <c r="F169" s="4"/>
      <c r="G169" s="2"/>
      <c r="H169" s="2"/>
      <c r="I169" s="1">
        <f>tblAssets[[#This Row],[Current Value]]-tblAssets[[#This Row],[Purchase Value]]</f>
      </c>
      <c r="J169" s="1">
        <f>IFERROR(tblAssets[[#This Row],[Appreciation Amount]]/tblAssets[[#This Row],[Purchase Value]],0)</f>
      </c>
      <c r="K169" s="2"/>
      <c r="L169" s="2"/>
      <c r="M169" s="2"/>
    </row>
    <row r="170">
      <c r="A170" s="1"/>
      <c r="B170" s="2"/>
      <c r="C170" s="2"/>
      <c r="D170" s="2"/>
      <c r="E170" s="2"/>
      <c r="F170" s="4"/>
      <c r="G170" s="2"/>
      <c r="H170" s="2"/>
      <c r="I170" s="1">
        <f>tblAssets[[#This Row],[Current Value]]-tblAssets[[#This Row],[Purchase Value]]</f>
      </c>
      <c r="J170" s="1">
        <f>IFERROR(tblAssets[[#This Row],[Appreciation Amount]]/tblAssets[[#This Row],[Purchase Value]],0)</f>
      </c>
      <c r="K170" s="2"/>
      <c r="L170" s="2"/>
      <c r="M170" s="2"/>
    </row>
    <row r="171">
      <c r="A171" s="1"/>
      <c r="B171" s="2"/>
      <c r="C171" s="2"/>
      <c r="D171" s="2"/>
      <c r="E171" s="2"/>
      <c r="F171" s="4"/>
      <c r="G171" s="2"/>
      <c r="H171" s="2"/>
      <c r="I171" s="1">
        <f>tblAssets[[#This Row],[Current Value]]-tblAssets[[#This Row],[Purchase Value]]</f>
      </c>
      <c r="J171" s="1">
        <f>IFERROR(tblAssets[[#This Row],[Appreciation Amount]]/tblAssets[[#This Row],[Purchase Value]],0)</f>
      </c>
      <c r="K171" s="2"/>
      <c r="L171" s="2"/>
      <c r="M171" s="2"/>
    </row>
    <row r="172">
      <c r="A172" s="1"/>
      <c r="B172" s="2"/>
      <c r="C172" s="2"/>
      <c r="D172" s="2"/>
      <c r="E172" s="2"/>
      <c r="F172" s="4"/>
      <c r="G172" s="2"/>
      <c r="H172" s="2"/>
      <c r="I172" s="1">
        <f>tblAssets[[#This Row],[Current Value]]-tblAssets[[#This Row],[Purchase Value]]</f>
      </c>
      <c r="J172" s="1">
        <f>IFERROR(tblAssets[[#This Row],[Appreciation Amount]]/tblAssets[[#This Row],[Purchase Value]],0)</f>
      </c>
      <c r="K172" s="2"/>
      <c r="L172" s="2"/>
      <c r="M172" s="2"/>
    </row>
    <row r="173">
      <c r="A173" s="1"/>
      <c r="B173" s="2"/>
      <c r="C173" s="2"/>
      <c r="D173" s="2"/>
      <c r="E173" s="2"/>
      <c r="F173" s="4"/>
      <c r="G173" s="2"/>
      <c r="H173" s="2"/>
      <c r="I173" s="1">
        <f>tblAssets[[#This Row],[Current Value]]-tblAssets[[#This Row],[Purchase Value]]</f>
      </c>
      <c r="J173" s="1">
        <f>IFERROR(tblAssets[[#This Row],[Appreciation Amount]]/tblAssets[[#This Row],[Purchase Value]],0)</f>
      </c>
      <c r="K173" s="2"/>
      <c r="L173" s="2"/>
      <c r="M173" s="2"/>
    </row>
    <row r="174">
      <c r="A174" s="1"/>
      <c r="B174" s="2"/>
      <c r="C174" s="2"/>
      <c r="D174" s="2"/>
      <c r="E174" s="2"/>
      <c r="F174" s="4"/>
      <c r="G174" s="2"/>
      <c r="H174" s="2"/>
      <c r="I174" s="1">
        <f>tblAssets[[#This Row],[Current Value]]-tblAssets[[#This Row],[Purchase Value]]</f>
      </c>
      <c r="J174" s="1">
        <f>IFERROR(tblAssets[[#This Row],[Appreciation Amount]]/tblAssets[[#This Row],[Purchase Value]],0)</f>
      </c>
      <c r="K174" s="2"/>
      <c r="L174" s="2"/>
      <c r="M174" s="2"/>
    </row>
    <row r="175">
      <c r="A175" s="1"/>
      <c r="B175" s="2"/>
      <c r="C175" s="2"/>
      <c r="D175" s="2"/>
      <c r="E175" s="2"/>
      <c r="F175" s="4"/>
      <c r="G175" s="2"/>
      <c r="H175" s="2"/>
      <c r="I175" s="1">
        <f>tblAssets[[#This Row],[Current Value]]-tblAssets[[#This Row],[Purchase Value]]</f>
      </c>
      <c r="J175" s="1">
        <f>IFERROR(tblAssets[[#This Row],[Appreciation Amount]]/tblAssets[[#This Row],[Purchase Value]],0)</f>
      </c>
      <c r="K175" s="2"/>
      <c r="L175" s="2"/>
      <c r="M175" s="2"/>
    </row>
    <row r="176">
      <c r="A176" s="1"/>
      <c r="B176" s="2"/>
      <c r="C176" s="2"/>
      <c r="D176" s="2"/>
      <c r="E176" s="2"/>
      <c r="F176" s="4"/>
      <c r="G176" s="2"/>
      <c r="H176" s="2"/>
      <c r="I176" s="1">
        <f>tblAssets[[#This Row],[Current Value]]-tblAssets[[#This Row],[Purchase Value]]</f>
      </c>
      <c r="J176" s="1">
        <f>IFERROR(tblAssets[[#This Row],[Appreciation Amount]]/tblAssets[[#This Row],[Purchase Value]],0)</f>
      </c>
      <c r="K176" s="2"/>
      <c r="L176" s="2"/>
      <c r="M176" s="2"/>
    </row>
    <row r="177">
      <c r="A177" s="1"/>
      <c r="B177" s="2"/>
      <c r="C177" s="2"/>
      <c r="D177" s="2"/>
      <c r="E177" s="2"/>
      <c r="F177" s="4"/>
      <c r="G177" s="2"/>
      <c r="H177" s="2"/>
      <c r="I177" s="1">
        <f>tblAssets[[#This Row],[Current Value]]-tblAssets[[#This Row],[Purchase Value]]</f>
      </c>
      <c r="J177" s="1">
        <f>IFERROR(tblAssets[[#This Row],[Appreciation Amount]]/tblAssets[[#This Row],[Purchase Value]],0)</f>
      </c>
      <c r="K177" s="2"/>
      <c r="L177" s="2"/>
      <c r="M177" s="2"/>
    </row>
    <row r="178">
      <c r="A178" s="1"/>
      <c r="B178" s="2"/>
      <c r="C178" s="2"/>
      <c r="D178" s="2"/>
      <c r="E178" s="2"/>
      <c r="F178" s="4"/>
      <c r="G178" s="2"/>
      <c r="H178" s="2"/>
      <c r="I178" s="1">
        <f>tblAssets[[#This Row],[Current Value]]-tblAssets[[#This Row],[Purchase Value]]</f>
      </c>
      <c r="J178" s="1">
        <f>IFERROR(tblAssets[[#This Row],[Appreciation Amount]]/tblAssets[[#This Row],[Purchase Value]],0)</f>
      </c>
      <c r="K178" s="2"/>
      <c r="L178" s="2"/>
      <c r="M178" s="2"/>
    </row>
    <row r="179">
      <c r="A179" s="1"/>
      <c r="B179" s="2"/>
      <c r="C179" s="2"/>
      <c r="D179" s="2"/>
      <c r="E179" s="2"/>
      <c r="F179" s="4"/>
      <c r="G179" s="2"/>
      <c r="H179" s="2"/>
      <c r="I179" s="1">
        <f>tblAssets[[#This Row],[Current Value]]-tblAssets[[#This Row],[Purchase Value]]</f>
      </c>
      <c r="J179" s="1">
        <f>IFERROR(tblAssets[[#This Row],[Appreciation Amount]]/tblAssets[[#This Row],[Purchase Value]],0)</f>
      </c>
      <c r="K179" s="2"/>
      <c r="L179" s="2"/>
      <c r="M179" s="2"/>
    </row>
    <row r="180">
      <c r="A180" s="1"/>
      <c r="B180" s="2"/>
      <c r="C180" s="2"/>
      <c r="D180" s="2"/>
      <c r="E180" s="2"/>
      <c r="F180" s="4"/>
      <c r="G180" s="2"/>
      <c r="H180" s="2"/>
      <c r="I180" s="1">
        <f>tblAssets[[#This Row],[Current Value]]-tblAssets[[#This Row],[Purchase Value]]</f>
      </c>
      <c r="J180" s="1">
        <f>IFERROR(tblAssets[[#This Row],[Appreciation Amount]]/tblAssets[[#This Row],[Purchase Value]],0)</f>
      </c>
      <c r="K180" s="2"/>
      <c r="L180" s="2"/>
      <c r="M180" s="2"/>
    </row>
    <row r="181">
      <c r="A181" s="1"/>
      <c r="B181" s="2"/>
      <c r="C181" s="2"/>
      <c r="D181" s="2"/>
      <c r="E181" s="2"/>
      <c r="F181" s="4"/>
      <c r="G181" s="2"/>
      <c r="H181" s="2"/>
      <c r="I181" s="1">
        <f>tblAssets[[#This Row],[Current Value]]-tblAssets[[#This Row],[Purchase Value]]</f>
      </c>
      <c r="J181" s="1">
        <f>IFERROR(tblAssets[[#This Row],[Appreciation Amount]]/tblAssets[[#This Row],[Purchase Value]],0)</f>
      </c>
      <c r="K181" s="2"/>
      <c r="L181" s="2"/>
      <c r="M181" s="2"/>
    </row>
    <row r="182">
      <c r="A182" s="1"/>
      <c r="B182" s="2"/>
      <c r="C182" s="2"/>
      <c r="D182" s="2"/>
      <c r="E182" s="2"/>
      <c r="F182" s="4"/>
      <c r="G182" s="2"/>
      <c r="H182" s="2"/>
      <c r="I182" s="1">
        <f>tblAssets[[#This Row],[Current Value]]-tblAssets[[#This Row],[Purchase Value]]</f>
      </c>
      <c r="J182" s="1">
        <f>IFERROR(tblAssets[[#This Row],[Appreciation Amount]]/tblAssets[[#This Row],[Purchase Value]],0)</f>
      </c>
      <c r="K182" s="2"/>
      <c r="L182" s="2"/>
      <c r="M182" s="2"/>
    </row>
    <row r="183">
      <c r="A183" s="1"/>
      <c r="B183" s="2"/>
      <c r="C183" s="2"/>
      <c r="D183" s="2"/>
      <c r="E183" s="2"/>
      <c r="F183" s="4"/>
      <c r="G183" s="2"/>
      <c r="H183" s="2"/>
      <c r="I183" s="1">
        <f>tblAssets[[#This Row],[Current Value]]-tblAssets[[#This Row],[Purchase Value]]</f>
      </c>
      <c r="J183" s="1">
        <f>IFERROR(tblAssets[[#This Row],[Appreciation Amount]]/tblAssets[[#This Row],[Purchase Value]],0)</f>
      </c>
      <c r="K183" s="2"/>
      <c r="L183" s="2"/>
      <c r="M183" s="2"/>
    </row>
    <row r="184">
      <c r="A184" s="1"/>
      <c r="B184" s="2"/>
      <c r="C184" s="2"/>
      <c r="D184" s="2"/>
      <c r="E184" s="2"/>
      <c r="F184" s="4"/>
      <c r="G184" s="2"/>
      <c r="H184" s="2"/>
      <c r="I184" s="1">
        <f>tblAssets[[#This Row],[Current Value]]-tblAssets[[#This Row],[Purchase Value]]</f>
      </c>
      <c r="J184" s="1">
        <f>IFERROR(tblAssets[[#This Row],[Appreciation Amount]]/tblAssets[[#This Row],[Purchase Value]],0)</f>
      </c>
      <c r="K184" s="2"/>
      <c r="L184" s="2"/>
      <c r="M184" s="2"/>
    </row>
    <row r="185">
      <c r="A185" s="1"/>
      <c r="B185" s="2"/>
      <c r="C185" s="2"/>
      <c r="D185" s="2"/>
      <c r="E185" s="2"/>
      <c r="F185" s="4"/>
      <c r="G185" s="2"/>
      <c r="H185" s="2"/>
      <c r="I185" s="1">
        <f>tblAssets[[#This Row],[Current Value]]-tblAssets[[#This Row],[Purchase Value]]</f>
      </c>
      <c r="J185" s="1">
        <f>IFERROR(tblAssets[[#This Row],[Appreciation Amount]]/tblAssets[[#This Row],[Purchase Value]],0)</f>
      </c>
      <c r="K185" s="2"/>
      <c r="L185" s="2"/>
      <c r="M185" s="2"/>
    </row>
    <row r="186">
      <c r="A186" s="1"/>
      <c r="B186" s="2"/>
      <c r="C186" s="2"/>
      <c r="D186" s="2"/>
      <c r="E186" s="2"/>
      <c r="F186" s="4"/>
      <c r="G186" s="2"/>
      <c r="H186" s="2"/>
      <c r="I186" s="1">
        <f>tblAssets[[#This Row],[Current Value]]-tblAssets[[#This Row],[Purchase Value]]</f>
      </c>
      <c r="J186" s="1">
        <f>IFERROR(tblAssets[[#This Row],[Appreciation Amount]]/tblAssets[[#This Row],[Purchase Value]],0)</f>
      </c>
      <c r="K186" s="2"/>
      <c r="L186" s="2"/>
      <c r="M186" s="2"/>
    </row>
    <row r="187">
      <c r="A187" s="1"/>
      <c r="B187" s="2"/>
      <c r="C187" s="2"/>
      <c r="D187" s="2"/>
      <c r="E187" s="2"/>
      <c r="F187" s="4"/>
      <c r="G187" s="2"/>
      <c r="H187" s="2"/>
      <c r="I187" s="1">
        <f>tblAssets[[#This Row],[Current Value]]-tblAssets[[#This Row],[Purchase Value]]</f>
      </c>
      <c r="J187" s="1">
        <f>IFERROR(tblAssets[[#This Row],[Appreciation Amount]]/tblAssets[[#This Row],[Purchase Value]],0)</f>
      </c>
      <c r="K187" s="2"/>
      <c r="L187" s="2"/>
      <c r="M187" s="2"/>
    </row>
    <row r="188">
      <c r="A188" s="1"/>
      <c r="B188" s="2"/>
      <c r="C188" s="2"/>
      <c r="D188" s="2"/>
      <c r="E188" s="2"/>
      <c r="F188" s="4"/>
      <c r="G188" s="2"/>
      <c r="H188" s="2"/>
      <c r="I188" s="1">
        <f>tblAssets[[#This Row],[Current Value]]-tblAssets[[#This Row],[Purchase Value]]</f>
      </c>
      <c r="J188" s="1">
        <f>IFERROR(tblAssets[[#This Row],[Appreciation Amount]]/tblAssets[[#This Row],[Purchase Value]],0)</f>
      </c>
      <c r="K188" s="2"/>
      <c r="L188" s="2"/>
      <c r="M188" s="2"/>
    </row>
    <row r="189">
      <c r="A189" s="1"/>
      <c r="B189" s="2"/>
      <c r="C189" s="2"/>
      <c r="D189" s="2"/>
      <c r="E189" s="2"/>
      <c r="F189" s="4"/>
      <c r="G189" s="2"/>
      <c r="H189" s="2"/>
      <c r="I189" s="1">
        <f>tblAssets[[#This Row],[Current Value]]-tblAssets[[#This Row],[Purchase Value]]</f>
      </c>
      <c r="J189" s="1">
        <f>IFERROR(tblAssets[[#This Row],[Appreciation Amount]]/tblAssets[[#This Row],[Purchase Value]],0)</f>
      </c>
      <c r="K189" s="2"/>
      <c r="L189" s="2"/>
      <c r="M189" s="2"/>
    </row>
    <row r="190">
      <c r="A190" s="1"/>
      <c r="B190" s="2"/>
      <c r="C190" s="2"/>
      <c r="D190" s="2"/>
      <c r="E190" s="2"/>
      <c r="F190" s="4"/>
      <c r="G190" s="2"/>
      <c r="H190" s="2"/>
      <c r="I190" s="1">
        <f>tblAssets[[#This Row],[Current Value]]-tblAssets[[#This Row],[Purchase Value]]</f>
      </c>
      <c r="J190" s="1">
        <f>IFERROR(tblAssets[[#This Row],[Appreciation Amount]]/tblAssets[[#This Row],[Purchase Value]],0)</f>
      </c>
      <c r="K190" s="2"/>
      <c r="L190" s="2"/>
      <c r="M190" s="2"/>
    </row>
    <row r="191">
      <c r="A191" s="1"/>
      <c r="B191" s="2"/>
      <c r="C191" s="2"/>
      <c r="D191" s="2"/>
      <c r="E191" s="2"/>
      <c r="F191" s="4"/>
      <c r="G191" s="2"/>
      <c r="H191" s="2"/>
      <c r="I191" s="1">
        <f>tblAssets[[#This Row],[Current Value]]-tblAssets[[#This Row],[Purchase Value]]</f>
      </c>
      <c r="J191" s="1">
        <f>IFERROR(tblAssets[[#This Row],[Appreciation Amount]]/tblAssets[[#This Row],[Purchase Value]],0)</f>
      </c>
      <c r="K191" s="2"/>
      <c r="L191" s="2"/>
      <c r="M191" s="2"/>
    </row>
    <row r="192">
      <c r="A192" s="1"/>
      <c r="B192" s="2"/>
      <c r="C192" s="2"/>
      <c r="D192" s="2"/>
      <c r="E192" s="2"/>
      <c r="F192" s="4"/>
      <c r="G192" s="2"/>
      <c r="H192" s="2"/>
      <c r="I192" s="1">
        <f>tblAssets[[#This Row],[Current Value]]-tblAssets[[#This Row],[Purchase Value]]</f>
      </c>
      <c r="J192" s="1">
        <f>IFERROR(tblAssets[[#This Row],[Appreciation Amount]]/tblAssets[[#This Row],[Purchase Value]],0)</f>
      </c>
      <c r="K192" s="2"/>
      <c r="L192" s="2"/>
      <c r="M192" s="2"/>
    </row>
    <row r="193">
      <c r="A193" s="1"/>
      <c r="B193" s="2"/>
      <c r="C193" s="2"/>
      <c r="D193" s="2"/>
      <c r="E193" s="2"/>
      <c r="F193" s="4"/>
      <c r="G193" s="2"/>
      <c r="H193" s="2"/>
      <c r="I193" s="1">
        <f>tblAssets[[#This Row],[Current Value]]-tblAssets[[#This Row],[Purchase Value]]</f>
      </c>
      <c r="J193" s="1">
        <f>IFERROR(tblAssets[[#This Row],[Appreciation Amount]]/tblAssets[[#This Row],[Purchase Value]],0)</f>
      </c>
      <c r="K193" s="2"/>
      <c r="L193" s="2"/>
      <c r="M193" s="2"/>
    </row>
    <row r="194">
      <c r="A194" s="1"/>
      <c r="B194" s="2"/>
      <c r="C194" s="2"/>
      <c r="D194" s="2"/>
      <c r="E194" s="2"/>
      <c r="F194" s="4"/>
      <c r="G194" s="2"/>
      <c r="H194" s="2"/>
      <c r="I194" s="1">
        <f>tblAssets[[#This Row],[Current Value]]-tblAssets[[#This Row],[Purchase Value]]</f>
      </c>
      <c r="J194" s="1">
        <f>IFERROR(tblAssets[[#This Row],[Appreciation Amount]]/tblAssets[[#This Row],[Purchase Value]],0)</f>
      </c>
      <c r="K194" s="2"/>
      <c r="L194" s="2"/>
      <c r="M194" s="2"/>
    </row>
    <row r="195">
      <c r="A195" s="1"/>
      <c r="B195" s="2"/>
      <c r="C195" s="2"/>
      <c r="D195" s="2"/>
      <c r="E195" s="2"/>
      <c r="F195" s="4"/>
      <c r="G195" s="2"/>
      <c r="H195" s="2"/>
      <c r="I195" s="1">
        <f>tblAssets[[#This Row],[Current Value]]-tblAssets[[#This Row],[Purchase Value]]</f>
      </c>
      <c r="J195" s="1">
        <f>IFERROR(tblAssets[[#This Row],[Appreciation Amount]]/tblAssets[[#This Row],[Purchase Value]],0)</f>
      </c>
      <c r="K195" s="2"/>
      <c r="L195" s="2"/>
      <c r="M195" s="2"/>
    </row>
    <row r="196">
      <c r="A196" s="1"/>
      <c r="B196" s="2"/>
      <c r="C196" s="2"/>
      <c r="D196" s="2"/>
      <c r="E196" s="2"/>
      <c r="F196" s="4"/>
      <c r="G196" s="2"/>
      <c r="H196" s="2"/>
      <c r="I196" s="1">
        <f>tblAssets[[#This Row],[Current Value]]-tblAssets[[#This Row],[Purchase Value]]</f>
      </c>
      <c r="J196" s="1">
        <f>IFERROR(tblAssets[[#This Row],[Appreciation Amount]]/tblAssets[[#This Row],[Purchase Value]],0)</f>
      </c>
      <c r="K196" s="2"/>
      <c r="L196" s="2"/>
      <c r="M196" s="2"/>
    </row>
    <row r="197">
      <c r="A197" s="1"/>
      <c r="B197" s="2"/>
      <c r="C197" s="2"/>
      <c r="D197" s="2"/>
      <c r="E197" s="2"/>
      <c r="F197" s="4"/>
      <c r="G197" s="2"/>
      <c r="H197" s="2"/>
      <c r="I197" s="1">
        <f>tblAssets[[#This Row],[Current Value]]-tblAssets[[#This Row],[Purchase Value]]</f>
      </c>
      <c r="J197" s="1">
        <f>IFERROR(tblAssets[[#This Row],[Appreciation Amount]]/tblAssets[[#This Row],[Purchase Value]],0)</f>
      </c>
      <c r="K197" s="2"/>
      <c r="L197" s="2"/>
      <c r="M197" s="2"/>
    </row>
    <row r="198">
      <c r="A198" s="1"/>
      <c r="B198" s="2"/>
      <c r="C198" s="2"/>
      <c r="D198" s="2"/>
      <c r="E198" s="2"/>
      <c r="F198" s="4"/>
      <c r="G198" s="2"/>
      <c r="H198" s="2"/>
      <c r="I198" s="1">
        <f>tblAssets[[#This Row],[Current Value]]-tblAssets[[#This Row],[Purchase Value]]</f>
      </c>
      <c r="J198" s="1">
        <f>IFERROR(tblAssets[[#This Row],[Appreciation Amount]]/tblAssets[[#This Row],[Purchase Value]],0)</f>
      </c>
      <c r="K198" s="2"/>
      <c r="L198" s="2"/>
      <c r="M198" s="2"/>
    </row>
    <row r="199">
      <c r="A199" s="1"/>
      <c r="B199" s="2"/>
      <c r="C199" s="2"/>
      <c r="D199" s="2"/>
      <c r="E199" s="2"/>
      <c r="F199" s="4"/>
      <c r="G199" s="2"/>
      <c r="H199" s="2"/>
      <c r="I199" s="1">
        <f>tblAssets[[#This Row],[Current Value]]-tblAssets[[#This Row],[Purchase Value]]</f>
      </c>
      <c r="J199" s="1">
        <f>IFERROR(tblAssets[[#This Row],[Appreciation Amount]]/tblAssets[[#This Row],[Purchase Value]],0)</f>
      </c>
      <c r="K199" s="2"/>
      <c r="L199" s="2"/>
      <c r="M199" s="2"/>
    </row>
    <row r="200">
      <c r="A200" s="1"/>
      <c r="B200" s="2"/>
      <c r="C200" s="2"/>
      <c r="D200" s="2"/>
      <c r="E200" s="2"/>
      <c r="F200" s="4"/>
      <c r="G200" s="2"/>
      <c r="H200" s="2"/>
      <c r="I200" s="1">
        <f>tblAssets[[#This Row],[Current Value]]-tblAssets[[#This Row],[Purchase Value]]</f>
      </c>
      <c r="J200" s="1">
        <f>IFERROR(tblAssets[[#This Row],[Appreciation Amount]]/tblAssets[[#This Row],[Purchase Value]],0)</f>
      </c>
      <c r="K200" s="2"/>
      <c r="L200" s="2"/>
      <c r="M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D2:D200">
      <formula1>rngAssetType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rngOwnershipType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16" customWidth="1"/>
    <col min="6" max="6" width="18" customWidth="1"/>
    <col min="7" max="7" width="14" customWidth="1"/>
    <col min="8" max="8" width="14" customWidth="1"/>
    <col min="9" max="9" width="16" customWidth="1"/>
    <col min="10" max="10" width="12" customWidth="1"/>
    <col min="11" max="11" width="14" customWidth="1"/>
    <col min="12" max="12" width="14" customWidth="1"/>
    <col min="13" max="13" width="24" customWidth="1"/>
    <col min="14" max="14" width="12" customWidth="1"/>
    <col min="15" max="15" width="12" customWidth="1"/>
    <col min="16" max="16" width="18" customWidth="1"/>
  </cols>
  <sheetData>
    <row r="1" spans="1:16" x14ac:dyDescent="0.3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>
      <c r="A2" s="1" t="s">
        <v>380</v>
      </c>
      <c r="B2" s="2" t="s">
        <v>381</v>
      </c>
      <c r="C2" s="2" t="s">
        <v>205</v>
      </c>
      <c r="D2" s="2" t="s">
        <v>361</v>
      </c>
      <c r="E2" s="2">
        <v>2500000</v>
      </c>
      <c r="F2" s="2">
        <v>2100000</v>
      </c>
      <c r="G2" s="2">
        <v>0.085</v>
      </c>
      <c r="H2" s="2">
        <v>22000</v>
      </c>
      <c r="I2" s="2" t="s">
        <v>104</v>
      </c>
      <c r="J2" s="2">
        <v>5</v>
      </c>
      <c r="K2" s="4">
        <v>44656</v>
      </c>
      <c r="L2" s="4">
        <v>51961</v>
      </c>
      <c r="M2" s="2" t="s">
        <v>360</v>
      </c>
      <c r="N2" s="2" t="s">
        <v>122</v>
      </c>
      <c r="O2" s="2" t="s">
        <v>111</v>
      </c>
      <c r="P2" s="2"/>
    </row>
    <row r="3">
      <c r="A3" s="1" t="s">
        <v>382</v>
      </c>
      <c r="B3" s="2" t="s">
        <v>383</v>
      </c>
      <c r="C3" s="2" t="s">
        <v>206</v>
      </c>
      <c r="D3" s="2" t="s">
        <v>361</v>
      </c>
      <c r="E3" s="2">
        <v>100000</v>
      </c>
      <c r="F3" s="2">
        <v>0</v>
      </c>
      <c r="G3" s="2">
        <v>0</v>
      </c>
      <c r="H3" s="2">
        <v>0</v>
      </c>
      <c r="I3" s="2" t="s">
        <v>104</v>
      </c>
      <c r="J3" s="2"/>
      <c r="K3" s="4"/>
      <c r="L3" s="4"/>
      <c r="M3" s="2"/>
      <c r="N3" s="2"/>
      <c r="O3" s="2" t="s">
        <v>115</v>
      </c>
      <c r="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4"/>
      <c r="L4" s="4"/>
      <c r="M4" s="2"/>
      <c r="N4" s="2"/>
      <c r="O4" s="2"/>
      <c r="P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2"/>
      <c r="N5" s="2"/>
      <c r="O5" s="2"/>
      <c r="P5" s="2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4"/>
      <c r="L6" s="4"/>
      <c r="M6" s="2"/>
      <c r="N6" s="2"/>
      <c r="O6" s="2"/>
      <c r="P6" s="2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4"/>
      <c r="L7" s="4"/>
      <c r="M7" s="2"/>
      <c r="N7" s="2"/>
      <c r="O7" s="2"/>
      <c r="P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4"/>
      <c r="L8" s="4"/>
      <c r="M8" s="2"/>
      <c r="N8" s="2"/>
      <c r="O8" s="2"/>
      <c r="P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4"/>
      <c r="L9" s="4"/>
      <c r="M9" s="2"/>
      <c r="N9" s="2"/>
      <c r="O9" s="2"/>
      <c r="P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2"/>
      <c r="N10" s="2"/>
      <c r="O10" s="2"/>
      <c r="P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4"/>
      <c r="L11" s="4"/>
      <c r="M11" s="2"/>
      <c r="N11" s="2"/>
      <c r="O11" s="2"/>
      <c r="P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4"/>
      <c r="L12" s="4"/>
      <c r="M12" s="2"/>
      <c r="N12" s="2"/>
      <c r="O12" s="2"/>
      <c r="P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4"/>
      <c r="L13" s="4"/>
      <c r="M13" s="2"/>
      <c r="N13" s="2"/>
      <c r="O13" s="2"/>
      <c r="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2"/>
      <c r="N14" s="2"/>
      <c r="O14" s="2"/>
      <c r="P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4"/>
      <c r="L15" s="4"/>
      <c r="M15" s="2"/>
      <c r="N15" s="2"/>
      <c r="O15" s="2"/>
      <c r="P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4"/>
      <c r="L16" s="4"/>
      <c r="M16" s="2"/>
      <c r="N16" s="2"/>
      <c r="O16" s="2"/>
      <c r="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4"/>
      <c r="L17" s="4"/>
      <c r="M17" s="2"/>
      <c r="N17" s="2"/>
      <c r="O17" s="2"/>
      <c r="P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4"/>
      <c r="L18" s="4"/>
      <c r="M18" s="2"/>
      <c r="N18" s="2"/>
      <c r="O18" s="2"/>
      <c r="P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4"/>
      <c r="L19" s="4"/>
      <c r="M19" s="2"/>
      <c r="N19" s="2"/>
      <c r="O19" s="2"/>
      <c r="P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4"/>
      <c r="L20" s="4"/>
      <c r="M20" s="2"/>
      <c r="N20" s="2"/>
      <c r="O20" s="2"/>
      <c r="P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2"/>
      <c r="N21" s="2"/>
      <c r="O21" s="2"/>
      <c r="P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4"/>
      <c r="L22" s="4"/>
      <c r="M22" s="2"/>
      <c r="N22" s="2"/>
      <c r="O22" s="2"/>
      <c r="P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4"/>
      <c r="L23" s="4"/>
      <c r="M23" s="2"/>
      <c r="N23" s="2"/>
      <c r="O23" s="2"/>
      <c r="P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4"/>
      <c r="L24" s="4"/>
      <c r="M24" s="2"/>
      <c r="N24" s="2"/>
      <c r="O24" s="2"/>
      <c r="P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  <c r="M25" s="2"/>
      <c r="N25" s="2"/>
      <c r="O25" s="2"/>
      <c r="P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4"/>
      <c r="L26" s="4"/>
      <c r="M26" s="2"/>
      <c r="N26" s="2"/>
      <c r="O26" s="2"/>
      <c r="P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4"/>
      <c r="L27" s="4"/>
      <c r="M27" s="2"/>
      <c r="N27" s="2"/>
      <c r="O27" s="2"/>
      <c r="P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4"/>
      <c r="L28" s="4"/>
      <c r="M28" s="2"/>
      <c r="N28" s="2"/>
      <c r="O28" s="2"/>
      <c r="P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4"/>
      <c r="L29" s="4"/>
      <c r="M29" s="2"/>
      <c r="N29" s="2"/>
      <c r="O29" s="2"/>
      <c r="P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4"/>
      <c r="L30" s="4"/>
      <c r="M30" s="2"/>
      <c r="N30" s="2"/>
      <c r="O30" s="2"/>
      <c r="P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4"/>
      <c r="L31" s="4"/>
      <c r="M31" s="2"/>
      <c r="N31" s="2"/>
      <c r="O31" s="2"/>
      <c r="P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4"/>
      <c r="L32" s="4"/>
      <c r="M32" s="2"/>
      <c r="N32" s="2"/>
      <c r="O32" s="2"/>
      <c r="P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4"/>
      <c r="L33" s="4"/>
      <c r="M33" s="2"/>
      <c r="N33" s="2"/>
      <c r="O33" s="2"/>
      <c r="P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4"/>
      <c r="L34" s="4"/>
      <c r="M34" s="2"/>
      <c r="N34" s="2"/>
      <c r="O34" s="2"/>
      <c r="P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4"/>
      <c r="L35" s="4"/>
      <c r="M35" s="2"/>
      <c r="N35" s="2"/>
      <c r="O35" s="2"/>
      <c r="P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4"/>
      <c r="L36" s="4"/>
      <c r="M36" s="2"/>
      <c r="N36" s="2"/>
      <c r="O36" s="2"/>
      <c r="P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4"/>
      <c r="L37" s="4"/>
      <c r="M37" s="2"/>
      <c r="N37" s="2"/>
      <c r="O37" s="2"/>
      <c r="P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4"/>
      <c r="L38" s="4"/>
      <c r="M38" s="2"/>
      <c r="N38" s="2"/>
      <c r="O38" s="2"/>
      <c r="P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4"/>
      <c r="L39" s="4"/>
      <c r="M39" s="2"/>
      <c r="N39" s="2"/>
      <c r="O39" s="2"/>
      <c r="P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4"/>
      <c r="L40" s="4"/>
      <c r="M40" s="2"/>
      <c r="N40" s="2"/>
      <c r="O40" s="2"/>
      <c r="P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2"/>
      <c r="N41" s="2"/>
      <c r="O41" s="2"/>
      <c r="P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4"/>
      <c r="L42" s="4"/>
      <c r="M42" s="2"/>
      <c r="N42" s="2"/>
      <c r="O42" s="2"/>
      <c r="P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4"/>
      <c r="L43" s="4"/>
      <c r="M43" s="2"/>
      <c r="N43" s="2"/>
      <c r="O43" s="2"/>
      <c r="P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4"/>
      <c r="L44" s="4"/>
      <c r="M44" s="2"/>
      <c r="N44" s="2"/>
      <c r="O44" s="2"/>
      <c r="P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4"/>
      <c r="L45" s="4"/>
      <c r="M45" s="2"/>
      <c r="N45" s="2"/>
      <c r="O45" s="2"/>
      <c r="P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4"/>
      <c r="L46" s="4"/>
      <c r="M46" s="2"/>
      <c r="N46" s="2"/>
      <c r="O46" s="2"/>
      <c r="P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4"/>
      <c r="L47" s="4"/>
      <c r="M47" s="2"/>
      <c r="N47" s="2"/>
      <c r="O47" s="2"/>
      <c r="P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4"/>
      <c r="L48" s="4"/>
      <c r="M48" s="2"/>
      <c r="N48" s="2"/>
      <c r="O48" s="2"/>
      <c r="P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4"/>
      <c r="L49" s="4"/>
      <c r="M49" s="2"/>
      <c r="N49" s="2"/>
      <c r="O49" s="2"/>
      <c r="P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4"/>
      <c r="L50" s="4"/>
      <c r="M50" s="2"/>
      <c r="N50" s="2"/>
      <c r="O50" s="2"/>
      <c r="P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4"/>
      <c r="L51" s="4"/>
      <c r="M51" s="2"/>
      <c r="N51" s="2"/>
      <c r="O51" s="2"/>
      <c r="P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4"/>
      <c r="L52" s="4"/>
      <c r="M52" s="2"/>
      <c r="N52" s="2"/>
      <c r="O52" s="2"/>
      <c r="P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4"/>
      <c r="L53" s="4"/>
      <c r="M53" s="2"/>
      <c r="N53" s="2"/>
      <c r="O53" s="2"/>
      <c r="P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4"/>
      <c r="L54" s="4"/>
      <c r="M54" s="2"/>
      <c r="N54" s="2"/>
      <c r="O54" s="2"/>
      <c r="P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4"/>
      <c r="L55" s="4"/>
      <c r="M55" s="2"/>
      <c r="N55" s="2"/>
      <c r="O55" s="2"/>
      <c r="P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4"/>
      <c r="L56" s="4"/>
      <c r="M56" s="2"/>
      <c r="N56" s="2"/>
      <c r="O56" s="2"/>
      <c r="P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4"/>
      <c r="L57" s="4"/>
      <c r="M57" s="2"/>
      <c r="N57" s="2"/>
      <c r="O57" s="2"/>
      <c r="P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4"/>
      <c r="L58" s="4"/>
      <c r="M58" s="2"/>
      <c r="N58" s="2"/>
      <c r="O58" s="2"/>
      <c r="P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4"/>
      <c r="L59" s="4"/>
      <c r="M59" s="2"/>
      <c r="N59" s="2"/>
      <c r="O59" s="2"/>
      <c r="P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4"/>
      <c r="L60" s="4"/>
      <c r="M60" s="2"/>
      <c r="N60" s="2"/>
      <c r="O60" s="2"/>
      <c r="P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4"/>
      <c r="L61" s="4"/>
      <c r="M61" s="2"/>
      <c r="N61" s="2"/>
      <c r="O61" s="2"/>
      <c r="P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4"/>
      <c r="L62" s="4"/>
      <c r="M62" s="2"/>
      <c r="N62" s="2"/>
      <c r="O62" s="2"/>
      <c r="P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4"/>
      <c r="L63" s="4"/>
      <c r="M63" s="2"/>
      <c r="N63" s="2"/>
      <c r="O63" s="2"/>
      <c r="P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4"/>
      <c r="L64" s="4"/>
      <c r="M64" s="2"/>
      <c r="N64" s="2"/>
      <c r="O64" s="2"/>
      <c r="P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4"/>
      <c r="L65" s="4"/>
      <c r="M65" s="2"/>
      <c r="N65" s="2"/>
      <c r="O65" s="2"/>
      <c r="P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4"/>
      <c r="L66" s="4"/>
      <c r="M66" s="2"/>
      <c r="N66" s="2"/>
      <c r="O66" s="2"/>
      <c r="P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4"/>
      <c r="L67" s="4"/>
      <c r="M67" s="2"/>
      <c r="N67" s="2"/>
      <c r="O67" s="2"/>
      <c r="P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4"/>
      <c r="L68" s="4"/>
      <c r="M68" s="2"/>
      <c r="N68" s="2"/>
      <c r="O68" s="2"/>
      <c r="P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4"/>
      <c r="L69" s="4"/>
      <c r="M69" s="2"/>
      <c r="N69" s="2"/>
      <c r="O69" s="2"/>
      <c r="P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4"/>
      <c r="L70" s="4"/>
      <c r="M70" s="2"/>
      <c r="N70" s="2"/>
      <c r="O70" s="2"/>
      <c r="P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4"/>
      <c r="L71" s="4"/>
      <c r="M71" s="2"/>
      <c r="N71" s="2"/>
      <c r="O71" s="2"/>
      <c r="P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4"/>
      <c r="L72" s="4"/>
      <c r="M72" s="2"/>
      <c r="N72" s="2"/>
      <c r="O72" s="2"/>
      <c r="P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4"/>
      <c r="L73" s="4"/>
      <c r="M73" s="2"/>
      <c r="N73" s="2"/>
      <c r="O73" s="2"/>
      <c r="P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4"/>
      <c r="L74" s="4"/>
      <c r="M74" s="2"/>
      <c r="N74" s="2"/>
      <c r="O74" s="2"/>
      <c r="P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4"/>
      <c r="L75" s="4"/>
      <c r="M75" s="2"/>
      <c r="N75" s="2"/>
      <c r="O75" s="2"/>
      <c r="P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4"/>
      <c r="L76" s="4"/>
      <c r="M76" s="2"/>
      <c r="N76" s="2"/>
      <c r="O76" s="2"/>
      <c r="P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4"/>
      <c r="L77" s="4"/>
      <c r="M77" s="2"/>
      <c r="N77" s="2"/>
      <c r="O77" s="2"/>
      <c r="P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4"/>
      <c r="L78" s="4"/>
      <c r="M78" s="2"/>
      <c r="N78" s="2"/>
      <c r="O78" s="2"/>
      <c r="P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4"/>
      <c r="L79" s="4"/>
      <c r="M79" s="2"/>
      <c r="N79" s="2"/>
      <c r="O79" s="2"/>
      <c r="P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4"/>
      <c r="L80" s="4"/>
      <c r="M80" s="2"/>
      <c r="N80" s="2"/>
      <c r="O80" s="2"/>
      <c r="P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4"/>
      <c r="L81" s="4"/>
      <c r="M81" s="2"/>
      <c r="N81" s="2"/>
      <c r="O81" s="2"/>
      <c r="P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4"/>
      <c r="L82" s="4"/>
      <c r="M82" s="2"/>
      <c r="N82" s="2"/>
      <c r="O82" s="2"/>
      <c r="P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4"/>
      <c r="L83" s="4"/>
      <c r="M83" s="2"/>
      <c r="N83" s="2"/>
      <c r="O83" s="2"/>
      <c r="P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4"/>
      <c r="L84" s="4"/>
      <c r="M84" s="2"/>
      <c r="N84" s="2"/>
      <c r="O84" s="2"/>
      <c r="P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4"/>
      <c r="L85" s="4"/>
      <c r="M85" s="2"/>
      <c r="N85" s="2"/>
      <c r="O85" s="2"/>
      <c r="P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4"/>
      <c r="L86" s="4"/>
      <c r="M86" s="2"/>
      <c r="N86" s="2"/>
      <c r="O86" s="2"/>
      <c r="P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4"/>
      <c r="L87" s="4"/>
      <c r="M87" s="2"/>
      <c r="N87" s="2"/>
      <c r="O87" s="2"/>
      <c r="P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4"/>
      <c r="L88" s="4"/>
      <c r="M88" s="2"/>
      <c r="N88" s="2"/>
      <c r="O88" s="2"/>
      <c r="P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4"/>
      <c r="L89" s="4"/>
      <c r="M89" s="2"/>
      <c r="N89" s="2"/>
      <c r="O89" s="2"/>
      <c r="P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4"/>
      <c r="L90" s="4"/>
      <c r="M90" s="2"/>
      <c r="N90" s="2"/>
      <c r="O90" s="2"/>
      <c r="P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4"/>
      <c r="L91" s="4"/>
      <c r="M91" s="2"/>
      <c r="N91" s="2"/>
      <c r="O91" s="2"/>
      <c r="P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4"/>
      <c r="L92" s="4"/>
      <c r="M92" s="2"/>
      <c r="N92" s="2"/>
      <c r="O92" s="2"/>
      <c r="P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4"/>
      <c r="L93" s="4"/>
      <c r="M93" s="2"/>
      <c r="N93" s="2"/>
      <c r="O93" s="2"/>
      <c r="P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4"/>
      <c r="L94" s="4"/>
      <c r="M94" s="2"/>
      <c r="N94" s="2"/>
      <c r="O94" s="2"/>
      <c r="P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4"/>
      <c r="L95" s="4"/>
      <c r="M95" s="2"/>
      <c r="N95" s="2"/>
      <c r="O95" s="2"/>
      <c r="P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4"/>
      <c r="L96" s="4"/>
      <c r="M96" s="2"/>
      <c r="N96" s="2"/>
      <c r="O96" s="2"/>
      <c r="P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4"/>
      <c r="L97" s="4"/>
      <c r="M97" s="2"/>
      <c r="N97" s="2"/>
      <c r="O97" s="2"/>
      <c r="P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4"/>
      <c r="L98" s="4"/>
      <c r="M98" s="2"/>
      <c r="N98" s="2"/>
      <c r="O98" s="2"/>
      <c r="P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4"/>
      <c r="L99" s="4"/>
      <c r="M99" s="2"/>
      <c r="N99" s="2"/>
      <c r="O99" s="2"/>
      <c r="P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4"/>
      <c r="M100" s="2"/>
      <c r="N100" s="2"/>
      <c r="O100" s="2"/>
      <c r="P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4"/>
      <c r="M101" s="2"/>
      <c r="N101" s="2"/>
      <c r="O101" s="2"/>
      <c r="P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4"/>
      <c r="M102" s="2"/>
      <c r="N102" s="2"/>
      <c r="O102" s="2"/>
      <c r="P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4"/>
      <c r="M103" s="2"/>
      <c r="N103" s="2"/>
      <c r="O103" s="2"/>
      <c r="P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4"/>
      <c r="M104" s="2"/>
      <c r="N104" s="2"/>
      <c r="O104" s="2"/>
      <c r="P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4"/>
      <c r="M105" s="2"/>
      <c r="N105" s="2"/>
      <c r="O105" s="2"/>
      <c r="P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4"/>
      <c r="M106" s="2"/>
      <c r="N106" s="2"/>
      <c r="O106" s="2"/>
      <c r="P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4"/>
      <c r="M107" s="2"/>
      <c r="N107" s="2"/>
      <c r="O107" s="2"/>
      <c r="P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4"/>
      <c r="M108" s="2"/>
      <c r="N108" s="2"/>
      <c r="O108" s="2"/>
      <c r="P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4"/>
      <c r="M109" s="2"/>
      <c r="N109" s="2"/>
      <c r="O109" s="2"/>
      <c r="P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4"/>
      <c r="M110" s="2"/>
      <c r="N110" s="2"/>
      <c r="O110" s="2"/>
      <c r="P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4"/>
      <c r="M111" s="2"/>
      <c r="N111" s="2"/>
      <c r="O111" s="2"/>
      <c r="P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4"/>
      <c r="M112" s="2"/>
      <c r="N112" s="2"/>
      <c r="O112" s="2"/>
      <c r="P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4"/>
      <c r="M113" s="2"/>
      <c r="N113" s="2"/>
      <c r="O113" s="2"/>
      <c r="P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4"/>
      <c r="M114" s="2"/>
      <c r="N114" s="2"/>
      <c r="O114" s="2"/>
      <c r="P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4"/>
      <c r="M115" s="2"/>
      <c r="N115" s="2"/>
      <c r="O115" s="2"/>
      <c r="P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4"/>
      <c r="M116" s="2"/>
      <c r="N116" s="2"/>
      <c r="O116" s="2"/>
      <c r="P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4"/>
      <c r="M117" s="2"/>
      <c r="N117" s="2"/>
      <c r="O117" s="2"/>
      <c r="P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4"/>
      <c r="M118" s="2"/>
      <c r="N118" s="2"/>
      <c r="O118" s="2"/>
      <c r="P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4"/>
      <c r="M119" s="2"/>
      <c r="N119" s="2"/>
      <c r="O119" s="2"/>
      <c r="P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4"/>
      <c r="M120" s="2"/>
      <c r="N120" s="2"/>
      <c r="O120" s="2"/>
      <c r="P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4"/>
      <c r="M121" s="2"/>
      <c r="N121" s="2"/>
      <c r="O121" s="2"/>
      <c r="P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4"/>
      <c r="M122" s="2"/>
      <c r="N122" s="2"/>
      <c r="O122" s="2"/>
      <c r="P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4"/>
      <c r="M123" s="2"/>
      <c r="N123" s="2"/>
      <c r="O123" s="2"/>
      <c r="P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4"/>
      <c r="M124" s="2"/>
      <c r="N124" s="2"/>
      <c r="O124" s="2"/>
      <c r="P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4"/>
      <c r="M125" s="2"/>
      <c r="N125" s="2"/>
      <c r="O125" s="2"/>
      <c r="P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4"/>
      <c r="M126" s="2"/>
      <c r="N126" s="2"/>
      <c r="O126" s="2"/>
      <c r="P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4"/>
      <c r="M127" s="2"/>
      <c r="N127" s="2"/>
      <c r="O127" s="2"/>
      <c r="P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4"/>
      <c r="M128" s="2"/>
      <c r="N128" s="2"/>
      <c r="O128" s="2"/>
      <c r="P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4"/>
      <c r="M129" s="2"/>
      <c r="N129" s="2"/>
      <c r="O129" s="2"/>
      <c r="P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4"/>
      <c r="M130" s="2"/>
      <c r="N130" s="2"/>
      <c r="O130" s="2"/>
      <c r="P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4"/>
      <c r="M131" s="2"/>
      <c r="N131" s="2"/>
      <c r="O131" s="2"/>
      <c r="P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4"/>
      <c r="M132" s="2"/>
      <c r="N132" s="2"/>
      <c r="O132" s="2"/>
      <c r="P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4"/>
      <c r="M133" s="2"/>
      <c r="N133" s="2"/>
      <c r="O133" s="2"/>
      <c r="P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4"/>
      <c r="M134" s="2"/>
      <c r="N134" s="2"/>
      <c r="O134" s="2"/>
      <c r="P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4"/>
      <c r="M135" s="2"/>
      <c r="N135" s="2"/>
      <c r="O135" s="2"/>
      <c r="P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4"/>
      <c r="M136" s="2"/>
      <c r="N136" s="2"/>
      <c r="O136" s="2"/>
      <c r="P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4"/>
      <c r="M137" s="2"/>
      <c r="N137" s="2"/>
      <c r="O137" s="2"/>
      <c r="P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4"/>
      <c r="M138" s="2"/>
      <c r="N138" s="2"/>
      <c r="O138" s="2"/>
      <c r="P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4"/>
      <c r="M139" s="2"/>
      <c r="N139" s="2"/>
      <c r="O139" s="2"/>
      <c r="P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4"/>
      <c r="M140" s="2"/>
      <c r="N140" s="2"/>
      <c r="O140" s="2"/>
      <c r="P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4"/>
      <c r="M141" s="2"/>
      <c r="N141" s="2"/>
      <c r="O141" s="2"/>
      <c r="P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4"/>
      <c r="M142" s="2"/>
      <c r="N142" s="2"/>
      <c r="O142" s="2"/>
      <c r="P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4"/>
      <c r="M143" s="2"/>
      <c r="N143" s="2"/>
      <c r="O143" s="2"/>
      <c r="P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4"/>
      <c r="M144" s="2"/>
      <c r="N144" s="2"/>
      <c r="O144" s="2"/>
      <c r="P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4"/>
      <c r="M145" s="2"/>
      <c r="N145" s="2"/>
      <c r="O145" s="2"/>
      <c r="P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4"/>
      <c r="M146" s="2"/>
      <c r="N146" s="2"/>
      <c r="O146" s="2"/>
      <c r="P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4"/>
      <c r="M147" s="2"/>
      <c r="N147" s="2"/>
      <c r="O147" s="2"/>
      <c r="P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4"/>
      <c r="M148" s="2"/>
      <c r="N148" s="2"/>
      <c r="O148" s="2"/>
      <c r="P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4"/>
      <c r="M149" s="2"/>
      <c r="N149" s="2"/>
      <c r="O149" s="2"/>
      <c r="P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4"/>
      <c r="M150" s="2"/>
      <c r="N150" s="2"/>
      <c r="O150" s="2"/>
      <c r="P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4"/>
      <c r="M151" s="2"/>
      <c r="N151" s="2"/>
      <c r="O151" s="2"/>
      <c r="P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4"/>
      <c r="M152" s="2"/>
      <c r="N152" s="2"/>
      <c r="O152" s="2"/>
      <c r="P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4"/>
      <c r="M153" s="2"/>
      <c r="N153" s="2"/>
      <c r="O153" s="2"/>
      <c r="P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4"/>
      <c r="M154" s="2"/>
      <c r="N154" s="2"/>
      <c r="O154" s="2"/>
      <c r="P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4"/>
      <c r="M155" s="2"/>
      <c r="N155" s="2"/>
      <c r="O155" s="2"/>
      <c r="P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4"/>
      <c r="M156" s="2"/>
      <c r="N156" s="2"/>
      <c r="O156" s="2"/>
      <c r="P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4"/>
      <c r="M157" s="2"/>
      <c r="N157" s="2"/>
      <c r="O157" s="2"/>
      <c r="P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4"/>
      <c r="M158" s="2"/>
      <c r="N158" s="2"/>
      <c r="O158" s="2"/>
      <c r="P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4"/>
      <c r="M159" s="2"/>
      <c r="N159" s="2"/>
      <c r="O159" s="2"/>
      <c r="P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4"/>
      <c r="M160" s="2"/>
      <c r="N160" s="2"/>
      <c r="O160" s="2"/>
      <c r="P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4"/>
      <c r="L161" s="4"/>
      <c r="M161" s="2"/>
      <c r="N161" s="2"/>
      <c r="O161" s="2"/>
      <c r="P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4"/>
      <c r="L162" s="4"/>
      <c r="M162" s="2"/>
      <c r="N162" s="2"/>
      <c r="O162" s="2"/>
      <c r="P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4"/>
      <c r="L163" s="4"/>
      <c r="M163" s="2"/>
      <c r="N163" s="2"/>
      <c r="O163" s="2"/>
      <c r="P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4"/>
      <c r="L164" s="4"/>
      <c r="M164" s="2"/>
      <c r="N164" s="2"/>
      <c r="O164" s="2"/>
      <c r="P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4"/>
      <c r="L165" s="4"/>
      <c r="M165" s="2"/>
      <c r="N165" s="2"/>
      <c r="O165" s="2"/>
      <c r="P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4"/>
      <c r="L166" s="4"/>
      <c r="M166" s="2"/>
      <c r="N166" s="2"/>
      <c r="O166" s="2"/>
      <c r="P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4"/>
      <c r="L167" s="4"/>
      <c r="M167" s="2"/>
      <c r="N167" s="2"/>
      <c r="O167" s="2"/>
      <c r="P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4"/>
      <c r="L168" s="4"/>
      <c r="M168" s="2"/>
      <c r="N168" s="2"/>
      <c r="O168" s="2"/>
      <c r="P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4"/>
      <c r="L169" s="4"/>
      <c r="M169" s="2"/>
      <c r="N169" s="2"/>
      <c r="O169" s="2"/>
      <c r="P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4"/>
      <c r="L170" s="4"/>
      <c r="M170" s="2"/>
      <c r="N170" s="2"/>
      <c r="O170" s="2"/>
      <c r="P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4"/>
      <c r="L171" s="4"/>
      <c r="M171" s="2"/>
      <c r="N171" s="2"/>
      <c r="O171" s="2"/>
      <c r="P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4"/>
      <c r="L172" s="4"/>
      <c r="M172" s="2"/>
      <c r="N172" s="2"/>
      <c r="O172" s="2"/>
      <c r="P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4"/>
      <c r="L173" s="4"/>
      <c r="M173" s="2"/>
      <c r="N173" s="2"/>
      <c r="O173" s="2"/>
      <c r="P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4"/>
      <c r="L174" s="4"/>
      <c r="M174" s="2"/>
      <c r="N174" s="2"/>
      <c r="O174" s="2"/>
      <c r="P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4"/>
      <c r="L175" s="4"/>
      <c r="M175" s="2"/>
      <c r="N175" s="2"/>
      <c r="O175" s="2"/>
      <c r="P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4"/>
      <c r="M176" s="2"/>
      <c r="N176" s="2"/>
      <c r="O176" s="2"/>
      <c r="P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4"/>
      <c r="L177" s="4"/>
      <c r="M177" s="2"/>
      <c r="N177" s="2"/>
      <c r="O177" s="2"/>
      <c r="P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4"/>
      <c r="L178" s="4"/>
      <c r="M178" s="2"/>
      <c r="N178" s="2"/>
      <c r="O178" s="2"/>
      <c r="P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4"/>
      <c r="L179" s="4"/>
      <c r="M179" s="2"/>
      <c r="N179" s="2"/>
      <c r="O179" s="2"/>
      <c r="P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4"/>
      <c r="L180" s="4"/>
      <c r="M180" s="2"/>
      <c r="N180" s="2"/>
      <c r="O180" s="2"/>
      <c r="P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4"/>
      <c r="L181" s="4"/>
      <c r="M181" s="2"/>
      <c r="N181" s="2"/>
      <c r="O181" s="2"/>
      <c r="P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4"/>
      <c r="L182" s="4"/>
      <c r="M182" s="2"/>
      <c r="N182" s="2"/>
      <c r="O182" s="2"/>
      <c r="P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4"/>
      <c r="L183" s="4"/>
      <c r="M183" s="2"/>
      <c r="N183" s="2"/>
      <c r="O183" s="2"/>
      <c r="P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4"/>
      <c r="L184" s="4"/>
      <c r="M184" s="2"/>
      <c r="N184" s="2"/>
      <c r="O184" s="2"/>
      <c r="P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4"/>
      <c r="L185" s="4"/>
      <c r="M185" s="2"/>
      <c r="N185" s="2"/>
      <c r="O185" s="2"/>
      <c r="P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4"/>
      <c r="L186" s="4"/>
      <c r="M186" s="2"/>
      <c r="N186" s="2"/>
      <c r="O186" s="2"/>
      <c r="P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4"/>
      <c r="L187" s="4"/>
      <c r="M187" s="2"/>
      <c r="N187" s="2"/>
      <c r="O187" s="2"/>
      <c r="P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4"/>
      <c r="L188" s="4"/>
      <c r="M188" s="2"/>
      <c r="N188" s="2"/>
      <c r="O188" s="2"/>
      <c r="P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4"/>
      <c r="L189" s="4"/>
      <c r="M189" s="2"/>
      <c r="N189" s="2"/>
      <c r="O189" s="2"/>
      <c r="P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4"/>
      <c r="L190" s="4"/>
      <c r="M190" s="2"/>
      <c r="N190" s="2"/>
      <c r="O190" s="2"/>
      <c r="P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4"/>
      <c r="L191" s="4"/>
      <c r="M191" s="2"/>
      <c r="N191" s="2"/>
      <c r="O191" s="2"/>
      <c r="P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4"/>
      <c r="L192" s="4"/>
      <c r="M192" s="2"/>
      <c r="N192" s="2"/>
      <c r="O192" s="2"/>
      <c r="P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4"/>
      <c r="L193" s="4"/>
      <c r="M193" s="2"/>
      <c r="N193" s="2"/>
      <c r="O193" s="2"/>
      <c r="P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4"/>
      <c r="L194" s="4"/>
      <c r="M194" s="2"/>
      <c r="N194" s="2"/>
      <c r="O194" s="2"/>
      <c r="P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4"/>
      <c r="L195" s="4"/>
      <c r="M195" s="2"/>
      <c r="N195" s="2"/>
      <c r="O195" s="2"/>
      <c r="P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4"/>
      <c r="L196" s="4"/>
      <c r="M196" s="2"/>
      <c r="N196" s="2"/>
      <c r="O196" s="2"/>
      <c r="P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4"/>
      <c r="L197" s="4"/>
      <c r="M197" s="2"/>
      <c r="N197" s="2"/>
      <c r="O197" s="2"/>
      <c r="P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4"/>
      <c r="L198" s="4"/>
      <c r="M198" s="2"/>
      <c r="N198" s="2"/>
      <c r="O198" s="2"/>
      <c r="P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4"/>
      <c r="L199" s="4"/>
      <c r="M199" s="2"/>
      <c r="N199" s="2"/>
      <c r="O199" s="2"/>
      <c r="P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4"/>
      <c r="L200" s="4"/>
      <c r="M200" s="2"/>
      <c r="N200" s="2"/>
      <c r="O200" s="2"/>
      <c r="P200" s="2"/>
    </row>
  </sheetData>
  <sheetProtection sheet="1" objects="1" scenarios="1" formatCells="0" formatColumns="0" formatRows="0" insertColumns="0" insertHyperlinks="0" deleteColumns="0" pivotTables="0"/>
  <dataValidations count="5">
    <dataValidation type="list" allowBlank="1" showInputMessage="1" promptTitle="Select a value" prompt="Choose from the list." showErrorMessage="1" errorStyle="stop" errorTitle="Invalid value" error="Select a value from the list." sqref="C2:C200">
      <formula1>rngLiabilityType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N2:N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O2:O200">
      <formula1>rngLiabilityStatus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22" customWidth="1"/>
    <col min="5" max="5" width="20" customWidth="1"/>
    <col min="6" max="6" width="20" customWidth="1"/>
    <col min="7" max="7" width="12" customWidth="1"/>
    <col min="8" max="8" width="14" customWidth="1"/>
    <col min="9" max="9" width="10" customWidth="1"/>
    <col min="10" max="10" width="14" customWidth="1"/>
    <col min="11" max="11" width="14" customWidth="1"/>
    <col min="12" max="12" width="14" customWidth="1"/>
    <col min="13" max="13" width="12" customWidth="1"/>
    <col min="14" max="14" width="18" customWidth="1"/>
  </cols>
  <sheetData>
    <row r="1" spans="1:14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>
      <c r="A2" s="1"/>
      <c r="B2" s="2"/>
      <c r="C2" s="2"/>
      <c r="D2" s="2"/>
      <c r="E2" s="2"/>
      <c r="F2" s="2"/>
      <c r="G2" s="2"/>
      <c r="H2" s="2"/>
      <c r="I2" s="2"/>
      <c r="J2" s="4"/>
      <c r="K2" s="4"/>
      <c r="L2" s="2"/>
      <c r="M2" s="2"/>
      <c r="N2" s="2"/>
    </row>
    <row r="3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2"/>
      <c r="M3" s="2"/>
      <c r="N3" s="2"/>
    </row>
    <row r="4">
      <c r="A4" s="1"/>
      <c r="B4" s="2"/>
      <c r="C4" s="2"/>
      <c r="D4" s="2"/>
      <c r="E4" s="2"/>
      <c r="F4" s="2"/>
      <c r="G4" s="2"/>
      <c r="H4" s="2"/>
      <c r="I4" s="2"/>
      <c r="J4" s="4"/>
      <c r="K4" s="4"/>
      <c r="L4" s="2"/>
      <c r="M4" s="2"/>
      <c r="N4" s="2"/>
    </row>
    <row r="5">
      <c r="A5" s="1"/>
      <c r="B5" s="2"/>
      <c r="C5" s="2"/>
      <c r="D5" s="2"/>
      <c r="E5" s="2"/>
      <c r="F5" s="2"/>
      <c r="G5" s="2"/>
      <c r="H5" s="2"/>
      <c r="I5" s="2"/>
      <c r="J5" s="4"/>
      <c r="K5" s="4"/>
      <c r="L5" s="2"/>
      <c r="M5" s="2"/>
      <c r="N5" s="2"/>
    </row>
    <row r="6">
      <c r="A6" s="1"/>
      <c r="B6" s="2"/>
      <c r="C6" s="2"/>
      <c r="D6" s="2"/>
      <c r="E6" s="2"/>
      <c r="F6" s="2"/>
      <c r="G6" s="2"/>
      <c r="H6" s="2"/>
      <c r="I6" s="2"/>
      <c r="J6" s="4"/>
      <c r="K6" s="4"/>
      <c r="L6" s="2"/>
      <c r="M6" s="2"/>
      <c r="N6" s="2"/>
    </row>
    <row r="7">
      <c r="A7" s="1"/>
      <c r="B7" s="2"/>
      <c r="C7" s="2"/>
      <c r="D7" s="2"/>
      <c r="E7" s="2"/>
      <c r="F7" s="2"/>
      <c r="G7" s="2"/>
      <c r="H7" s="2"/>
      <c r="I7" s="2"/>
      <c r="J7" s="4"/>
      <c r="K7" s="4"/>
      <c r="L7" s="2"/>
      <c r="M7" s="2"/>
      <c r="N7" s="2"/>
    </row>
    <row r="8">
      <c r="A8" s="1"/>
      <c r="B8" s="2"/>
      <c r="C8" s="2"/>
      <c r="D8" s="2"/>
      <c r="E8" s="2"/>
      <c r="F8" s="2"/>
      <c r="G8" s="2"/>
      <c r="H8" s="2"/>
      <c r="I8" s="2"/>
      <c r="J8" s="4"/>
      <c r="K8" s="4"/>
      <c r="L8" s="2"/>
      <c r="M8" s="2"/>
      <c r="N8" s="2"/>
    </row>
    <row r="9">
      <c r="A9" s="1"/>
      <c r="B9" s="2"/>
      <c r="C9" s="2"/>
      <c r="D9" s="2"/>
      <c r="E9" s="2"/>
      <c r="F9" s="2"/>
      <c r="G9" s="2"/>
      <c r="H9" s="2"/>
      <c r="I9" s="2"/>
      <c r="J9" s="4"/>
      <c r="K9" s="4"/>
      <c r="L9" s="2"/>
      <c r="M9" s="2"/>
      <c r="N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4"/>
      <c r="K10" s="4"/>
      <c r="L10" s="2"/>
      <c r="M10" s="2"/>
      <c r="N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4"/>
      <c r="K11" s="4"/>
      <c r="L11" s="2"/>
      <c r="M11" s="2"/>
      <c r="N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2"/>
      <c r="N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4"/>
      <c r="K13" s="4"/>
      <c r="L13" s="2"/>
      <c r="M13" s="2"/>
      <c r="N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2"/>
      <c r="N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2"/>
      <c r="N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4"/>
      <c r="K16" s="4"/>
      <c r="L16" s="2"/>
      <c r="M16" s="2"/>
      <c r="N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4"/>
      <c r="K17" s="4"/>
      <c r="L17" s="2"/>
      <c r="M17" s="2"/>
      <c r="N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4"/>
      <c r="K18" s="4"/>
      <c r="L18" s="2"/>
      <c r="M18" s="2"/>
      <c r="N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4"/>
      <c r="K19" s="4"/>
      <c r="L19" s="2"/>
      <c r="M19" s="2"/>
      <c r="N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2"/>
      <c r="N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4"/>
      <c r="K21" s="4"/>
      <c r="L21" s="2"/>
      <c r="M21" s="2"/>
      <c r="N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2"/>
      <c r="N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4"/>
      <c r="K23" s="4"/>
      <c r="L23" s="2"/>
      <c r="M23" s="2"/>
      <c r="N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4"/>
      <c r="K24" s="4"/>
      <c r="L24" s="2"/>
      <c r="M24" s="2"/>
      <c r="N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4"/>
      <c r="K25" s="4"/>
      <c r="L25" s="2"/>
      <c r="M25" s="2"/>
      <c r="N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4"/>
      <c r="K26" s="4"/>
      <c r="L26" s="2"/>
      <c r="M26" s="2"/>
      <c r="N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4"/>
      <c r="K27" s="4"/>
      <c r="L27" s="2"/>
      <c r="M27" s="2"/>
      <c r="N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2"/>
      <c r="N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  <c r="M29" s="2"/>
      <c r="N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  <c r="M30" s="2"/>
      <c r="N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  <c r="M31" s="2"/>
      <c r="N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  <c r="M32" s="2"/>
      <c r="N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  <c r="M33" s="2"/>
      <c r="N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  <c r="M34" s="2"/>
      <c r="N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  <c r="M35" s="2"/>
      <c r="N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  <c r="M36" s="2"/>
      <c r="N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  <c r="M37" s="2"/>
      <c r="N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  <c r="M38" s="2"/>
      <c r="N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  <c r="M39" s="2"/>
      <c r="N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  <c r="M40" s="2"/>
      <c r="N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  <c r="M41" s="2"/>
      <c r="N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  <c r="M42" s="2"/>
      <c r="N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  <c r="M43" s="2"/>
      <c r="N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  <c r="M44" s="2"/>
      <c r="N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  <c r="M45" s="2"/>
      <c r="N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  <c r="M46" s="2"/>
      <c r="N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  <c r="M47" s="2"/>
      <c r="N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  <c r="M48" s="2"/>
      <c r="N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  <c r="M49" s="2"/>
      <c r="N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  <c r="M50" s="2"/>
      <c r="N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  <c r="M51" s="2"/>
      <c r="N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  <c r="M52" s="2"/>
      <c r="N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  <c r="M53" s="2"/>
      <c r="N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  <c r="M54" s="2"/>
      <c r="N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  <c r="M55" s="2"/>
      <c r="N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  <c r="M56" s="2"/>
      <c r="N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  <c r="M57" s="2"/>
      <c r="N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  <c r="M58" s="2"/>
      <c r="N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  <c r="M59" s="2"/>
      <c r="N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  <c r="M60" s="2"/>
      <c r="N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  <c r="M61" s="2"/>
      <c r="N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  <c r="M62" s="2"/>
      <c r="N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  <c r="M63" s="2"/>
      <c r="N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  <c r="M64" s="2"/>
      <c r="N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  <c r="M65" s="2"/>
      <c r="N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  <c r="M66" s="2"/>
      <c r="N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  <c r="M67" s="2"/>
      <c r="N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  <c r="M68" s="2"/>
      <c r="N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  <c r="M69" s="2"/>
      <c r="N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  <c r="M70" s="2"/>
      <c r="N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  <c r="M71" s="2"/>
      <c r="N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  <c r="M72" s="2"/>
      <c r="N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  <c r="M73" s="2"/>
      <c r="N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  <c r="M74" s="2"/>
      <c r="N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  <c r="M75" s="2"/>
      <c r="N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  <c r="M76" s="2"/>
      <c r="N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  <c r="M77" s="2"/>
      <c r="N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  <c r="M78" s="2"/>
      <c r="N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  <c r="M79" s="2"/>
      <c r="N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  <c r="M80" s="2"/>
      <c r="N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  <c r="M81" s="2"/>
      <c r="N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  <c r="M82" s="2"/>
      <c r="N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  <c r="M83" s="2"/>
      <c r="N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  <c r="M84" s="2"/>
      <c r="N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  <c r="M85" s="2"/>
      <c r="N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  <c r="M86" s="2"/>
      <c r="N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4"/>
      <c r="K87" s="4"/>
      <c r="L87" s="2"/>
      <c r="M87" s="2"/>
      <c r="N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4"/>
      <c r="K88" s="4"/>
      <c r="L88" s="2"/>
      <c r="M88" s="2"/>
      <c r="N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4"/>
      <c r="K89" s="4"/>
      <c r="L89" s="2"/>
      <c r="M89" s="2"/>
      <c r="N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4"/>
      <c r="K90" s="4"/>
      <c r="L90" s="2"/>
      <c r="M90" s="2"/>
      <c r="N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4"/>
      <c r="K91" s="4"/>
      <c r="L91" s="2"/>
      <c r="M91" s="2"/>
      <c r="N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4"/>
      <c r="K92" s="4"/>
      <c r="L92" s="2"/>
      <c r="M92" s="2"/>
      <c r="N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4"/>
      <c r="K93" s="4"/>
      <c r="L93" s="2"/>
      <c r="M93" s="2"/>
      <c r="N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4"/>
      <c r="K94" s="4"/>
      <c r="L94" s="2"/>
      <c r="M94" s="2"/>
      <c r="N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4"/>
      <c r="K95" s="4"/>
      <c r="L95" s="2"/>
      <c r="M95" s="2"/>
      <c r="N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4"/>
      <c r="K96" s="4"/>
      <c r="L96" s="2"/>
      <c r="M96" s="2"/>
      <c r="N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4"/>
      <c r="K97" s="4"/>
      <c r="L97" s="2"/>
      <c r="M97" s="2"/>
      <c r="N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2"/>
      <c r="N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4"/>
      <c r="K99" s="4"/>
      <c r="L99" s="2"/>
      <c r="M99" s="2"/>
      <c r="N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2"/>
      <c r="M100" s="2"/>
      <c r="N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2"/>
      <c r="M101" s="2"/>
      <c r="N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2"/>
      <c r="M102" s="2"/>
      <c r="N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2"/>
      <c r="M103" s="2"/>
      <c r="N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2"/>
      <c r="M104" s="2"/>
      <c r="N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2"/>
      <c r="M105" s="2"/>
      <c r="N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2"/>
      <c r="M106" s="2"/>
      <c r="N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2"/>
      <c r="M107" s="2"/>
      <c r="N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2"/>
      <c r="M108" s="2"/>
      <c r="N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2"/>
      <c r="M109" s="2"/>
      <c r="N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2"/>
      <c r="M110" s="2"/>
      <c r="N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2"/>
      <c r="M111" s="2"/>
      <c r="N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2"/>
      <c r="M112" s="2"/>
      <c r="N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2"/>
      <c r="M113" s="2"/>
      <c r="N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2"/>
      <c r="M114" s="2"/>
      <c r="N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2"/>
      <c r="M115" s="2"/>
      <c r="N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2"/>
      <c r="M116" s="2"/>
      <c r="N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2"/>
      <c r="M117" s="2"/>
      <c r="N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2"/>
      <c r="M118" s="2"/>
      <c r="N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2"/>
      <c r="M119" s="2"/>
      <c r="N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2"/>
      <c r="M120" s="2"/>
      <c r="N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2"/>
      <c r="M121" s="2"/>
      <c r="N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2"/>
      <c r="M122" s="2"/>
      <c r="N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2"/>
      <c r="M123" s="2"/>
      <c r="N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2"/>
      <c r="M124" s="2"/>
      <c r="N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2"/>
      <c r="M125" s="2"/>
      <c r="N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2"/>
      <c r="M126" s="2"/>
      <c r="N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2"/>
      <c r="M127" s="2"/>
      <c r="N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2"/>
      <c r="M128" s="2"/>
      <c r="N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2"/>
      <c r="M129" s="2"/>
      <c r="N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2"/>
      <c r="M130" s="2"/>
      <c r="N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2"/>
      <c r="M131" s="2"/>
      <c r="N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2"/>
      <c r="M132" s="2"/>
      <c r="N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2"/>
      <c r="M133" s="2"/>
      <c r="N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2"/>
      <c r="M134" s="2"/>
      <c r="N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2"/>
      <c r="M135" s="2"/>
      <c r="N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2"/>
      <c r="M136" s="2"/>
      <c r="N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2"/>
      <c r="M137" s="2"/>
      <c r="N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2"/>
      <c r="M138" s="2"/>
      <c r="N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2"/>
      <c r="M139" s="2"/>
      <c r="N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2"/>
      <c r="M140" s="2"/>
      <c r="N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2"/>
      <c r="M141" s="2"/>
      <c r="N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2"/>
      <c r="M142" s="2"/>
      <c r="N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2"/>
      <c r="M143" s="2"/>
      <c r="N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2"/>
      <c r="M144" s="2"/>
      <c r="N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2"/>
      <c r="M145" s="2"/>
      <c r="N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2"/>
      <c r="M146" s="2"/>
      <c r="N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2"/>
      <c r="M147" s="2"/>
      <c r="N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2"/>
      <c r="M148" s="2"/>
      <c r="N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2"/>
      <c r="M149" s="2"/>
      <c r="N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2"/>
      <c r="M150" s="2"/>
      <c r="N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2"/>
      <c r="M151" s="2"/>
      <c r="N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2"/>
      <c r="M152" s="2"/>
      <c r="N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2"/>
      <c r="M153" s="2"/>
      <c r="N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2"/>
      <c r="M154" s="2"/>
      <c r="N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2"/>
      <c r="M155" s="2"/>
      <c r="N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2"/>
      <c r="M156" s="2"/>
      <c r="N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2"/>
      <c r="M157" s="2"/>
      <c r="N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2"/>
      <c r="M158" s="2"/>
      <c r="N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2"/>
      <c r="M159" s="2"/>
      <c r="N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2"/>
      <c r="M160" s="2"/>
      <c r="N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2"/>
      <c r="M161" s="2"/>
      <c r="N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2"/>
      <c r="M162" s="2"/>
      <c r="N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2"/>
      <c r="M163" s="2"/>
      <c r="N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2"/>
      <c r="M164" s="2"/>
      <c r="N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2"/>
      <c r="M165" s="2"/>
      <c r="N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2"/>
      <c r="M166" s="2"/>
      <c r="N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2"/>
      <c r="M167" s="2"/>
      <c r="N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2"/>
      <c r="M168" s="2"/>
      <c r="N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2"/>
      <c r="M169" s="2"/>
      <c r="N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2"/>
      <c r="M170" s="2"/>
      <c r="N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2"/>
      <c r="M171" s="2"/>
      <c r="N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2"/>
      <c r="M172" s="2"/>
      <c r="N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2"/>
      <c r="M173" s="2"/>
      <c r="N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2"/>
      <c r="M174" s="2"/>
      <c r="N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2"/>
      <c r="M175" s="2"/>
      <c r="N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2"/>
      <c r="M176" s="2"/>
      <c r="N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2"/>
      <c r="M177" s="2"/>
      <c r="N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2"/>
      <c r="M178" s="2"/>
      <c r="N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2"/>
      <c r="M179" s="2"/>
      <c r="N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2"/>
      <c r="M180" s="2"/>
      <c r="N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2"/>
      <c r="M181" s="2"/>
      <c r="N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2"/>
      <c r="M182" s="2"/>
      <c r="N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2"/>
      <c r="M183" s="2"/>
      <c r="N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2"/>
      <c r="M184" s="2"/>
      <c r="N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2"/>
      <c r="M185" s="2"/>
      <c r="N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2"/>
      <c r="M186" s="2"/>
      <c r="N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2"/>
      <c r="M187" s="2"/>
      <c r="N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2"/>
      <c r="M188" s="2"/>
      <c r="N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2"/>
      <c r="M189" s="2"/>
      <c r="N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2"/>
      <c r="M190" s="2"/>
      <c r="N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2"/>
      <c r="M191" s="2"/>
      <c r="N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2"/>
      <c r="M192" s="2"/>
      <c r="N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2"/>
      <c r="M193" s="2"/>
      <c r="N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2"/>
      <c r="M194" s="2"/>
      <c r="N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2"/>
      <c r="M195" s="2"/>
      <c r="N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2"/>
      <c r="M196" s="2"/>
      <c r="N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2"/>
      <c r="M197" s="2"/>
      <c r="N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2"/>
      <c r="M198" s="2"/>
      <c r="N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2"/>
      <c r="M199" s="2"/>
      <c r="N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2"/>
      <c r="M200" s="2"/>
      <c r="N200" s="2"/>
    </row>
  </sheetData>
  <sheetProtection sheet="1" objects="1" scenarios="1" formatCells="0" formatColumns="0" formatRows="0" insertColumns="0" insertHyperlinks="0" deleteColumns="0" pivotTables="0"/>
  <dataValidations count="6">
    <dataValidation type="list" allowBlank="1" showInputMessage="1" promptTitle="Select a value" prompt="Choose from the list." showErrorMessage="1" errorStyle="stop" errorTitle="Invalid value" error="Select a value from the list." sqref="D2:D200">
      <formula1>rngLiabilities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rngGoals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rngCommitmentStatus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14" customWidth="1"/>
    <col min="3" max="3" width="18" customWidth="1"/>
    <col min="4" max="4" width="18" customWidth="1"/>
    <col min="5" max="5" width="20" customWidth="1"/>
    <col min="6" max="6" width="20" customWidth="1"/>
    <col min="7" max="7" width="16" customWidth="1"/>
    <col min="8" max="8" width="20" customWidth="1"/>
    <col min="9" max="9" width="12" customWidth="1"/>
    <col min="10" max="10" width="16" customWidth="1"/>
    <col min="11" max="11" width="18" customWidth="1"/>
    <col min="12" max="12" width="20" customWidth="1"/>
    <col min="13" max="13" width="18" customWidth="1"/>
  </cols>
  <sheetData>
    <row r="1" spans="1:13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>
      <c r="A2" s="1" t="s">
        <v>390</v>
      </c>
      <c r="B2" s="4">
        <v>46053</v>
      </c>
      <c r="C2" s="2" t="s">
        <v>95</v>
      </c>
      <c r="D2" s="2" t="s">
        <v>360</v>
      </c>
      <c r="E2" s="2" t="s">
        <v>100</v>
      </c>
      <c r="F2" s="2" t="s">
        <v>360</v>
      </c>
      <c r="G2" s="2" t="s">
        <v>214</v>
      </c>
      <c r="H2" s="2" t="s">
        <v>370</v>
      </c>
      <c r="I2" s="2">
        <v>89000</v>
      </c>
      <c r="J2" s="2" t="s">
        <v>87</v>
      </c>
      <c r="K2" s="2" t="s">
        <v>114</v>
      </c>
      <c r="L2" s="2"/>
      <c r="M2" s="1"/>
    </row>
    <row r="3">
      <c r="A3" s="1" t="s">
        <v>391</v>
      </c>
      <c r="B3" s="4">
        <v>46266</v>
      </c>
      <c r="C3" s="2" t="s">
        <v>95</v>
      </c>
      <c r="D3" s="2" t="s">
        <v>360</v>
      </c>
      <c r="E3" s="2" t="s">
        <v>100</v>
      </c>
      <c r="F3" s="2" t="s">
        <v>360</v>
      </c>
      <c r="G3" s="2" t="s">
        <v>214</v>
      </c>
      <c r="H3" s="2" t="s">
        <v>370</v>
      </c>
      <c r="I3" s="2">
        <v>85000</v>
      </c>
      <c r="J3" s="2" t="s">
        <v>87</v>
      </c>
      <c r="K3" s="2" t="s">
        <v>114</v>
      </c>
      <c r="L3" s="2"/>
      <c r="M3" s="1"/>
    </row>
    <row r="4">
      <c r="A4" s="1" t="s">
        <v>392</v>
      </c>
      <c r="B4" s="4">
        <v>46275</v>
      </c>
      <c r="C4" s="2" t="s">
        <v>95</v>
      </c>
      <c r="D4" s="2" t="s">
        <v>360</v>
      </c>
      <c r="E4" s="2" t="s">
        <v>100</v>
      </c>
      <c r="F4" s="2" t="s">
        <v>360</v>
      </c>
      <c r="G4" s="2" t="s">
        <v>215</v>
      </c>
      <c r="H4" s="2" t="s">
        <v>372</v>
      </c>
      <c r="I4" s="2">
        <v>15000</v>
      </c>
      <c r="J4" s="2" t="s">
        <v>89</v>
      </c>
      <c r="K4" s="2" t="s">
        <v>114</v>
      </c>
      <c r="L4" s="2"/>
      <c r="M4" s="1"/>
    </row>
    <row r="5">
      <c r="A5" s="1" t="s">
        <v>393</v>
      </c>
      <c r="B5" s="4">
        <v>46032</v>
      </c>
      <c r="C5" s="2" t="s">
        <v>96</v>
      </c>
      <c r="D5" s="2" t="s">
        <v>360</v>
      </c>
      <c r="E5" s="2" t="s">
        <v>99</v>
      </c>
      <c r="F5" s="2" t="s">
        <v>366</v>
      </c>
      <c r="G5" s="2" t="s">
        <v>354</v>
      </c>
      <c r="H5" s="2"/>
      <c r="I5" s="2">
        <v>3600</v>
      </c>
      <c r="J5" s="2" t="s">
        <v>89</v>
      </c>
      <c r="K5" s="2" t="s">
        <v>114</v>
      </c>
      <c r="L5" s="2"/>
      <c r="M5" s="1"/>
    </row>
    <row r="6">
      <c r="A6" s="1" t="s">
        <v>394</v>
      </c>
      <c r="B6" s="4">
        <v>46252</v>
      </c>
      <c r="C6" s="2" t="s">
        <v>96</v>
      </c>
      <c r="D6" s="2" t="s">
        <v>360</v>
      </c>
      <c r="E6" s="2" t="s">
        <v>99</v>
      </c>
      <c r="F6" s="2" t="s">
        <v>366</v>
      </c>
      <c r="G6" s="2" t="s">
        <v>354</v>
      </c>
      <c r="H6" s="2"/>
      <c r="I6" s="2">
        <v>8000</v>
      </c>
      <c r="J6" s="2" t="s">
        <v>89</v>
      </c>
      <c r="K6" s="2" t="s">
        <v>114</v>
      </c>
      <c r="L6" s="2"/>
      <c r="M6" s="1"/>
    </row>
    <row r="7">
      <c r="A7" s="1" t="s">
        <v>395</v>
      </c>
      <c r="B7" s="4">
        <v>46270</v>
      </c>
      <c r="C7" s="2" t="s">
        <v>96</v>
      </c>
      <c r="D7" s="2" t="s">
        <v>360</v>
      </c>
      <c r="E7" s="2" t="s">
        <v>99</v>
      </c>
      <c r="F7" s="2" t="s">
        <v>366</v>
      </c>
      <c r="G7" s="2" t="s">
        <v>354</v>
      </c>
      <c r="H7" s="2"/>
      <c r="I7" s="2">
        <v>4400</v>
      </c>
      <c r="J7" s="2" t="s">
        <v>89</v>
      </c>
      <c r="K7" s="2" t="s">
        <v>114</v>
      </c>
      <c r="L7" s="2"/>
      <c r="M7" s="1"/>
    </row>
    <row r="8">
      <c r="A8" s="1" t="s">
        <v>396</v>
      </c>
      <c r="B8" s="4">
        <v>46273</v>
      </c>
      <c r="C8" s="2" t="s">
        <v>96</v>
      </c>
      <c r="D8" s="2" t="s">
        <v>360</v>
      </c>
      <c r="E8" s="2" t="s">
        <v>99</v>
      </c>
      <c r="F8" s="2" t="s">
        <v>366</v>
      </c>
      <c r="G8" s="2" t="s">
        <v>357</v>
      </c>
      <c r="H8" s="2"/>
      <c r="I8" s="2">
        <v>20000</v>
      </c>
      <c r="J8" s="2" t="s">
        <v>87</v>
      </c>
      <c r="K8" s="2" t="s">
        <v>114</v>
      </c>
      <c r="L8" s="2"/>
      <c r="M8" s="1"/>
    </row>
    <row r="9">
      <c r="A9" s="1" t="s">
        <v>397</v>
      </c>
      <c r="B9" s="4">
        <v>46285</v>
      </c>
      <c r="C9" s="2" t="s">
        <v>96</v>
      </c>
      <c r="D9" s="2" t="s">
        <v>360</v>
      </c>
      <c r="E9" s="2" t="s">
        <v>99</v>
      </c>
      <c r="F9" s="2" t="s">
        <v>366</v>
      </c>
      <c r="G9" s="2" t="s">
        <v>354</v>
      </c>
      <c r="H9" s="2"/>
      <c r="I9" s="2">
        <v>1000</v>
      </c>
      <c r="J9" s="2" t="s">
        <v>89</v>
      </c>
      <c r="K9" s="2" t="s">
        <v>114</v>
      </c>
      <c r="L9" s="2"/>
      <c r="M9" s="1"/>
    </row>
    <row r="10">
      <c r="A10" s="1" t="s">
        <v>398</v>
      </c>
      <c r="B10" s="4">
        <v>46296</v>
      </c>
      <c r="C10" s="2" t="s">
        <v>96</v>
      </c>
      <c r="D10" s="2" t="s">
        <v>360</v>
      </c>
      <c r="E10" s="2" t="s">
        <v>99</v>
      </c>
      <c r="F10" s="2" t="s">
        <v>366</v>
      </c>
      <c r="G10" s="2" t="s">
        <v>357</v>
      </c>
      <c r="H10" s="2"/>
      <c r="I10" s="2">
        <v>9999</v>
      </c>
      <c r="J10" s="2" t="s">
        <v>89</v>
      </c>
      <c r="K10" s="2" t="s">
        <v>114</v>
      </c>
      <c r="L10" s="2"/>
      <c r="M10" s="1"/>
    </row>
    <row r="11">
      <c r="A11" s="1" t="s">
        <v>399</v>
      </c>
      <c r="B11" s="4">
        <v>46267</v>
      </c>
      <c r="C11" s="2" t="s">
        <v>97</v>
      </c>
      <c r="D11" s="2" t="s">
        <v>360</v>
      </c>
      <c r="E11" s="2" t="s">
        <v>100</v>
      </c>
      <c r="F11" s="2" t="s">
        <v>363</v>
      </c>
      <c r="G11" s="2" t="s">
        <v>354</v>
      </c>
      <c r="H11" s="2"/>
      <c r="I11" s="2">
        <v>5000</v>
      </c>
      <c r="J11" s="2" t="s">
        <v>87</v>
      </c>
      <c r="K11" s="2" t="s">
        <v>114</v>
      </c>
      <c r="L11" s="2"/>
      <c r="M11" s="1"/>
    </row>
    <row r="12">
      <c r="A12" s="1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</row>
    <row r="13">
      <c r="A13" s="1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</row>
    <row r="14">
      <c r="A14" s="1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</row>
    <row r="15">
      <c r="A15" s="1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</row>
    <row r="16">
      <c r="A16" s="1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</row>
    <row r="17">
      <c r="A17" s="1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</row>
    <row r="18">
      <c r="A18" s="1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</row>
    <row r="19">
      <c r="A19" s="1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>
      <c r="A20" s="1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</row>
    <row r="21">
      <c r="A21" s="1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</row>
    <row r="22">
      <c r="A22" s="1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</row>
    <row r="23">
      <c r="A23" s="1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</row>
    <row r="24">
      <c r="A24" s="1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</row>
    <row r="25">
      <c r="A25" s="1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</row>
    <row r="26">
      <c r="A26" s="1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</row>
    <row r="27">
      <c r="A27" s="1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</row>
    <row r="28">
      <c r="A28" s="1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</row>
    <row r="29">
      <c r="A29" s="1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1"/>
    </row>
    <row r="30">
      <c r="A30" s="1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</row>
    <row r="31">
      <c r="A31" s="1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</row>
    <row r="32">
      <c r="A32" s="1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</row>
    <row r="33">
      <c r="A33" s="1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</row>
    <row r="34">
      <c r="A34" s="1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1"/>
    </row>
    <row r="35">
      <c r="A35" s="1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</row>
    <row r="36">
      <c r="A36" s="1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</row>
    <row r="37">
      <c r="A37" s="1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1"/>
    </row>
    <row r="38">
      <c r="A38" s="1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</row>
    <row r="39">
      <c r="A39" s="1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</row>
    <row r="40">
      <c r="A40" s="1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</row>
    <row r="41">
      <c r="A41" s="1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</row>
    <row r="42">
      <c r="A42" s="1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1"/>
    </row>
    <row r="43">
      <c r="A43" s="1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1"/>
    </row>
    <row r="44">
      <c r="A44" s="1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</row>
    <row r="45">
      <c r="A45" s="1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</row>
    <row r="46">
      <c r="A46" s="1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</row>
    <row r="47">
      <c r="A47" s="1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</row>
    <row r="48">
      <c r="A48" s="1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</row>
    <row r="49">
      <c r="A49" s="1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</row>
    <row r="50">
      <c r="A50" s="1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</row>
    <row r="51">
      <c r="A51" s="1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</row>
    <row r="52">
      <c r="A52" s="1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</row>
    <row r="53">
      <c r="A53" s="1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</row>
    <row r="54">
      <c r="A54" s="1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>
      <c r="A55" s="1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>
      <c r="A56" s="1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</row>
    <row r="57">
      <c r="A57" s="1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</row>
    <row r="58">
      <c r="A58" s="1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>
      <c r="A59" s="1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>
      <c r="A60" s="1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</row>
    <row r="61">
      <c r="A61" s="1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</row>
    <row r="62">
      <c r="A62" s="1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</row>
    <row r="63">
      <c r="A63" s="1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</row>
    <row r="64">
      <c r="A64" s="1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</row>
    <row r="65">
      <c r="A65" s="1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</row>
    <row r="66">
      <c r="A66" s="1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</row>
    <row r="67">
      <c r="A67" s="1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</row>
    <row r="68">
      <c r="A68" s="1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</row>
    <row r="69">
      <c r="A69" s="1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</row>
    <row r="70">
      <c r="A70" s="1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</row>
    <row r="71">
      <c r="A71" s="1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</row>
    <row r="72">
      <c r="A72" s="1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</row>
    <row r="73">
      <c r="A73" s="1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</row>
    <row r="74">
      <c r="A74" s="1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</row>
    <row r="75">
      <c r="A75" s="1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</row>
    <row r="76">
      <c r="A76" s="1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</row>
    <row r="77">
      <c r="A77" s="1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</row>
    <row r="78">
      <c r="A78" s="1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</row>
    <row r="79">
      <c r="A79" s="1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</row>
    <row r="80">
      <c r="A80" s="1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</row>
    <row r="81">
      <c r="A81" s="1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</row>
    <row r="82">
      <c r="A82" s="1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</row>
    <row r="83">
      <c r="A83" s="1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</row>
    <row r="84">
      <c r="A84" s="1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</row>
    <row r="85">
      <c r="A85" s="1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</row>
    <row r="86">
      <c r="A86" s="1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</row>
    <row r="87">
      <c r="A87" s="1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</row>
    <row r="88">
      <c r="A88" s="1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</row>
    <row r="89">
      <c r="A89" s="1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</row>
    <row r="90">
      <c r="A90" s="1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</row>
    <row r="91">
      <c r="A91" s="1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</row>
    <row r="92">
      <c r="A92" s="1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</row>
    <row r="93">
      <c r="A93" s="1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</row>
    <row r="94">
      <c r="A94" s="1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</row>
    <row r="95">
      <c r="A95" s="1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</row>
    <row r="96">
      <c r="A96" s="1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</row>
    <row r="97">
      <c r="A97" s="1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</row>
    <row r="98">
      <c r="A98" s="1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</row>
    <row r="99">
      <c r="A99" s="1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</row>
    <row r="100">
      <c r="A100" s="1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</row>
    <row r="101">
      <c r="A101" s="1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</row>
    <row r="102">
      <c r="A102" s="1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</row>
    <row r="103">
      <c r="A103" s="1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</row>
    <row r="104">
      <c r="A104" s="1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</row>
    <row r="105">
      <c r="A105" s="1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</row>
    <row r="106">
      <c r="A106" s="1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</row>
    <row r="107">
      <c r="A107" s="1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</row>
    <row r="108">
      <c r="A108" s="1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</row>
    <row r="109">
      <c r="A109" s="1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</row>
    <row r="110">
      <c r="A110" s="1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</row>
    <row r="111">
      <c r="A111" s="1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</row>
    <row r="112">
      <c r="A112" s="1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</row>
    <row r="113">
      <c r="A113" s="1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</row>
    <row r="114">
      <c r="A114" s="1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>
      <c r="A115" s="1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>
      <c r="A116" s="1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</row>
    <row r="117">
      <c r="A117" s="1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>
      <c r="A118" s="1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</row>
    <row r="119">
      <c r="A119" s="1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</row>
    <row r="120">
      <c r="A120" s="1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</row>
    <row r="121">
      <c r="A121" s="1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</row>
    <row r="122">
      <c r="A122" s="1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</row>
    <row r="123">
      <c r="A123" s="1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</row>
    <row r="124">
      <c r="A124" s="1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>
      <c r="A125" s="1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>
      <c r="A126" s="1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</row>
    <row r="127">
      <c r="A127" s="1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</row>
    <row r="128">
      <c r="A128" s="1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</row>
    <row r="129">
      <c r="A129" s="1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</row>
    <row r="130">
      <c r="A130" s="1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</row>
    <row r="131">
      <c r="A131" s="1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</row>
    <row r="132">
      <c r="A132" s="1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</row>
    <row r="133">
      <c r="A133" s="1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</row>
    <row r="134">
      <c r="A134" s="1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</row>
    <row r="135">
      <c r="A135" s="1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</row>
    <row r="136">
      <c r="A136" s="1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</row>
    <row r="137">
      <c r="A137" s="1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</row>
    <row r="138">
      <c r="A138" s="1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</row>
    <row r="139">
      <c r="A139" s="1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</row>
    <row r="140">
      <c r="A140" s="1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</row>
    <row r="141">
      <c r="A141" s="1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</row>
    <row r="142">
      <c r="A142" s="1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</row>
    <row r="143">
      <c r="A143" s="1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>
      <c r="A144" s="1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>
      <c r="A145" s="1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>
      <c r="A146" s="1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>
      <c r="A147" s="1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>
      <c r="A148" s="1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>
      <c r="A149" s="1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>
      <c r="A150" s="1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>
      <c r="A151" s="1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>
      <c r="A152" s="1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>
      <c r="A153" s="1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>
      <c r="A154" s="1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>
      <c r="A155" s="1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>
      <c r="A156" s="1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>
      <c r="A157" s="1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>
      <c r="A158" s="1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>
      <c r="A159" s="1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>
      <c r="A160" s="1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>
      <c r="A161" s="1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>
      <c r="A162" s="1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>
      <c r="A163" s="1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>
      <c r="A164" s="1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>
      <c r="A165" s="1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>
      <c r="A166" s="1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>
      <c r="A167" s="1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>
      <c r="A168" s="1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>
      <c r="A169" s="1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>
      <c r="A170" s="1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>
      <c r="A171" s="1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>
      <c r="A172" s="1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>
      <c r="A173" s="1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>
      <c r="A174" s="1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>
      <c r="A175" s="1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>
      <c r="A176" s="1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>
      <c r="A177" s="1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>
      <c r="A178" s="1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>
      <c r="A179" s="1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>
      <c r="A180" s="1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>
      <c r="A181" s="1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>
      <c r="A182" s="1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>
      <c r="A183" s="1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>
      <c r="A184" s="1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>
      <c r="A185" s="1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>
      <c r="A186" s="1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>
      <c r="A187" s="1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>
      <c r="A188" s="1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>
      <c r="A189" s="1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>
      <c r="A190" s="1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>
      <c r="A191" s="1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>
      <c r="A192" s="1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>
      <c r="A193" s="1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>
      <c r="A194" s="1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>
      <c r="A195" s="1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>
      <c r="A196" s="1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>
      <c r="A197" s="1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>
      <c r="A198" s="1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>
      <c r="A199" s="1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>
      <c r="A200" s="1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Hyperlinks="0" deleteColumns="0" pivotTables="0"/>
  <dataValidations count="9">
    <dataValidation type="list" allowBlank="1" showInputMessage="1" promptTitle="Select a value" prompt="Choose from the list." showErrorMessage="1" errorStyle="stop" errorTitle="Invalid value" error="Select a value from the list." sqref="C2:C200">
      <formula1>rngTransactionType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rngDestinationType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rngIncomeSources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rngPaymentMethods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rngTransactionStatus</formula1>
    </dataValidation>
    <dataValidation type="custom" allowBlank="1" showInputMessage="1" promptTitle="Enter amount" prompt="Use a positive amount; Adjustments may be signed but not zero." showErrorMessage="1" errorStyle="stop" errorTitle="Invalid amount" error="Amount must be positive, except signed non-zero Adjustments." sqref="I2:I200">
      <formula1>OR($I2="",IF($C2="Adjustment",$I2&lt;&gt;0,$I2&gt;0))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6" customWidth="1"/>
    <col min="6" max="6" width="20" customWidth="1"/>
    <col min="7" max="7" width="18" customWidth="1"/>
    <col min="8" max="8" width="26" customWidth="1"/>
    <col min="9" max="9" width="14" customWidth="1"/>
    <col min="10" max="10" width="12" customWidth="1"/>
    <col min="11" max="11" width="14" customWidth="1"/>
    <col min="12" max="12" width="18" customWidth="1"/>
  </cols>
  <sheetData>
    <row r="1" spans="1:12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>
      <c r="A2" s="1" t="s">
        <v>384</v>
      </c>
      <c r="B2" s="2" t="s">
        <v>385</v>
      </c>
      <c r="C2" s="2" t="s">
        <v>354</v>
      </c>
      <c r="D2" s="2" t="s">
        <v>363</v>
      </c>
      <c r="E2" s="2">
        <v>300000</v>
      </c>
      <c r="F2" s="2">
        <v>50000</v>
      </c>
      <c r="G2" s="1">
        <f>MAX(0,tblGoals[[#This Row],[Target Amount]]-tblGoals[[#This Row],[Current Saved Amount]])</f>
      </c>
      <c r="H2" s="2">
        <v>15000</v>
      </c>
      <c r="I2" s="4">
        <v>46752</v>
      </c>
      <c r="J2" s="2" t="s">
        <v>108</v>
      </c>
      <c r="K2" s="2" t="s">
        <v>111</v>
      </c>
      <c r="L2" s="2"/>
    </row>
    <row r="3">
      <c r="A3" s="1" t="s">
        <v>386</v>
      </c>
      <c r="B3" s="2" t="s">
        <v>387</v>
      </c>
      <c r="C3" s="2" t="s">
        <v>357</v>
      </c>
      <c r="D3" s="2" t="s">
        <v>360</v>
      </c>
      <c r="E3" s="2">
        <v>80000</v>
      </c>
      <c r="F3" s="2">
        <v>80000</v>
      </c>
      <c r="G3" s="1">
        <f>MAX(0,tblGoals[[#This Row],[Target Amount]]-tblGoals[[#This Row],[Current Saved Amount]])</f>
      </c>
      <c r="H3" s="2">
        <v>0</v>
      </c>
      <c r="I3" s="4">
        <v>46143</v>
      </c>
      <c r="J3" s="2" t="s">
        <v>109</v>
      </c>
      <c r="K3" s="2" t="s">
        <v>114</v>
      </c>
      <c r="L3" s="2"/>
    </row>
    <row r="4">
      <c r="A4" s="1" t="s">
        <v>388</v>
      </c>
      <c r="B4" s="2" t="s">
        <v>389</v>
      </c>
      <c r="C4" s="2" t="s">
        <v>354</v>
      </c>
      <c r="D4" s="2" t="s">
        <v>360</v>
      </c>
      <c r="E4" s="2">
        <v>150000</v>
      </c>
      <c r="F4" s="2">
        <v>20000</v>
      </c>
      <c r="G4" s="1">
        <f>MAX(0,tblGoals[[#This Row],[Target Amount]]-tblGoals[[#This Row],[Current Saved Amount]])</f>
      </c>
      <c r="H4" s="2">
        <v>5000</v>
      </c>
      <c r="I4" s="4">
        <v>46934</v>
      </c>
      <c r="J4" s="2" t="s">
        <v>110</v>
      </c>
      <c r="K4" s="2" t="s">
        <v>113</v>
      </c>
      <c r="L4" s="2"/>
    </row>
    <row r="5">
      <c r="A5" s="1"/>
      <c r="B5" s="2"/>
      <c r="C5" s="2"/>
      <c r="D5" s="2"/>
      <c r="E5" s="2"/>
      <c r="F5" s="1"/>
      <c r="G5" s="1">
        <f>MAX(0,tblGoals[[#This Row],[Target Amount]]-tblGoals[[#This Row],[Current Saved Amount]])</f>
      </c>
      <c r="H5" s="2"/>
      <c r="I5" s="4"/>
      <c r="J5" s="2"/>
      <c r="K5" s="2"/>
      <c r="L5" s="2"/>
    </row>
    <row r="6">
      <c r="A6" s="1"/>
      <c r="B6" s="2"/>
      <c r="C6" s="2"/>
      <c r="D6" s="2"/>
      <c r="E6" s="2"/>
      <c r="F6" s="1"/>
      <c r="G6" s="1">
        <f>MAX(0,tblGoals[[#This Row],[Target Amount]]-tblGoals[[#This Row],[Current Saved Amount]])</f>
      </c>
      <c r="H6" s="2"/>
      <c r="I6" s="4"/>
      <c r="J6" s="2"/>
      <c r="K6" s="2"/>
      <c r="L6" s="2"/>
    </row>
    <row r="7">
      <c r="A7" s="1"/>
      <c r="B7" s="2"/>
      <c r="C7" s="2"/>
      <c r="D7" s="2"/>
      <c r="E7" s="2"/>
      <c r="F7" s="1"/>
      <c r="G7" s="1">
        <f>MAX(0,tblGoals[[#This Row],[Target Amount]]-tblGoals[[#This Row],[Current Saved Amount]])</f>
      </c>
      <c r="H7" s="2"/>
      <c r="I7" s="4"/>
      <c r="J7" s="2"/>
      <c r="K7" s="2"/>
      <c r="L7" s="2"/>
    </row>
    <row r="8">
      <c r="A8" s="1"/>
      <c r="B8" s="2"/>
      <c r="C8" s="2"/>
      <c r="D8" s="2"/>
      <c r="E8" s="2"/>
      <c r="F8" s="1"/>
      <c r="G8" s="1">
        <f>MAX(0,tblGoals[[#This Row],[Target Amount]]-tblGoals[[#This Row],[Current Saved Amount]])</f>
      </c>
      <c r="H8" s="2"/>
      <c r="I8" s="4"/>
      <c r="J8" s="2"/>
      <c r="K8" s="2"/>
      <c r="L8" s="2"/>
    </row>
    <row r="9">
      <c r="A9" s="1"/>
      <c r="B9" s="2"/>
      <c r="C9" s="2"/>
      <c r="D9" s="2"/>
      <c r="E9" s="2"/>
      <c r="F9" s="1"/>
      <c r="G9" s="1">
        <f>MAX(0,tblGoals[[#This Row],[Target Amount]]-tblGoals[[#This Row],[Current Saved Amount]])</f>
      </c>
      <c r="H9" s="2"/>
      <c r="I9" s="4"/>
      <c r="J9" s="2"/>
      <c r="K9" s="2"/>
      <c r="L9" s="2"/>
    </row>
    <row r="10">
      <c r="A10" s="1"/>
      <c r="B10" s="2"/>
      <c r="C10" s="2"/>
      <c r="D10" s="2"/>
      <c r="E10" s="2"/>
      <c r="F10" s="1"/>
      <c r="G10" s="1">
        <f>MAX(0,tblGoals[[#This Row],[Target Amount]]-tblGoals[[#This Row],[Current Saved Amount]])</f>
      </c>
      <c r="H10" s="2"/>
      <c r="I10" s="4"/>
      <c r="J10" s="2"/>
      <c r="K10" s="2"/>
      <c r="L10" s="2"/>
    </row>
    <row r="11">
      <c r="A11" s="1"/>
      <c r="B11" s="2"/>
      <c r="C11" s="2"/>
      <c r="D11" s="2"/>
      <c r="E11" s="2"/>
      <c r="F11" s="1"/>
      <c r="G11" s="1">
        <f>MAX(0,tblGoals[[#This Row],[Target Amount]]-tblGoals[[#This Row],[Current Saved Amount]])</f>
      </c>
      <c r="H11" s="2"/>
      <c r="I11" s="4"/>
      <c r="J11" s="2"/>
      <c r="K11" s="2"/>
      <c r="L11" s="2"/>
    </row>
    <row r="12">
      <c r="A12" s="1"/>
      <c r="B12" s="2"/>
      <c r="C12" s="2"/>
      <c r="D12" s="2"/>
      <c r="E12" s="2"/>
      <c r="F12" s="1"/>
      <c r="G12" s="1">
        <f>MAX(0,tblGoals[[#This Row],[Target Amount]]-tblGoals[[#This Row],[Current Saved Amount]])</f>
      </c>
      <c r="H12" s="2"/>
      <c r="I12" s="4"/>
      <c r="J12" s="2"/>
      <c r="K12" s="2"/>
      <c r="L12" s="2"/>
    </row>
    <row r="13">
      <c r="A13" s="1"/>
      <c r="B13" s="2"/>
      <c r="C13" s="2"/>
      <c r="D13" s="2"/>
      <c r="E13" s="2"/>
      <c r="F13" s="1"/>
      <c r="G13" s="1">
        <f>MAX(0,tblGoals[[#This Row],[Target Amount]]-tblGoals[[#This Row],[Current Saved Amount]])</f>
      </c>
      <c r="H13" s="2"/>
      <c r="I13" s="4"/>
      <c r="J13" s="2"/>
      <c r="K13" s="2"/>
      <c r="L13" s="2"/>
    </row>
    <row r="14">
      <c r="A14" s="1"/>
      <c r="B14" s="2"/>
      <c r="C14" s="2"/>
      <c r="D14" s="2"/>
      <c r="E14" s="2"/>
      <c r="F14" s="1"/>
      <c r="G14" s="1">
        <f>MAX(0,tblGoals[[#This Row],[Target Amount]]-tblGoals[[#This Row],[Current Saved Amount]])</f>
      </c>
      <c r="H14" s="2"/>
      <c r="I14" s="4"/>
      <c r="J14" s="2"/>
      <c r="K14" s="2"/>
      <c r="L14" s="2"/>
    </row>
    <row r="15">
      <c r="A15" s="1"/>
      <c r="B15" s="2"/>
      <c r="C15" s="2"/>
      <c r="D15" s="2"/>
      <c r="E15" s="2"/>
      <c r="F15" s="1"/>
      <c r="G15" s="1">
        <f>MAX(0,tblGoals[[#This Row],[Target Amount]]-tblGoals[[#This Row],[Current Saved Amount]])</f>
      </c>
      <c r="H15" s="2"/>
      <c r="I15" s="4"/>
      <c r="J15" s="2"/>
      <c r="K15" s="2"/>
      <c r="L15" s="2"/>
    </row>
    <row r="16">
      <c r="A16" s="1"/>
      <c r="B16" s="2"/>
      <c r="C16" s="2"/>
      <c r="D16" s="2"/>
      <c r="E16" s="2"/>
      <c r="F16" s="1"/>
      <c r="G16" s="1">
        <f>MAX(0,tblGoals[[#This Row],[Target Amount]]-tblGoals[[#This Row],[Current Saved Amount]])</f>
      </c>
      <c r="H16" s="2"/>
      <c r="I16" s="4"/>
      <c r="J16" s="2"/>
      <c r="K16" s="2"/>
      <c r="L16" s="2"/>
    </row>
    <row r="17">
      <c r="A17" s="1"/>
      <c r="B17" s="2"/>
      <c r="C17" s="2"/>
      <c r="D17" s="2"/>
      <c r="E17" s="2"/>
      <c r="F17" s="1"/>
      <c r="G17" s="1">
        <f>MAX(0,tblGoals[[#This Row],[Target Amount]]-tblGoals[[#This Row],[Current Saved Amount]])</f>
      </c>
      <c r="H17" s="2"/>
      <c r="I17" s="4"/>
      <c r="J17" s="2"/>
      <c r="K17" s="2"/>
      <c r="L17" s="2"/>
    </row>
    <row r="18">
      <c r="A18" s="1"/>
      <c r="B18" s="2"/>
      <c r="C18" s="2"/>
      <c r="D18" s="2"/>
      <c r="E18" s="2"/>
      <c r="F18" s="1"/>
      <c r="G18" s="1">
        <f>MAX(0,tblGoals[[#This Row],[Target Amount]]-tblGoals[[#This Row],[Current Saved Amount]])</f>
      </c>
      <c r="H18" s="2"/>
      <c r="I18" s="4"/>
      <c r="J18" s="2"/>
      <c r="K18" s="2"/>
      <c r="L18" s="2"/>
    </row>
    <row r="19">
      <c r="A19" s="1"/>
      <c r="B19" s="2"/>
      <c r="C19" s="2"/>
      <c r="D19" s="2"/>
      <c r="E19" s="2"/>
      <c r="F19" s="1"/>
      <c r="G19" s="1">
        <f>MAX(0,tblGoals[[#This Row],[Target Amount]]-tblGoals[[#This Row],[Current Saved Amount]])</f>
      </c>
      <c r="H19" s="2"/>
      <c r="I19" s="4"/>
      <c r="J19" s="2"/>
      <c r="K19" s="2"/>
      <c r="L19" s="2"/>
    </row>
    <row r="20">
      <c r="A20" s="1"/>
      <c r="B20" s="2"/>
      <c r="C20" s="2"/>
      <c r="D20" s="2"/>
      <c r="E20" s="2"/>
      <c r="F20" s="1"/>
      <c r="G20" s="1">
        <f>MAX(0,tblGoals[[#This Row],[Target Amount]]-tblGoals[[#This Row],[Current Saved Amount]])</f>
      </c>
      <c r="H20" s="2"/>
      <c r="I20" s="4"/>
      <c r="J20" s="2"/>
      <c r="K20" s="2"/>
      <c r="L20" s="2"/>
    </row>
    <row r="21">
      <c r="A21" s="1"/>
      <c r="B21" s="2"/>
      <c r="C21" s="2"/>
      <c r="D21" s="2"/>
      <c r="E21" s="2"/>
      <c r="F21" s="1"/>
      <c r="G21" s="1">
        <f>MAX(0,tblGoals[[#This Row],[Target Amount]]-tblGoals[[#This Row],[Current Saved Amount]])</f>
      </c>
      <c r="H21" s="2"/>
      <c r="I21" s="4"/>
      <c r="J21" s="2"/>
      <c r="K21" s="2"/>
      <c r="L21" s="2"/>
    </row>
    <row r="22">
      <c r="A22" s="1"/>
      <c r="B22" s="2"/>
      <c r="C22" s="2"/>
      <c r="D22" s="2"/>
      <c r="E22" s="2"/>
      <c r="F22" s="1"/>
      <c r="G22" s="1">
        <f>MAX(0,tblGoals[[#This Row],[Target Amount]]-tblGoals[[#This Row],[Current Saved Amount]])</f>
      </c>
      <c r="H22" s="2"/>
      <c r="I22" s="4"/>
      <c r="J22" s="2"/>
      <c r="K22" s="2"/>
      <c r="L22" s="2"/>
    </row>
    <row r="23">
      <c r="A23" s="1"/>
      <c r="B23" s="2"/>
      <c r="C23" s="2"/>
      <c r="D23" s="2"/>
      <c r="E23" s="2"/>
      <c r="F23" s="1"/>
      <c r="G23" s="1">
        <f>MAX(0,tblGoals[[#This Row],[Target Amount]]-tblGoals[[#This Row],[Current Saved Amount]])</f>
      </c>
      <c r="H23" s="2"/>
      <c r="I23" s="4"/>
      <c r="J23" s="2"/>
      <c r="K23" s="2"/>
      <c r="L23" s="2"/>
    </row>
    <row r="24">
      <c r="A24" s="1"/>
      <c r="B24" s="2"/>
      <c r="C24" s="2"/>
      <c r="D24" s="2"/>
      <c r="E24" s="2"/>
      <c r="F24" s="1"/>
      <c r="G24" s="1">
        <f>MAX(0,tblGoals[[#This Row],[Target Amount]]-tblGoals[[#This Row],[Current Saved Amount]])</f>
      </c>
      <c r="H24" s="2"/>
      <c r="I24" s="4"/>
      <c r="J24" s="2"/>
      <c r="K24" s="2"/>
      <c r="L24" s="2"/>
    </row>
    <row r="25">
      <c r="A25" s="1"/>
      <c r="B25" s="2"/>
      <c r="C25" s="2"/>
      <c r="D25" s="2"/>
      <c r="E25" s="2"/>
      <c r="F25" s="1"/>
      <c r="G25" s="1">
        <f>MAX(0,tblGoals[[#This Row],[Target Amount]]-tblGoals[[#This Row],[Current Saved Amount]])</f>
      </c>
      <c r="H25" s="2"/>
      <c r="I25" s="4"/>
      <c r="J25" s="2"/>
      <c r="K25" s="2"/>
      <c r="L25" s="2"/>
    </row>
    <row r="26">
      <c r="A26" s="1"/>
      <c r="B26" s="2"/>
      <c r="C26" s="2"/>
      <c r="D26" s="2"/>
      <c r="E26" s="2"/>
      <c r="F26" s="1"/>
      <c r="G26" s="1">
        <f>MAX(0,tblGoals[[#This Row],[Target Amount]]-tblGoals[[#This Row],[Current Saved Amount]])</f>
      </c>
      <c r="H26" s="2"/>
      <c r="I26" s="4"/>
      <c r="J26" s="2"/>
      <c r="K26" s="2"/>
      <c r="L26" s="2"/>
    </row>
    <row r="27">
      <c r="A27" s="1"/>
      <c r="B27" s="2"/>
      <c r="C27" s="2"/>
      <c r="D27" s="2"/>
      <c r="E27" s="2"/>
      <c r="F27" s="1"/>
      <c r="G27" s="1">
        <f>MAX(0,tblGoals[[#This Row],[Target Amount]]-tblGoals[[#This Row],[Current Saved Amount]])</f>
      </c>
      <c r="H27" s="2"/>
      <c r="I27" s="4"/>
      <c r="J27" s="2"/>
      <c r="K27" s="2"/>
      <c r="L27" s="2"/>
    </row>
    <row r="28">
      <c r="A28" s="1"/>
      <c r="B28" s="2"/>
      <c r="C28" s="2"/>
      <c r="D28" s="2"/>
      <c r="E28" s="2"/>
      <c r="F28" s="1"/>
      <c r="G28" s="1">
        <f>MAX(0,tblGoals[[#This Row],[Target Amount]]-tblGoals[[#This Row],[Current Saved Amount]])</f>
      </c>
      <c r="H28" s="2"/>
      <c r="I28" s="4"/>
      <c r="J28" s="2"/>
      <c r="K28" s="2"/>
      <c r="L28" s="2"/>
    </row>
    <row r="29">
      <c r="A29" s="1"/>
      <c r="B29" s="2"/>
      <c r="C29" s="2"/>
      <c r="D29" s="2"/>
      <c r="E29" s="2"/>
      <c r="F29" s="1"/>
      <c r="G29" s="1">
        <f>MAX(0,tblGoals[[#This Row],[Target Amount]]-tblGoals[[#This Row],[Current Saved Amount]])</f>
      </c>
      <c r="H29" s="2"/>
      <c r="I29" s="4"/>
      <c r="J29" s="2"/>
      <c r="K29" s="2"/>
      <c r="L29" s="2"/>
    </row>
    <row r="30">
      <c r="A30" s="1"/>
      <c r="B30" s="2"/>
      <c r="C30" s="2"/>
      <c r="D30" s="2"/>
      <c r="E30" s="2"/>
      <c r="F30" s="1"/>
      <c r="G30" s="1">
        <f>MAX(0,tblGoals[[#This Row],[Target Amount]]-tblGoals[[#This Row],[Current Saved Amount]])</f>
      </c>
      <c r="H30" s="2"/>
      <c r="I30" s="4"/>
      <c r="J30" s="2"/>
      <c r="K30" s="2"/>
      <c r="L30" s="2"/>
    </row>
    <row r="31">
      <c r="A31" s="1"/>
      <c r="B31" s="2"/>
      <c r="C31" s="2"/>
      <c r="D31" s="2"/>
      <c r="E31" s="2"/>
      <c r="F31" s="1"/>
      <c r="G31" s="1">
        <f>MAX(0,tblGoals[[#This Row],[Target Amount]]-tblGoals[[#This Row],[Current Saved Amount]])</f>
      </c>
      <c r="H31" s="2"/>
      <c r="I31" s="4"/>
      <c r="J31" s="2"/>
      <c r="K31" s="2"/>
      <c r="L31" s="2"/>
    </row>
    <row r="32">
      <c r="A32" s="1"/>
      <c r="B32" s="2"/>
      <c r="C32" s="2"/>
      <c r="D32" s="2"/>
      <c r="E32" s="2"/>
      <c r="F32" s="1"/>
      <c r="G32" s="1">
        <f>MAX(0,tblGoals[[#This Row],[Target Amount]]-tblGoals[[#This Row],[Current Saved Amount]])</f>
      </c>
      <c r="H32" s="2"/>
      <c r="I32" s="4"/>
      <c r="J32" s="2"/>
      <c r="K32" s="2"/>
      <c r="L32" s="2"/>
    </row>
    <row r="33">
      <c r="A33" s="1"/>
      <c r="B33" s="2"/>
      <c r="C33" s="2"/>
      <c r="D33" s="2"/>
      <c r="E33" s="2"/>
      <c r="F33" s="1"/>
      <c r="G33" s="1">
        <f>MAX(0,tblGoals[[#This Row],[Target Amount]]-tblGoals[[#This Row],[Current Saved Amount]])</f>
      </c>
      <c r="H33" s="2"/>
      <c r="I33" s="4"/>
      <c r="J33" s="2"/>
      <c r="K33" s="2"/>
      <c r="L33" s="2"/>
    </row>
    <row r="34">
      <c r="A34" s="1"/>
      <c r="B34" s="2"/>
      <c r="C34" s="2"/>
      <c r="D34" s="2"/>
      <c r="E34" s="2"/>
      <c r="F34" s="1"/>
      <c r="G34" s="1">
        <f>MAX(0,tblGoals[[#This Row],[Target Amount]]-tblGoals[[#This Row],[Current Saved Amount]])</f>
      </c>
      <c r="H34" s="2"/>
      <c r="I34" s="4"/>
      <c r="J34" s="2"/>
      <c r="K34" s="2"/>
      <c r="L34" s="2"/>
    </row>
    <row r="35">
      <c r="A35" s="1"/>
      <c r="B35" s="2"/>
      <c r="C35" s="2"/>
      <c r="D35" s="2"/>
      <c r="E35" s="2"/>
      <c r="F35" s="1"/>
      <c r="G35" s="1">
        <f>MAX(0,tblGoals[[#This Row],[Target Amount]]-tblGoals[[#This Row],[Current Saved Amount]])</f>
      </c>
      <c r="H35" s="2"/>
      <c r="I35" s="4"/>
      <c r="J35" s="2"/>
      <c r="K35" s="2"/>
      <c r="L35" s="2"/>
    </row>
    <row r="36">
      <c r="A36" s="1"/>
      <c r="B36" s="2"/>
      <c r="C36" s="2"/>
      <c r="D36" s="2"/>
      <c r="E36" s="2"/>
      <c r="F36" s="1"/>
      <c r="G36" s="1">
        <f>MAX(0,tblGoals[[#This Row],[Target Amount]]-tblGoals[[#This Row],[Current Saved Amount]])</f>
      </c>
      <c r="H36" s="2"/>
      <c r="I36" s="4"/>
      <c r="J36" s="2"/>
      <c r="K36" s="2"/>
      <c r="L36" s="2"/>
    </row>
    <row r="37">
      <c r="A37" s="1"/>
      <c r="B37" s="2"/>
      <c r="C37" s="2"/>
      <c r="D37" s="2"/>
      <c r="E37" s="2"/>
      <c r="F37" s="1"/>
      <c r="G37" s="1">
        <f>MAX(0,tblGoals[[#This Row],[Target Amount]]-tblGoals[[#This Row],[Current Saved Amount]])</f>
      </c>
      <c r="H37" s="2"/>
      <c r="I37" s="4"/>
      <c r="J37" s="2"/>
      <c r="K37" s="2"/>
      <c r="L37" s="2"/>
    </row>
    <row r="38">
      <c r="A38" s="1"/>
      <c r="B38" s="2"/>
      <c r="C38" s="2"/>
      <c r="D38" s="2"/>
      <c r="E38" s="2"/>
      <c r="F38" s="1"/>
      <c r="G38" s="1">
        <f>MAX(0,tblGoals[[#This Row],[Target Amount]]-tblGoals[[#This Row],[Current Saved Amount]])</f>
      </c>
      <c r="H38" s="2"/>
      <c r="I38" s="4"/>
      <c r="J38" s="2"/>
      <c r="K38" s="2"/>
      <c r="L38" s="2"/>
    </row>
    <row r="39">
      <c r="A39" s="1"/>
      <c r="B39" s="2"/>
      <c r="C39" s="2"/>
      <c r="D39" s="2"/>
      <c r="E39" s="2"/>
      <c r="F39" s="1"/>
      <c r="G39" s="1">
        <f>MAX(0,tblGoals[[#This Row],[Target Amount]]-tblGoals[[#This Row],[Current Saved Amount]])</f>
      </c>
      <c r="H39" s="2"/>
      <c r="I39" s="4"/>
      <c r="J39" s="2"/>
      <c r="K39" s="2"/>
      <c r="L39" s="2"/>
    </row>
    <row r="40">
      <c r="A40" s="1"/>
      <c r="B40" s="2"/>
      <c r="C40" s="2"/>
      <c r="D40" s="2"/>
      <c r="E40" s="2"/>
      <c r="F40" s="1"/>
      <c r="G40" s="1">
        <f>MAX(0,tblGoals[[#This Row],[Target Amount]]-tblGoals[[#This Row],[Current Saved Amount]])</f>
      </c>
      <c r="H40" s="2"/>
      <c r="I40" s="4"/>
      <c r="J40" s="2"/>
      <c r="K40" s="2"/>
      <c r="L40" s="2"/>
    </row>
    <row r="41">
      <c r="A41" s="1"/>
      <c r="B41" s="2"/>
      <c r="C41" s="2"/>
      <c r="D41" s="2"/>
      <c r="E41" s="2"/>
      <c r="F41" s="1"/>
      <c r="G41" s="1">
        <f>MAX(0,tblGoals[[#This Row],[Target Amount]]-tblGoals[[#This Row],[Current Saved Amount]])</f>
      </c>
      <c r="H41" s="2"/>
      <c r="I41" s="4"/>
      <c r="J41" s="2"/>
      <c r="K41" s="2"/>
      <c r="L41" s="2"/>
    </row>
    <row r="42">
      <c r="A42" s="1"/>
      <c r="B42" s="2"/>
      <c r="C42" s="2"/>
      <c r="D42" s="2"/>
      <c r="E42" s="2"/>
      <c r="F42" s="1"/>
      <c r="G42" s="1">
        <f>MAX(0,tblGoals[[#This Row],[Target Amount]]-tblGoals[[#This Row],[Current Saved Amount]])</f>
      </c>
      <c r="H42" s="2"/>
      <c r="I42" s="4"/>
      <c r="J42" s="2"/>
      <c r="K42" s="2"/>
      <c r="L42" s="2"/>
    </row>
    <row r="43">
      <c r="A43" s="1"/>
      <c r="B43" s="2"/>
      <c r="C43" s="2"/>
      <c r="D43" s="2"/>
      <c r="E43" s="2"/>
      <c r="F43" s="1"/>
      <c r="G43" s="1">
        <f>MAX(0,tblGoals[[#This Row],[Target Amount]]-tblGoals[[#This Row],[Current Saved Amount]])</f>
      </c>
      <c r="H43" s="2"/>
      <c r="I43" s="4"/>
      <c r="J43" s="2"/>
      <c r="K43" s="2"/>
      <c r="L43" s="2"/>
    </row>
    <row r="44">
      <c r="A44" s="1"/>
      <c r="B44" s="2"/>
      <c r="C44" s="2"/>
      <c r="D44" s="2"/>
      <c r="E44" s="2"/>
      <c r="F44" s="1"/>
      <c r="G44" s="1">
        <f>MAX(0,tblGoals[[#This Row],[Target Amount]]-tblGoals[[#This Row],[Current Saved Amount]])</f>
      </c>
      <c r="H44" s="2"/>
      <c r="I44" s="4"/>
      <c r="J44" s="2"/>
      <c r="K44" s="2"/>
      <c r="L44" s="2"/>
    </row>
    <row r="45">
      <c r="A45" s="1"/>
      <c r="B45" s="2"/>
      <c r="C45" s="2"/>
      <c r="D45" s="2"/>
      <c r="E45" s="2"/>
      <c r="F45" s="1"/>
      <c r="G45" s="1">
        <f>MAX(0,tblGoals[[#This Row],[Target Amount]]-tblGoals[[#This Row],[Current Saved Amount]])</f>
      </c>
      <c r="H45" s="2"/>
      <c r="I45" s="4"/>
      <c r="J45" s="2"/>
      <c r="K45" s="2"/>
      <c r="L45" s="2"/>
    </row>
    <row r="46">
      <c r="A46" s="1"/>
      <c r="B46" s="2"/>
      <c r="C46" s="2"/>
      <c r="D46" s="2"/>
      <c r="E46" s="2"/>
      <c r="F46" s="1"/>
      <c r="G46" s="1">
        <f>MAX(0,tblGoals[[#This Row],[Target Amount]]-tblGoals[[#This Row],[Current Saved Amount]])</f>
      </c>
      <c r="H46" s="2"/>
      <c r="I46" s="4"/>
      <c r="J46" s="2"/>
      <c r="K46" s="2"/>
      <c r="L46" s="2"/>
    </row>
    <row r="47">
      <c r="A47" s="1"/>
      <c r="B47" s="2"/>
      <c r="C47" s="2"/>
      <c r="D47" s="2"/>
      <c r="E47" s="2"/>
      <c r="F47" s="1"/>
      <c r="G47" s="1">
        <f>MAX(0,tblGoals[[#This Row],[Target Amount]]-tblGoals[[#This Row],[Current Saved Amount]])</f>
      </c>
      <c r="H47" s="2"/>
      <c r="I47" s="4"/>
      <c r="J47" s="2"/>
      <c r="K47" s="2"/>
      <c r="L47" s="2"/>
    </row>
    <row r="48">
      <c r="A48" s="1"/>
      <c r="B48" s="2"/>
      <c r="C48" s="2"/>
      <c r="D48" s="2"/>
      <c r="E48" s="2"/>
      <c r="F48" s="1"/>
      <c r="G48" s="1">
        <f>MAX(0,tblGoals[[#This Row],[Target Amount]]-tblGoals[[#This Row],[Current Saved Amount]])</f>
      </c>
      <c r="H48" s="2"/>
      <c r="I48" s="4"/>
      <c r="J48" s="2"/>
      <c r="K48" s="2"/>
      <c r="L48" s="2"/>
    </row>
    <row r="49">
      <c r="A49" s="1"/>
      <c r="B49" s="2"/>
      <c r="C49" s="2"/>
      <c r="D49" s="2"/>
      <c r="E49" s="2"/>
      <c r="F49" s="1"/>
      <c r="G49" s="1">
        <f>MAX(0,tblGoals[[#This Row],[Target Amount]]-tblGoals[[#This Row],[Current Saved Amount]])</f>
      </c>
      <c r="H49" s="2"/>
      <c r="I49" s="4"/>
      <c r="J49" s="2"/>
      <c r="K49" s="2"/>
      <c r="L49" s="2"/>
    </row>
    <row r="50">
      <c r="A50" s="1"/>
      <c r="B50" s="2"/>
      <c r="C50" s="2"/>
      <c r="D50" s="2"/>
      <c r="E50" s="2"/>
      <c r="F50" s="1"/>
      <c r="G50" s="1">
        <f>MAX(0,tblGoals[[#This Row],[Target Amount]]-tblGoals[[#This Row],[Current Saved Amount]])</f>
      </c>
      <c r="H50" s="2"/>
      <c r="I50" s="4"/>
      <c r="J50" s="2"/>
      <c r="K50" s="2"/>
      <c r="L50" s="2"/>
    </row>
    <row r="51">
      <c r="A51" s="1"/>
      <c r="B51" s="2"/>
      <c r="C51" s="2"/>
      <c r="D51" s="2"/>
      <c r="E51" s="2"/>
      <c r="F51" s="1"/>
      <c r="G51" s="1">
        <f>MAX(0,tblGoals[[#This Row],[Target Amount]]-tblGoals[[#This Row],[Current Saved Amount]])</f>
      </c>
      <c r="H51" s="2"/>
      <c r="I51" s="4"/>
      <c r="J51" s="2"/>
      <c r="K51" s="2"/>
      <c r="L51" s="2"/>
    </row>
    <row r="52">
      <c r="A52" s="1"/>
      <c r="B52" s="2"/>
      <c r="C52" s="2"/>
      <c r="D52" s="2"/>
      <c r="E52" s="2"/>
      <c r="F52" s="1"/>
      <c r="G52" s="1">
        <f>MAX(0,tblGoals[[#This Row],[Target Amount]]-tblGoals[[#This Row],[Current Saved Amount]])</f>
      </c>
      <c r="H52" s="2"/>
      <c r="I52" s="4"/>
      <c r="J52" s="2"/>
      <c r="K52" s="2"/>
      <c r="L52" s="2"/>
    </row>
    <row r="53">
      <c r="A53" s="1"/>
      <c r="B53" s="2"/>
      <c r="C53" s="2"/>
      <c r="D53" s="2"/>
      <c r="E53" s="2"/>
      <c r="F53" s="1"/>
      <c r="G53" s="1">
        <f>MAX(0,tblGoals[[#This Row],[Target Amount]]-tblGoals[[#This Row],[Current Saved Amount]])</f>
      </c>
      <c r="H53" s="2"/>
      <c r="I53" s="4"/>
      <c r="J53" s="2"/>
      <c r="K53" s="2"/>
      <c r="L53" s="2"/>
    </row>
    <row r="54">
      <c r="A54" s="1"/>
      <c r="B54" s="2"/>
      <c r="C54" s="2"/>
      <c r="D54" s="2"/>
      <c r="E54" s="2"/>
      <c r="F54" s="1"/>
      <c r="G54" s="1">
        <f>MAX(0,tblGoals[[#This Row],[Target Amount]]-tblGoals[[#This Row],[Current Saved Amount]])</f>
      </c>
      <c r="H54" s="2"/>
      <c r="I54" s="4"/>
      <c r="J54" s="2"/>
      <c r="K54" s="2"/>
      <c r="L54" s="2"/>
    </row>
    <row r="55">
      <c r="A55" s="1"/>
      <c r="B55" s="2"/>
      <c r="C55" s="2"/>
      <c r="D55" s="2"/>
      <c r="E55" s="2"/>
      <c r="F55" s="1"/>
      <c r="G55" s="1">
        <f>MAX(0,tblGoals[[#This Row],[Target Amount]]-tblGoals[[#This Row],[Current Saved Amount]])</f>
      </c>
      <c r="H55" s="2"/>
      <c r="I55" s="4"/>
      <c r="J55" s="2"/>
      <c r="K55" s="2"/>
      <c r="L55" s="2"/>
    </row>
    <row r="56">
      <c r="A56" s="1"/>
      <c r="B56" s="2"/>
      <c r="C56" s="2"/>
      <c r="D56" s="2"/>
      <c r="E56" s="2"/>
      <c r="F56" s="1"/>
      <c r="G56" s="1">
        <f>MAX(0,tblGoals[[#This Row],[Target Amount]]-tblGoals[[#This Row],[Current Saved Amount]])</f>
      </c>
      <c r="H56" s="2"/>
      <c r="I56" s="4"/>
      <c r="J56" s="2"/>
      <c r="K56" s="2"/>
      <c r="L56" s="2"/>
    </row>
    <row r="57">
      <c r="A57" s="1"/>
      <c r="B57" s="2"/>
      <c r="C57" s="2"/>
      <c r="D57" s="2"/>
      <c r="E57" s="2"/>
      <c r="F57" s="1"/>
      <c r="G57" s="1">
        <f>MAX(0,tblGoals[[#This Row],[Target Amount]]-tblGoals[[#This Row],[Current Saved Amount]])</f>
      </c>
      <c r="H57" s="2"/>
      <c r="I57" s="4"/>
      <c r="J57" s="2"/>
      <c r="K57" s="2"/>
      <c r="L57" s="2"/>
    </row>
    <row r="58">
      <c r="A58" s="1"/>
      <c r="B58" s="2"/>
      <c r="C58" s="2"/>
      <c r="D58" s="2"/>
      <c r="E58" s="2"/>
      <c r="F58" s="1"/>
      <c r="G58" s="1">
        <f>MAX(0,tblGoals[[#This Row],[Target Amount]]-tblGoals[[#This Row],[Current Saved Amount]])</f>
      </c>
      <c r="H58" s="2"/>
      <c r="I58" s="4"/>
      <c r="J58" s="2"/>
      <c r="K58" s="2"/>
      <c r="L58" s="2"/>
    </row>
    <row r="59">
      <c r="A59" s="1"/>
      <c r="B59" s="2"/>
      <c r="C59" s="2"/>
      <c r="D59" s="2"/>
      <c r="E59" s="2"/>
      <c r="F59" s="1"/>
      <c r="G59" s="1">
        <f>MAX(0,tblGoals[[#This Row],[Target Amount]]-tblGoals[[#This Row],[Current Saved Amount]])</f>
      </c>
      <c r="H59" s="2"/>
      <c r="I59" s="4"/>
      <c r="J59" s="2"/>
      <c r="K59" s="2"/>
      <c r="L59" s="2"/>
    </row>
    <row r="60">
      <c r="A60" s="1"/>
      <c r="B60" s="2"/>
      <c r="C60" s="2"/>
      <c r="D60" s="2"/>
      <c r="E60" s="2"/>
      <c r="F60" s="1"/>
      <c r="G60" s="1">
        <f>MAX(0,tblGoals[[#This Row],[Target Amount]]-tblGoals[[#This Row],[Current Saved Amount]])</f>
      </c>
      <c r="H60" s="2"/>
      <c r="I60" s="4"/>
      <c r="J60" s="2"/>
      <c r="K60" s="2"/>
      <c r="L60" s="2"/>
    </row>
    <row r="61">
      <c r="A61" s="1"/>
      <c r="B61" s="2"/>
      <c r="C61" s="2"/>
      <c r="D61" s="2"/>
      <c r="E61" s="2"/>
      <c r="F61" s="1"/>
      <c r="G61" s="1">
        <f>MAX(0,tblGoals[[#This Row],[Target Amount]]-tblGoals[[#This Row],[Current Saved Amount]])</f>
      </c>
      <c r="H61" s="2"/>
      <c r="I61" s="4"/>
      <c r="J61" s="2"/>
      <c r="K61" s="2"/>
      <c r="L61" s="2"/>
    </row>
    <row r="62">
      <c r="A62" s="1"/>
      <c r="B62" s="2"/>
      <c r="C62" s="2"/>
      <c r="D62" s="2"/>
      <c r="E62" s="2"/>
      <c r="F62" s="1"/>
      <c r="G62" s="1">
        <f>MAX(0,tblGoals[[#This Row],[Target Amount]]-tblGoals[[#This Row],[Current Saved Amount]])</f>
      </c>
      <c r="H62" s="2"/>
      <c r="I62" s="4"/>
      <c r="J62" s="2"/>
      <c r="K62" s="2"/>
      <c r="L62" s="2"/>
    </row>
    <row r="63">
      <c r="A63" s="1"/>
      <c r="B63" s="2"/>
      <c r="C63" s="2"/>
      <c r="D63" s="2"/>
      <c r="E63" s="2"/>
      <c r="F63" s="1"/>
      <c r="G63" s="1">
        <f>MAX(0,tblGoals[[#This Row],[Target Amount]]-tblGoals[[#This Row],[Current Saved Amount]])</f>
      </c>
      <c r="H63" s="2"/>
      <c r="I63" s="4"/>
      <c r="J63" s="2"/>
      <c r="K63" s="2"/>
      <c r="L63" s="2"/>
    </row>
    <row r="64">
      <c r="A64" s="1"/>
      <c r="B64" s="2"/>
      <c r="C64" s="2"/>
      <c r="D64" s="2"/>
      <c r="E64" s="2"/>
      <c r="F64" s="1"/>
      <c r="G64" s="1">
        <f>MAX(0,tblGoals[[#This Row],[Target Amount]]-tblGoals[[#This Row],[Current Saved Amount]])</f>
      </c>
      <c r="H64" s="2"/>
      <c r="I64" s="4"/>
      <c r="J64" s="2"/>
      <c r="K64" s="2"/>
      <c r="L64" s="2"/>
    </row>
    <row r="65">
      <c r="A65" s="1"/>
      <c r="B65" s="2"/>
      <c r="C65" s="2"/>
      <c r="D65" s="2"/>
      <c r="E65" s="2"/>
      <c r="F65" s="1"/>
      <c r="G65" s="1">
        <f>MAX(0,tblGoals[[#This Row],[Target Amount]]-tblGoals[[#This Row],[Current Saved Amount]])</f>
      </c>
      <c r="H65" s="2"/>
      <c r="I65" s="4"/>
      <c r="J65" s="2"/>
      <c r="K65" s="2"/>
      <c r="L65" s="2"/>
    </row>
    <row r="66">
      <c r="A66" s="1"/>
      <c r="B66" s="2"/>
      <c r="C66" s="2"/>
      <c r="D66" s="2"/>
      <c r="E66" s="2"/>
      <c r="F66" s="1"/>
      <c r="G66" s="1">
        <f>MAX(0,tblGoals[[#This Row],[Target Amount]]-tblGoals[[#This Row],[Current Saved Amount]])</f>
      </c>
      <c r="H66" s="2"/>
      <c r="I66" s="4"/>
      <c r="J66" s="2"/>
      <c r="K66" s="2"/>
      <c r="L66" s="2"/>
    </row>
    <row r="67">
      <c r="A67" s="1"/>
      <c r="B67" s="2"/>
      <c r="C67" s="2"/>
      <c r="D67" s="2"/>
      <c r="E67" s="2"/>
      <c r="F67" s="1"/>
      <c r="G67" s="1">
        <f>MAX(0,tblGoals[[#This Row],[Target Amount]]-tblGoals[[#This Row],[Current Saved Amount]])</f>
      </c>
      <c r="H67" s="2"/>
      <c r="I67" s="4"/>
      <c r="J67" s="2"/>
      <c r="K67" s="2"/>
      <c r="L67" s="2"/>
    </row>
    <row r="68">
      <c r="A68" s="1"/>
      <c r="B68" s="2"/>
      <c r="C68" s="2"/>
      <c r="D68" s="2"/>
      <c r="E68" s="2"/>
      <c r="F68" s="1"/>
      <c r="G68" s="1">
        <f>MAX(0,tblGoals[[#This Row],[Target Amount]]-tblGoals[[#This Row],[Current Saved Amount]])</f>
      </c>
      <c r="H68" s="2"/>
      <c r="I68" s="4"/>
      <c r="J68" s="2"/>
      <c r="K68" s="2"/>
      <c r="L68" s="2"/>
    </row>
    <row r="69">
      <c r="A69" s="1"/>
      <c r="B69" s="2"/>
      <c r="C69" s="2"/>
      <c r="D69" s="2"/>
      <c r="E69" s="2"/>
      <c r="F69" s="1"/>
      <c r="G69" s="1">
        <f>MAX(0,tblGoals[[#This Row],[Target Amount]]-tblGoals[[#This Row],[Current Saved Amount]])</f>
      </c>
      <c r="H69" s="2"/>
      <c r="I69" s="4"/>
      <c r="J69" s="2"/>
      <c r="K69" s="2"/>
      <c r="L69" s="2"/>
    </row>
    <row r="70">
      <c r="A70" s="1"/>
      <c r="B70" s="2"/>
      <c r="C70" s="2"/>
      <c r="D70" s="2"/>
      <c r="E70" s="2"/>
      <c r="F70" s="1"/>
      <c r="G70" s="1">
        <f>MAX(0,tblGoals[[#This Row],[Target Amount]]-tblGoals[[#This Row],[Current Saved Amount]])</f>
      </c>
      <c r="H70" s="2"/>
      <c r="I70" s="4"/>
      <c r="J70" s="2"/>
      <c r="K70" s="2"/>
      <c r="L70" s="2"/>
    </row>
    <row r="71">
      <c r="A71" s="1"/>
      <c r="B71" s="2"/>
      <c r="C71" s="2"/>
      <c r="D71" s="2"/>
      <c r="E71" s="2"/>
      <c r="F71" s="1"/>
      <c r="G71" s="1">
        <f>MAX(0,tblGoals[[#This Row],[Target Amount]]-tblGoals[[#This Row],[Current Saved Amount]])</f>
      </c>
      <c r="H71" s="2"/>
      <c r="I71" s="4"/>
      <c r="J71" s="2"/>
      <c r="K71" s="2"/>
      <c r="L71" s="2"/>
    </row>
    <row r="72">
      <c r="A72" s="1"/>
      <c r="B72" s="2"/>
      <c r="C72" s="2"/>
      <c r="D72" s="2"/>
      <c r="E72" s="2"/>
      <c r="F72" s="1"/>
      <c r="G72" s="1">
        <f>MAX(0,tblGoals[[#This Row],[Target Amount]]-tblGoals[[#This Row],[Current Saved Amount]])</f>
      </c>
      <c r="H72" s="2"/>
      <c r="I72" s="4"/>
      <c r="J72" s="2"/>
      <c r="K72" s="2"/>
      <c r="L72" s="2"/>
    </row>
    <row r="73">
      <c r="A73" s="1"/>
      <c r="B73" s="2"/>
      <c r="C73" s="2"/>
      <c r="D73" s="2"/>
      <c r="E73" s="2"/>
      <c r="F73" s="1"/>
      <c r="G73" s="1">
        <f>MAX(0,tblGoals[[#This Row],[Target Amount]]-tblGoals[[#This Row],[Current Saved Amount]])</f>
      </c>
      <c r="H73" s="2"/>
      <c r="I73" s="4"/>
      <c r="J73" s="2"/>
      <c r="K73" s="2"/>
      <c r="L73" s="2"/>
    </row>
    <row r="74">
      <c r="A74" s="1"/>
      <c r="B74" s="2"/>
      <c r="C74" s="2"/>
      <c r="D74" s="2"/>
      <c r="E74" s="2"/>
      <c r="F74" s="1"/>
      <c r="G74" s="1">
        <f>MAX(0,tblGoals[[#This Row],[Target Amount]]-tblGoals[[#This Row],[Current Saved Amount]])</f>
      </c>
      <c r="H74" s="2"/>
      <c r="I74" s="4"/>
      <c r="J74" s="2"/>
      <c r="K74" s="2"/>
      <c r="L74" s="2"/>
    </row>
    <row r="75">
      <c r="A75" s="1"/>
      <c r="B75" s="2"/>
      <c r="C75" s="2"/>
      <c r="D75" s="2"/>
      <c r="E75" s="2"/>
      <c r="F75" s="1"/>
      <c r="G75" s="1">
        <f>MAX(0,tblGoals[[#This Row],[Target Amount]]-tblGoals[[#This Row],[Current Saved Amount]])</f>
      </c>
      <c r="H75" s="2"/>
      <c r="I75" s="4"/>
      <c r="J75" s="2"/>
      <c r="K75" s="2"/>
      <c r="L75" s="2"/>
    </row>
    <row r="76">
      <c r="A76" s="1"/>
      <c r="B76" s="2"/>
      <c r="C76" s="2"/>
      <c r="D76" s="2"/>
      <c r="E76" s="2"/>
      <c r="F76" s="1"/>
      <c r="G76" s="1">
        <f>MAX(0,tblGoals[[#This Row],[Target Amount]]-tblGoals[[#This Row],[Current Saved Amount]])</f>
      </c>
      <c r="H76" s="2"/>
      <c r="I76" s="4"/>
      <c r="J76" s="2"/>
      <c r="K76" s="2"/>
      <c r="L76" s="2"/>
    </row>
    <row r="77">
      <c r="A77" s="1"/>
      <c r="B77" s="2"/>
      <c r="C77" s="2"/>
      <c r="D77" s="2"/>
      <c r="E77" s="2"/>
      <c r="F77" s="1"/>
      <c r="G77" s="1">
        <f>MAX(0,tblGoals[[#This Row],[Target Amount]]-tblGoals[[#This Row],[Current Saved Amount]])</f>
      </c>
      <c r="H77" s="2"/>
      <c r="I77" s="4"/>
      <c r="J77" s="2"/>
      <c r="K77" s="2"/>
      <c r="L77" s="2"/>
    </row>
    <row r="78">
      <c r="A78" s="1"/>
      <c r="B78" s="2"/>
      <c r="C78" s="2"/>
      <c r="D78" s="2"/>
      <c r="E78" s="2"/>
      <c r="F78" s="1"/>
      <c r="G78" s="1">
        <f>MAX(0,tblGoals[[#This Row],[Target Amount]]-tblGoals[[#This Row],[Current Saved Amount]])</f>
      </c>
      <c r="H78" s="2"/>
      <c r="I78" s="4"/>
      <c r="J78" s="2"/>
      <c r="K78" s="2"/>
      <c r="L78" s="2"/>
    </row>
    <row r="79">
      <c r="A79" s="1"/>
      <c r="B79" s="2"/>
      <c r="C79" s="2"/>
      <c r="D79" s="2"/>
      <c r="E79" s="2"/>
      <c r="F79" s="1"/>
      <c r="G79" s="1">
        <f>MAX(0,tblGoals[[#This Row],[Target Amount]]-tblGoals[[#This Row],[Current Saved Amount]])</f>
      </c>
      <c r="H79" s="2"/>
      <c r="I79" s="4"/>
      <c r="J79" s="2"/>
      <c r="K79" s="2"/>
      <c r="L79" s="2"/>
    </row>
    <row r="80">
      <c r="A80" s="1"/>
      <c r="B80" s="2"/>
      <c r="C80" s="2"/>
      <c r="D80" s="2"/>
      <c r="E80" s="2"/>
      <c r="F80" s="1"/>
      <c r="G80" s="1">
        <f>MAX(0,tblGoals[[#This Row],[Target Amount]]-tblGoals[[#This Row],[Current Saved Amount]])</f>
      </c>
      <c r="H80" s="2"/>
      <c r="I80" s="4"/>
      <c r="J80" s="2"/>
      <c r="K80" s="2"/>
      <c r="L80" s="2"/>
    </row>
    <row r="81">
      <c r="A81" s="1"/>
      <c r="B81" s="2"/>
      <c r="C81" s="2"/>
      <c r="D81" s="2"/>
      <c r="E81" s="2"/>
      <c r="F81" s="1"/>
      <c r="G81" s="1">
        <f>MAX(0,tblGoals[[#This Row],[Target Amount]]-tblGoals[[#This Row],[Current Saved Amount]])</f>
      </c>
      <c r="H81" s="2"/>
      <c r="I81" s="4"/>
      <c r="J81" s="2"/>
      <c r="K81" s="2"/>
      <c r="L81" s="2"/>
    </row>
    <row r="82">
      <c r="A82" s="1"/>
      <c r="B82" s="2"/>
      <c r="C82" s="2"/>
      <c r="D82" s="2"/>
      <c r="E82" s="2"/>
      <c r="F82" s="1"/>
      <c r="G82" s="1">
        <f>MAX(0,tblGoals[[#This Row],[Target Amount]]-tblGoals[[#This Row],[Current Saved Amount]])</f>
      </c>
      <c r="H82" s="2"/>
      <c r="I82" s="4"/>
      <c r="J82" s="2"/>
      <c r="K82" s="2"/>
      <c r="L82" s="2"/>
    </row>
    <row r="83">
      <c r="A83" s="1"/>
      <c r="B83" s="2"/>
      <c r="C83" s="2"/>
      <c r="D83" s="2"/>
      <c r="E83" s="2"/>
      <c r="F83" s="1"/>
      <c r="G83" s="1">
        <f>MAX(0,tblGoals[[#This Row],[Target Amount]]-tblGoals[[#This Row],[Current Saved Amount]])</f>
      </c>
      <c r="H83" s="2"/>
      <c r="I83" s="4"/>
      <c r="J83" s="2"/>
      <c r="K83" s="2"/>
      <c r="L83" s="2"/>
    </row>
    <row r="84">
      <c r="A84" s="1"/>
      <c r="B84" s="2"/>
      <c r="C84" s="2"/>
      <c r="D84" s="2"/>
      <c r="E84" s="2"/>
      <c r="F84" s="1"/>
      <c r="G84" s="1">
        <f>MAX(0,tblGoals[[#This Row],[Target Amount]]-tblGoals[[#This Row],[Current Saved Amount]])</f>
      </c>
      <c r="H84" s="2"/>
      <c r="I84" s="4"/>
      <c r="J84" s="2"/>
      <c r="K84" s="2"/>
      <c r="L84" s="2"/>
    </row>
    <row r="85">
      <c r="A85" s="1"/>
      <c r="B85" s="2"/>
      <c r="C85" s="2"/>
      <c r="D85" s="2"/>
      <c r="E85" s="2"/>
      <c r="F85" s="1"/>
      <c r="G85" s="1">
        <f>MAX(0,tblGoals[[#This Row],[Target Amount]]-tblGoals[[#This Row],[Current Saved Amount]])</f>
      </c>
      <c r="H85" s="2"/>
      <c r="I85" s="4"/>
      <c r="J85" s="2"/>
      <c r="K85" s="2"/>
      <c r="L85" s="2"/>
    </row>
    <row r="86">
      <c r="A86" s="1"/>
      <c r="B86" s="2"/>
      <c r="C86" s="2"/>
      <c r="D86" s="2"/>
      <c r="E86" s="2"/>
      <c r="F86" s="1"/>
      <c r="G86" s="1">
        <f>MAX(0,tblGoals[[#This Row],[Target Amount]]-tblGoals[[#This Row],[Current Saved Amount]])</f>
      </c>
      <c r="H86" s="2"/>
      <c r="I86" s="4"/>
      <c r="J86" s="2"/>
      <c r="K86" s="2"/>
      <c r="L86" s="2"/>
    </row>
    <row r="87">
      <c r="A87" s="1"/>
      <c r="B87" s="2"/>
      <c r="C87" s="2"/>
      <c r="D87" s="2"/>
      <c r="E87" s="2"/>
      <c r="F87" s="1"/>
      <c r="G87" s="1">
        <f>MAX(0,tblGoals[[#This Row],[Target Amount]]-tblGoals[[#This Row],[Current Saved Amount]])</f>
      </c>
      <c r="H87" s="2"/>
      <c r="I87" s="4"/>
      <c r="J87" s="2"/>
      <c r="K87" s="2"/>
      <c r="L87" s="2"/>
    </row>
    <row r="88">
      <c r="A88" s="1"/>
      <c r="B88" s="2"/>
      <c r="C88" s="2"/>
      <c r="D88" s="2"/>
      <c r="E88" s="2"/>
      <c r="F88" s="1"/>
      <c r="G88" s="1">
        <f>MAX(0,tblGoals[[#This Row],[Target Amount]]-tblGoals[[#This Row],[Current Saved Amount]])</f>
      </c>
      <c r="H88" s="2"/>
      <c r="I88" s="4"/>
      <c r="J88" s="2"/>
      <c r="K88" s="2"/>
      <c r="L88" s="2"/>
    </row>
    <row r="89">
      <c r="A89" s="1"/>
      <c r="B89" s="2"/>
      <c r="C89" s="2"/>
      <c r="D89" s="2"/>
      <c r="E89" s="2"/>
      <c r="F89" s="1"/>
      <c r="G89" s="1">
        <f>MAX(0,tblGoals[[#This Row],[Target Amount]]-tblGoals[[#This Row],[Current Saved Amount]])</f>
      </c>
      <c r="H89" s="2"/>
      <c r="I89" s="4"/>
      <c r="J89" s="2"/>
      <c r="K89" s="2"/>
      <c r="L89" s="2"/>
    </row>
    <row r="90">
      <c r="A90" s="1"/>
      <c r="B90" s="2"/>
      <c r="C90" s="2"/>
      <c r="D90" s="2"/>
      <c r="E90" s="2"/>
      <c r="F90" s="1"/>
      <c r="G90" s="1">
        <f>MAX(0,tblGoals[[#This Row],[Target Amount]]-tblGoals[[#This Row],[Current Saved Amount]])</f>
      </c>
      <c r="H90" s="2"/>
      <c r="I90" s="4"/>
      <c r="J90" s="2"/>
      <c r="K90" s="2"/>
      <c r="L90" s="2"/>
    </row>
    <row r="91">
      <c r="A91" s="1"/>
      <c r="B91" s="2"/>
      <c r="C91" s="2"/>
      <c r="D91" s="2"/>
      <c r="E91" s="2"/>
      <c r="F91" s="1"/>
      <c r="G91" s="1">
        <f>MAX(0,tblGoals[[#This Row],[Target Amount]]-tblGoals[[#This Row],[Current Saved Amount]])</f>
      </c>
      <c r="H91" s="2"/>
      <c r="I91" s="4"/>
      <c r="J91" s="2"/>
      <c r="K91" s="2"/>
      <c r="L91" s="2"/>
    </row>
    <row r="92">
      <c r="A92" s="1"/>
      <c r="B92" s="2"/>
      <c r="C92" s="2"/>
      <c r="D92" s="2"/>
      <c r="E92" s="2"/>
      <c r="F92" s="1"/>
      <c r="G92" s="1">
        <f>MAX(0,tblGoals[[#This Row],[Target Amount]]-tblGoals[[#This Row],[Current Saved Amount]])</f>
      </c>
      <c r="H92" s="2"/>
      <c r="I92" s="4"/>
      <c r="J92" s="2"/>
      <c r="K92" s="2"/>
      <c r="L92" s="2"/>
    </row>
    <row r="93">
      <c r="A93" s="1"/>
      <c r="B93" s="2"/>
      <c r="C93" s="2"/>
      <c r="D93" s="2"/>
      <c r="E93" s="2"/>
      <c r="F93" s="1"/>
      <c r="G93" s="1">
        <f>MAX(0,tblGoals[[#This Row],[Target Amount]]-tblGoals[[#This Row],[Current Saved Amount]])</f>
      </c>
      <c r="H93" s="2"/>
      <c r="I93" s="4"/>
      <c r="J93" s="2"/>
      <c r="K93" s="2"/>
      <c r="L93" s="2"/>
    </row>
    <row r="94">
      <c r="A94" s="1"/>
      <c r="B94" s="2"/>
      <c r="C94" s="2"/>
      <c r="D94" s="2"/>
      <c r="E94" s="2"/>
      <c r="F94" s="1"/>
      <c r="G94" s="1">
        <f>MAX(0,tblGoals[[#This Row],[Target Amount]]-tblGoals[[#This Row],[Current Saved Amount]])</f>
      </c>
      <c r="H94" s="2"/>
      <c r="I94" s="4"/>
      <c r="J94" s="2"/>
      <c r="K94" s="2"/>
      <c r="L94" s="2"/>
    </row>
    <row r="95">
      <c r="A95" s="1"/>
      <c r="B95" s="2"/>
      <c r="C95" s="2"/>
      <c r="D95" s="2"/>
      <c r="E95" s="2"/>
      <c r="F95" s="1"/>
      <c r="G95" s="1">
        <f>MAX(0,tblGoals[[#This Row],[Target Amount]]-tblGoals[[#This Row],[Current Saved Amount]])</f>
      </c>
      <c r="H95" s="2"/>
      <c r="I95" s="4"/>
      <c r="J95" s="2"/>
      <c r="K95" s="2"/>
      <c r="L95" s="2"/>
    </row>
    <row r="96">
      <c r="A96" s="1"/>
      <c r="B96" s="2"/>
      <c r="C96" s="2"/>
      <c r="D96" s="2"/>
      <c r="E96" s="2"/>
      <c r="F96" s="1"/>
      <c r="G96" s="1">
        <f>MAX(0,tblGoals[[#This Row],[Target Amount]]-tblGoals[[#This Row],[Current Saved Amount]])</f>
      </c>
      <c r="H96" s="2"/>
      <c r="I96" s="4"/>
      <c r="J96" s="2"/>
      <c r="K96" s="2"/>
      <c r="L96" s="2"/>
    </row>
    <row r="97">
      <c r="A97" s="1"/>
      <c r="B97" s="2"/>
      <c r="C97" s="2"/>
      <c r="D97" s="2"/>
      <c r="E97" s="2"/>
      <c r="F97" s="1"/>
      <c r="G97" s="1">
        <f>MAX(0,tblGoals[[#This Row],[Target Amount]]-tblGoals[[#This Row],[Current Saved Amount]])</f>
      </c>
      <c r="H97" s="2"/>
      <c r="I97" s="4"/>
      <c r="J97" s="2"/>
      <c r="K97" s="2"/>
      <c r="L97" s="2"/>
    </row>
    <row r="98">
      <c r="A98" s="1"/>
      <c r="B98" s="2"/>
      <c r="C98" s="2"/>
      <c r="D98" s="2"/>
      <c r="E98" s="2"/>
      <c r="F98" s="1"/>
      <c r="G98" s="1">
        <f>MAX(0,tblGoals[[#This Row],[Target Amount]]-tblGoals[[#This Row],[Current Saved Amount]])</f>
      </c>
      <c r="H98" s="2"/>
      <c r="I98" s="4"/>
      <c r="J98" s="2"/>
      <c r="K98" s="2"/>
      <c r="L98" s="2"/>
    </row>
    <row r="99">
      <c r="A99" s="1"/>
      <c r="B99" s="2"/>
      <c r="C99" s="2"/>
      <c r="D99" s="2"/>
      <c r="E99" s="2"/>
      <c r="F99" s="1"/>
      <c r="G99" s="1">
        <f>MAX(0,tblGoals[[#This Row],[Target Amount]]-tblGoals[[#This Row],[Current Saved Amount]])</f>
      </c>
      <c r="H99" s="2"/>
      <c r="I99" s="4"/>
      <c r="J99" s="2"/>
      <c r="K99" s="2"/>
      <c r="L99" s="2"/>
    </row>
    <row r="100">
      <c r="A100" s="1"/>
      <c r="B100" s="2"/>
      <c r="C100" s="2"/>
      <c r="D100" s="2"/>
      <c r="E100" s="2"/>
      <c r="F100" s="1"/>
      <c r="G100" s="1">
        <f>MAX(0,tblGoals[[#This Row],[Target Amount]]-tblGoals[[#This Row],[Current Saved Amount]])</f>
      </c>
      <c r="H100" s="2"/>
      <c r="I100" s="4"/>
      <c r="J100" s="2"/>
      <c r="K100" s="2"/>
      <c r="L100" s="2"/>
    </row>
    <row r="101">
      <c r="A101" s="1"/>
      <c r="B101" s="2"/>
      <c r="C101" s="2"/>
      <c r="D101" s="2"/>
      <c r="E101" s="2"/>
      <c r="F101" s="1"/>
      <c r="G101" s="1">
        <f>MAX(0,tblGoals[[#This Row],[Target Amount]]-tblGoals[[#This Row],[Current Saved Amount]])</f>
      </c>
      <c r="H101" s="2"/>
      <c r="I101" s="4"/>
      <c r="J101" s="2"/>
      <c r="K101" s="2"/>
      <c r="L101" s="2"/>
    </row>
    <row r="102">
      <c r="A102" s="1"/>
      <c r="B102" s="2"/>
      <c r="C102" s="2"/>
      <c r="D102" s="2"/>
      <c r="E102" s="2"/>
      <c r="F102" s="1"/>
      <c r="G102" s="1">
        <f>MAX(0,tblGoals[[#This Row],[Target Amount]]-tblGoals[[#This Row],[Current Saved Amount]])</f>
      </c>
      <c r="H102" s="2"/>
      <c r="I102" s="4"/>
      <c r="J102" s="2"/>
      <c r="K102" s="2"/>
      <c r="L102" s="2"/>
    </row>
    <row r="103">
      <c r="A103" s="1"/>
      <c r="B103" s="2"/>
      <c r="C103" s="2"/>
      <c r="D103" s="2"/>
      <c r="E103" s="2"/>
      <c r="F103" s="1"/>
      <c r="G103" s="1">
        <f>MAX(0,tblGoals[[#This Row],[Target Amount]]-tblGoals[[#This Row],[Current Saved Amount]])</f>
      </c>
      <c r="H103" s="2"/>
      <c r="I103" s="4"/>
      <c r="J103" s="2"/>
      <c r="K103" s="2"/>
      <c r="L103" s="2"/>
    </row>
    <row r="104">
      <c r="A104" s="1"/>
      <c r="B104" s="2"/>
      <c r="C104" s="2"/>
      <c r="D104" s="2"/>
      <c r="E104" s="2"/>
      <c r="F104" s="1"/>
      <c r="G104" s="1">
        <f>MAX(0,tblGoals[[#This Row],[Target Amount]]-tblGoals[[#This Row],[Current Saved Amount]])</f>
      </c>
      <c r="H104" s="2"/>
      <c r="I104" s="4"/>
      <c r="J104" s="2"/>
      <c r="K104" s="2"/>
      <c r="L104" s="2"/>
    </row>
    <row r="105">
      <c r="A105" s="1"/>
      <c r="B105" s="2"/>
      <c r="C105" s="2"/>
      <c r="D105" s="2"/>
      <c r="E105" s="2"/>
      <c r="F105" s="1"/>
      <c r="G105" s="1">
        <f>MAX(0,tblGoals[[#This Row],[Target Amount]]-tblGoals[[#This Row],[Current Saved Amount]])</f>
      </c>
      <c r="H105" s="2"/>
      <c r="I105" s="4"/>
      <c r="J105" s="2"/>
      <c r="K105" s="2"/>
      <c r="L105" s="2"/>
    </row>
    <row r="106">
      <c r="A106" s="1"/>
      <c r="B106" s="2"/>
      <c r="C106" s="2"/>
      <c r="D106" s="2"/>
      <c r="E106" s="2"/>
      <c r="F106" s="1"/>
      <c r="G106" s="1">
        <f>MAX(0,tblGoals[[#This Row],[Target Amount]]-tblGoals[[#This Row],[Current Saved Amount]])</f>
      </c>
      <c r="H106" s="2"/>
      <c r="I106" s="4"/>
      <c r="J106" s="2"/>
      <c r="K106" s="2"/>
      <c r="L106" s="2"/>
    </row>
    <row r="107">
      <c r="A107" s="1"/>
      <c r="B107" s="2"/>
      <c r="C107" s="2"/>
      <c r="D107" s="2"/>
      <c r="E107" s="2"/>
      <c r="F107" s="1"/>
      <c r="G107" s="1">
        <f>MAX(0,tblGoals[[#This Row],[Target Amount]]-tblGoals[[#This Row],[Current Saved Amount]])</f>
      </c>
      <c r="H107" s="2"/>
      <c r="I107" s="4"/>
      <c r="J107" s="2"/>
      <c r="K107" s="2"/>
      <c r="L107" s="2"/>
    </row>
    <row r="108">
      <c r="A108" s="1"/>
      <c r="B108" s="2"/>
      <c r="C108" s="2"/>
      <c r="D108" s="2"/>
      <c r="E108" s="2"/>
      <c r="F108" s="1"/>
      <c r="G108" s="1">
        <f>MAX(0,tblGoals[[#This Row],[Target Amount]]-tblGoals[[#This Row],[Current Saved Amount]])</f>
      </c>
      <c r="H108" s="2"/>
      <c r="I108" s="4"/>
      <c r="J108" s="2"/>
      <c r="K108" s="2"/>
      <c r="L108" s="2"/>
    </row>
    <row r="109">
      <c r="A109" s="1"/>
      <c r="B109" s="2"/>
      <c r="C109" s="2"/>
      <c r="D109" s="2"/>
      <c r="E109" s="2"/>
      <c r="F109" s="1"/>
      <c r="G109" s="1">
        <f>MAX(0,tblGoals[[#This Row],[Target Amount]]-tblGoals[[#This Row],[Current Saved Amount]])</f>
      </c>
      <c r="H109" s="2"/>
      <c r="I109" s="4"/>
      <c r="J109" s="2"/>
      <c r="K109" s="2"/>
      <c r="L109" s="2"/>
    </row>
    <row r="110">
      <c r="A110" s="1"/>
      <c r="B110" s="2"/>
      <c r="C110" s="2"/>
      <c r="D110" s="2"/>
      <c r="E110" s="2"/>
      <c r="F110" s="1"/>
      <c r="G110" s="1">
        <f>MAX(0,tblGoals[[#This Row],[Target Amount]]-tblGoals[[#This Row],[Current Saved Amount]])</f>
      </c>
      <c r="H110" s="2"/>
      <c r="I110" s="4"/>
      <c r="J110" s="2"/>
      <c r="K110" s="2"/>
      <c r="L110" s="2"/>
    </row>
    <row r="111">
      <c r="A111" s="1"/>
      <c r="B111" s="2"/>
      <c r="C111" s="2"/>
      <c r="D111" s="2"/>
      <c r="E111" s="2"/>
      <c r="F111" s="1"/>
      <c r="G111" s="1">
        <f>MAX(0,tblGoals[[#This Row],[Target Amount]]-tblGoals[[#This Row],[Current Saved Amount]])</f>
      </c>
      <c r="H111" s="2"/>
      <c r="I111" s="4"/>
      <c r="J111" s="2"/>
      <c r="K111" s="2"/>
      <c r="L111" s="2"/>
    </row>
    <row r="112">
      <c r="A112" s="1"/>
      <c r="B112" s="2"/>
      <c r="C112" s="2"/>
      <c r="D112" s="2"/>
      <c r="E112" s="2"/>
      <c r="F112" s="1"/>
      <c r="G112" s="1">
        <f>MAX(0,tblGoals[[#This Row],[Target Amount]]-tblGoals[[#This Row],[Current Saved Amount]])</f>
      </c>
      <c r="H112" s="2"/>
      <c r="I112" s="4"/>
      <c r="J112" s="2"/>
      <c r="K112" s="2"/>
      <c r="L112" s="2"/>
    </row>
    <row r="113">
      <c r="A113" s="1"/>
      <c r="B113" s="2"/>
      <c r="C113" s="2"/>
      <c r="D113" s="2"/>
      <c r="E113" s="2"/>
      <c r="F113" s="1"/>
      <c r="G113" s="1">
        <f>MAX(0,tblGoals[[#This Row],[Target Amount]]-tblGoals[[#This Row],[Current Saved Amount]])</f>
      </c>
      <c r="H113" s="2"/>
      <c r="I113" s="4"/>
      <c r="J113" s="2"/>
      <c r="K113" s="2"/>
      <c r="L113" s="2"/>
    </row>
    <row r="114">
      <c r="A114" s="1"/>
      <c r="B114" s="2"/>
      <c r="C114" s="2"/>
      <c r="D114" s="2"/>
      <c r="E114" s="2"/>
      <c r="F114" s="1"/>
      <c r="G114" s="1">
        <f>MAX(0,tblGoals[[#This Row],[Target Amount]]-tblGoals[[#This Row],[Current Saved Amount]])</f>
      </c>
      <c r="H114" s="2"/>
      <c r="I114" s="4"/>
      <c r="J114" s="2"/>
      <c r="K114" s="2"/>
      <c r="L114" s="2"/>
    </row>
    <row r="115">
      <c r="A115" s="1"/>
      <c r="B115" s="2"/>
      <c r="C115" s="2"/>
      <c r="D115" s="2"/>
      <c r="E115" s="2"/>
      <c r="F115" s="1"/>
      <c r="G115" s="1">
        <f>MAX(0,tblGoals[[#This Row],[Target Amount]]-tblGoals[[#This Row],[Current Saved Amount]])</f>
      </c>
      <c r="H115" s="2"/>
      <c r="I115" s="4"/>
      <c r="J115" s="2"/>
      <c r="K115" s="2"/>
      <c r="L115" s="2"/>
    </row>
    <row r="116">
      <c r="A116" s="1"/>
      <c r="B116" s="2"/>
      <c r="C116" s="2"/>
      <c r="D116" s="2"/>
      <c r="E116" s="2"/>
      <c r="F116" s="1"/>
      <c r="G116" s="1">
        <f>MAX(0,tblGoals[[#This Row],[Target Amount]]-tblGoals[[#This Row],[Current Saved Amount]])</f>
      </c>
      <c r="H116" s="2"/>
      <c r="I116" s="4"/>
      <c r="J116" s="2"/>
      <c r="K116" s="2"/>
      <c r="L116" s="2"/>
    </row>
    <row r="117">
      <c r="A117" s="1"/>
      <c r="B117" s="2"/>
      <c r="C117" s="2"/>
      <c r="D117" s="2"/>
      <c r="E117" s="2"/>
      <c r="F117" s="1"/>
      <c r="G117" s="1">
        <f>MAX(0,tblGoals[[#This Row],[Target Amount]]-tblGoals[[#This Row],[Current Saved Amount]])</f>
      </c>
      <c r="H117" s="2"/>
      <c r="I117" s="4"/>
      <c r="J117" s="2"/>
      <c r="K117" s="2"/>
      <c r="L117" s="2"/>
    </row>
    <row r="118">
      <c r="A118" s="1"/>
      <c r="B118" s="2"/>
      <c r="C118" s="2"/>
      <c r="D118" s="2"/>
      <c r="E118" s="2"/>
      <c r="F118" s="1"/>
      <c r="G118" s="1">
        <f>MAX(0,tblGoals[[#This Row],[Target Amount]]-tblGoals[[#This Row],[Current Saved Amount]])</f>
      </c>
      <c r="H118" s="2"/>
      <c r="I118" s="4"/>
      <c r="J118" s="2"/>
      <c r="K118" s="2"/>
      <c r="L118" s="2"/>
    </row>
    <row r="119">
      <c r="A119" s="1"/>
      <c r="B119" s="2"/>
      <c r="C119" s="2"/>
      <c r="D119" s="2"/>
      <c r="E119" s="2"/>
      <c r="F119" s="1"/>
      <c r="G119" s="1">
        <f>MAX(0,tblGoals[[#This Row],[Target Amount]]-tblGoals[[#This Row],[Current Saved Amount]])</f>
      </c>
      <c r="H119" s="2"/>
      <c r="I119" s="4"/>
      <c r="J119" s="2"/>
      <c r="K119" s="2"/>
      <c r="L119" s="2"/>
    </row>
    <row r="120">
      <c r="A120" s="1"/>
      <c r="B120" s="2"/>
      <c r="C120" s="2"/>
      <c r="D120" s="2"/>
      <c r="E120" s="2"/>
      <c r="F120" s="1"/>
      <c r="G120" s="1">
        <f>MAX(0,tblGoals[[#This Row],[Target Amount]]-tblGoals[[#This Row],[Current Saved Amount]])</f>
      </c>
      <c r="H120" s="2"/>
      <c r="I120" s="4"/>
      <c r="J120" s="2"/>
      <c r="K120" s="2"/>
      <c r="L120" s="2"/>
    </row>
    <row r="121">
      <c r="A121" s="1"/>
      <c r="B121" s="2"/>
      <c r="C121" s="2"/>
      <c r="D121" s="2"/>
      <c r="E121" s="2"/>
      <c r="F121" s="1"/>
      <c r="G121" s="1">
        <f>MAX(0,tblGoals[[#This Row],[Target Amount]]-tblGoals[[#This Row],[Current Saved Amount]])</f>
      </c>
      <c r="H121" s="2"/>
      <c r="I121" s="4"/>
      <c r="J121" s="2"/>
      <c r="K121" s="2"/>
      <c r="L121" s="2"/>
    </row>
    <row r="122">
      <c r="A122" s="1"/>
      <c r="B122" s="2"/>
      <c r="C122" s="2"/>
      <c r="D122" s="2"/>
      <c r="E122" s="2"/>
      <c r="F122" s="1"/>
      <c r="G122" s="1">
        <f>MAX(0,tblGoals[[#This Row],[Target Amount]]-tblGoals[[#This Row],[Current Saved Amount]])</f>
      </c>
      <c r="H122" s="2"/>
      <c r="I122" s="4"/>
      <c r="J122" s="2"/>
      <c r="K122" s="2"/>
      <c r="L122" s="2"/>
    </row>
    <row r="123">
      <c r="A123" s="1"/>
      <c r="B123" s="2"/>
      <c r="C123" s="2"/>
      <c r="D123" s="2"/>
      <c r="E123" s="2"/>
      <c r="F123" s="1"/>
      <c r="G123" s="1">
        <f>MAX(0,tblGoals[[#This Row],[Target Amount]]-tblGoals[[#This Row],[Current Saved Amount]])</f>
      </c>
      <c r="H123" s="2"/>
      <c r="I123" s="4"/>
      <c r="J123" s="2"/>
      <c r="K123" s="2"/>
      <c r="L123" s="2"/>
    </row>
    <row r="124">
      <c r="A124" s="1"/>
      <c r="B124" s="2"/>
      <c r="C124" s="2"/>
      <c r="D124" s="2"/>
      <c r="E124" s="2"/>
      <c r="F124" s="1"/>
      <c r="G124" s="1">
        <f>MAX(0,tblGoals[[#This Row],[Target Amount]]-tblGoals[[#This Row],[Current Saved Amount]])</f>
      </c>
      <c r="H124" s="2"/>
      <c r="I124" s="4"/>
      <c r="J124" s="2"/>
      <c r="K124" s="2"/>
      <c r="L124" s="2"/>
    </row>
    <row r="125">
      <c r="A125" s="1"/>
      <c r="B125" s="2"/>
      <c r="C125" s="2"/>
      <c r="D125" s="2"/>
      <c r="E125" s="2"/>
      <c r="F125" s="1"/>
      <c r="G125" s="1">
        <f>MAX(0,tblGoals[[#This Row],[Target Amount]]-tblGoals[[#This Row],[Current Saved Amount]])</f>
      </c>
      <c r="H125" s="2"/>
      <c r="I125" s="4"/>
      <c r="J125" s="2"/>
      <c r="K125" s="2"/>
      <c r="L125" s="2"/>
    </row>
    <row r="126">
      <c r="A126" s="1"/>
      <c r="B126" s="2"/>
      <c r="C126" s="2"/>
      <c r="D126" s="2"/>
      <c r="E126" s="2"/>
      <c r="F126" s="1"/>
      <c r="G126" s="1">
        <f>MAX(0,tblGoals[[#This Row],[Target Amount]]-tblGoals[[#This Row],[Current Saved Amount]])</f>
      </c>
      <c r="H126" s="2"/>
      <c r="I126" s="4"/>
      <c r="J126" s="2"/>
      <c r="K126" s="2"/>
      <c r="L126" s="2"/>
    </row>
    <row r="127">
      <c r="A127" s="1"/>
      <c r="B127" s="2"/>
      <c r="C127" s="2"/>
      <c r="D127" s="2"/>
      <c r="E127" s="2"/>
      <c r="F127" s="1"/>
      <c r="G127" s="1">
        <f>MAX(0,tblGoals[[#This Row],[Target Amount]]-tblGoals[[#This Row],[Current Saved Amount]])</f>
      </c>
      <c r="H127" s="2"/>
      <c r="I127" s="4"/>
      <c r="J127" s="2"/>
      <c r="K127" s="2"/>
      <c r="L127" s="2"/>
    </row>
    <row r="128">
      <c r="A128" s="1"/>
      <c r="B128" s="2"/>
      <c r="C128" s="2"/>
      <c r="D128" s="2"/>
      <c r="E128" s="2"/>
      <c r="F128" s="1"/>
      <c r="G128" s="1">
        <f>MAX(0,tblGoals[[#This Row],[Target Amount]]-tblGoals[[#This Row],[Current Saved Amount]])</f>
      </c>
      <c r="H128" s="2"/>
      <c r="I128" s="4"/>
      <c r="J128" s="2"/>
      <c r="K128" s="2"/>
      <c r="L128" s="2"/>
    </row>
    <row r="129">
      <c r="A129" s="1"/>
      <c r="B129" s="2"/>
      <c r="C129" s="2"/>
      <c r="D129" s="2"/>
      <c r="E129" s="2"/>
      <c r="F129" s="1"/>
      <c r="G129" s="1">
        <f>MAX(0,tblGoals[[#This Row],[Target Amount]]-tblGoals[[#This Row],[Current Saved Amount]])</f>
      </c>
      <c r="H129" s="2"/>
      <c r="I129" s="4"/>
      <c r="J129" s="2"/>
      <c r="K129" s="2"/>
      <c r="L129" s="2"/>
    </row>
    <row r="130">
      <c r="A130" s="1"/>
      <c r="B130" s="2"/>
      <c r="C130" s="2"/>
      <c r="D130" s="2"/>
      <c r="E130" s="2"/>
      <c r="F130" s="1"/>
      <c r="G130" s="1">
        <f>MAX(0,tblGoals[[#This Row],[Target Amount]]-tblGoals[[#This Row],[Current Saved Amount]])</f>
      </c>
      <c r="H130" s="2"/>
      <c r="I130" s="4"/>
      <c r="J130" s="2"/>
      <c r="K130" s="2"/>
      <c r="L130" s="2"/>
    </row>
    <row r="131">
      <c r="A131" s="1"/>
      <c r="B131" s="2"/>
      <c r="C131" s="2"/>
      <c r="D131" s="2"/>
      <c r="E131" s="2"/>
      <c r="F131" s="1"/>
      <c r="G131" s="1">
        <f>MAX(0,tblGoals[[#This Row],[Target Amount]]-tblGoals[[#This Row],[Current Saved Amount]])</f>
      </c>
      <c r="H131" s="2"/>
      <c r="I131" s="4"/>
      <c r="J131" s="2"/>
      <c r="K131" s="2"/>
      <c r="L131" s="2"/>
    </row>
    <row r="132">
      <c r="A132" s="1"/>
      <c r="B132" s="2"/>
      <c r="C132" s="2"/>
      <c r="D132" s="2"/>
      <c r="E132" s="2"/>
      <c r="F132" s="1"/>
      <c r="G132" s="1">
        <f>MAX(0,tblGoals[[#This Row],[Target Amount]]-tblGoals[[#This Row],[Current Saved Amount]])</f>
      </c>
      <c r="H132" s="2"/>
      <c r="I132" s="4"/>
      <c r="J132" s="2"/>
      <c r="K132" s="2"/>
      <c r="L132" s="2"/>
    </row>
    <row r="133">
      <c r="A133" s="1"/>
      <c r="B133" s="2"/>
      <c r="C133" s="2"/>
      <c r="D133" s="2"/>
      <c r="E133" s="2"/>
      <c r="F133" s="1"/>
      <c r="G133" s="1">
        <f>MAX(0,tblGoals[[#This Row],[Target Amount]]-tblGoals[[#This Row],[Current Saved Amount]])</f>
      </c>
      <c r="H133" s="2"/>
      <c r="I133" s="4"/>
      <c r="J133" s="2"/>
      <c r="K133" s="2"/>
      <c r="L133" s="2"/>
    </row>
    <row r="134">
      <c r="A134" s="1"/>
      <c r="B134" s="2"/>
      <c r="C134" s="2"/>
      <c r="D134" s="2"/>
      <c r="E134" s="2"/>
      <c r="F134" s="1"/>
      <c r="G134" s="1">
        <f>MAX(0,tblGoals[[#This Row],[Target Amount]]-tblGoals[[#This Row],[Current Saved Amount]])</f>
      </c>
      <c r="H134" s="2"/>
      <c r="I134" s="4"/>
      <c r="J134" s="2"/>
      <c r="K134" s="2"/>
      <c r="L134" s="2"/>
    </row>
    <row r="135">
      <c r="A135" s="1"/>
      <c r="B135" s="2"/>
      <c r="C135" s="2"/>
      <c r="D135" s="2"/>
      <c r="E135" s="2"/>
      <c r="F135" s="1"/>
      <c r="G135" s="1">
        <f>MAX(0,tblGoals[[#This Row],[Target Amount]]-tblGoals[[#This Row],[Current Saved Amount]])</f>
      </c>
      <c r="H135" s="2"/>
      <c r="I135" s="4"/>
      <c r="J135" s="2"/>
      <c r="K135" s="2"/>
      <c r="L135" s="2"/>
    </row>
    <row r="136">
      <c r="A136" s="1"/>
      <c r="B136" s="2"/>
      <c r="C136" s="2"/>
      <c r="D136" s="2"/>
      <c r="E136" s="2"/>
      <c r="F136" s="1"/>
      <c r="G136" s="1">
        <f>MAX(0,tblGoals[[#This Row],[Target Amount]]-tblGoals[[#This Row],[Current Saved Amount]])</f>
      </c>
      <c r="H136" s="2"/>
      <c r="I136" s="4"/>
      <c r="J136" s="2"/>
      <c r="K136" s="2"/>
      <c r="L136" s="2"/>
    </row>
    <row r="137">
      <c r="A137" s="1"/>
      <c r="B137" s="2"/>
      <c r="C137" s="2"/>
      <c r="D137" s="2"/>
      <c r="E137" s="2"/>
      <c r="F137" s="1"/>
      <c r="G137" s="1">
        <f>MAX(0,tblGoals[[#This Row],[Target Amount]]-tblGoals[[#This Row],[Current Saved Amount]])</f>
      </c>
      <c r="H137" s="2"/>
      <c r="I137" s="4"/>
      <c r="J137" s="2"/>
      <c r="K137" s="2"/>
      <c r="L137" s="2"/>
    </row>
    <row r="138">
      <c r="A138" s="1"/>
      <c r="B138" s="2"/>
      <c r="C138" s="2"/>
      <c r="D138" s="2"/>
      <c r="E138" s="2"/>
      <c r="F138" s="1"/>
      <c r="G138" s="1">
        <f>MAX(0,tblGoals[[#This Row],[Target Amount]]-tblGoals[[#This Row],[Current Saved Amount]])</f>
      </c>
      <c r="H138" s="2"/>
      <c r="I138" s="4"/>
      <c r="J138" s="2"/>
      <c r="K138" s="2"/>
      <c r="L138" s="2"/>
    </row>
    <row r="139">
      <c r="A139" s="1"/>
      <c r="B139" s="2"/>
      <c r="C139" s="2"/>
      <c r="D139" s="2"/>
      <c r="E139" s="2"/>
      <c r="F139" s="1"/>
      <c r="G139" s="1">
        <f>MAX(0,tblGoals[[#This Row],[Target Amount]]-tblGoals[[#This Row],[Current Saved Amount]])</f>
      </c>
      <c r="H139" s="2"/>
      <c r="I139" s="4"/>
      <c r="J139" s="2"/>
      <c r="K139" s="2"/>
      <c r="L139" s="2"/>
    </row>
    <row r="140">
      <c r="A140" s="1"/>
      <c r="B140" s="2"/>
      <c r="C140" s="2"/>
      <c r="D140" s="2"/>
      <c r="E140" s="2"/>
      <c r="F140" s="1"/>
      <c r="G140" s="1">
        <f>MAX(0,tblGoals[[#This Row],[Target Amount]]-tblGoals[[#This Row],[Current Saved Amount]])</f>
      </c>
      <c r="H140" s="2"/>
      <c r="I140" s="4"/>
      <c r="J140" s="2"/>
      <c r="K140" s="2"/>
      <c r="L140" s="2"/>
    </row>
    <row r="141">
      <c r="A141" s="1"/>
      <c r="B141" s="2"/>
      <c r="C141" s="2"/>
      <c r="D141" s="2"/>
      <c r="E141" s="2"/>
      <c r="F141" s="1"/>
      <c r="G141" s="1">
        <f>MAX(0,tblGoals[[#This Row],[Target Amount]]-tblGoals[[#This Row],[Current Saved Amount]])</f>
      </c>
      <c r="H141" s="2"/>
      <c r="I141" s="4"/>
      <c r="J141" s="2"/>
      <c r="K141" s="2"/>
      <c r="L141" s="2"/>
    </row>
    <row r="142">
      <c r="A142" s="1"/>
      <c r="B142" s="2"/>
      <c r="C142" s="2"/>
      <c r="D142" s="2"/>
      <c r="E142" s="2"/>
      <c r="F142" s="1"/>
      <c r="G142" s="1">
        <f>MAX(0,tblGoals[[#This Row],[Target Amount]]-tblGoals[[#This Row],[Current Saved Amount]])</f>
      </c>
      <c r="H142" s="2"/>
      <c r="I142" s="4"/>
      <c r="J142" s="2"/>
      <c r="K142" s="2"/>
      <c r="L142" s="2"/>
    </row>
    <row r="143">
      <c r="A143" s="1"/>
      <c r="B143" s="2"/>
      <c r="C143" s="2"/>
      <c r="D143" s="2"/>
      <c r="E143" s="2"/>
      <c r="F143" s="1"/>
      <c r="G143" s="1">
        <f>MAX(0,tblGoals[[#This Row],[Target Amount]]-tblGoals[[#This Row],[Current Saved Amount]])</f>
      </c>
      <c r="H143" s="2"/>
      <c r="I143" s="4"/>
      <c r="J143" s="2"/>
      <c r="K143" s="2"/>
      <c r="L143" s="2"/>
    </row>
    <row r="144">
      <c r="A144" s="1"/>
      <c r="B144" s="2"/>
      <c r="C144" s="2"/>
      <c r="D144" s="2"/>
      <c r="E144" s="2"/>
      <c r="F144" s="1"/>
      <c r="G144" s="1">
        <f>MAX(0,tblGoals[[#This Row],[Target Amount]]-tblGoals[[#This Row],[Current Saved Amount]])</f>
      </c>
      <c r="H144" s="2"/>
      <c r="I144" s="4"/>
      <c r="J144" s="2"/>
      <c r="K144" s="2"/>
      <c r="L144" s="2"/>
    </row>
    <row r="145">
      <c r="A145" s="1"/>
      <c r="B145" s="2"/>
      <c r="C145" s="2"/>
      <c r="D145" s="2"/>
      <c r="E145" s="2"/>
      <c r="F145" s="1"/>
      <c r="G145" s="1">
        <f>MAX(0,tblGoals[[#This Row],[Target Amount]]-tblGoals[[#This Row],[Current Saved Amount]])</f>
      </c>
      <c r="H145" s="2"/>
      <c r="I145" s="4"/>
      <c r="J145" s="2"/>
      <c r="K145" s="2"/>
      <c r="L145" s="2"/>
    </row>
    <row r="146">
      <c r="A146" s="1"/>
      <c r="B146" s="2"/>
      <c r="C146" s="2"/>
      <c r="D146" s="2"/>
      <c r="E146" s="2"/>
      <c r="F146" s="1"/>
      <c r="G146" s="1">
        <f>MAX(0,tblGoals[[#This Row],[Target Amount]]-tblGoals[[#This Row],[Current Saved Amount]])</f>
      </c>
      <c r="H146" s="2"/>
      <c r="I146" s="4"/>
      <c r="J146" s="2"/>
      <c r="K146" s="2"/>
      <c r="L146" s="2"/>
    </row>
    <row r="147">
      <c r="A147" s="1"/>
      <c r="B147" s="2"/>
      <c r="C147" s="2"/>
      <c r="D147" s="2"/>
      <c r="E147" s="2"/>
      <c r="F147" s="1"/>
      <c r="G147" s="1">
        <f>MAX(0,tblGoals[[#This Row],[Target Amount]]-tblGoals[[#This Row],[Current Saved Amount]])</f>
      </c>
      <c r="H147" s="2"/>
      <c r="I147" s="4"/>
      <c r="J147" s="2"/>
      <c r="K147" s="2"/>
      <c r="L147" s="2"/>
    </row>
    <row r="148">
      <c r="A148" s="1"/>
      <c r="B148" s="2"/>
      <c r="C148" s="2"/>
      <c r="D148" s="2"/>
      <c r="E148" s="2"/>
      <c r="F148" s="1"/>
      <c r="G148" s="1">
        <f>MAX(0,tblGoals[[#This Row],[Target Amount]]-tblGoals[[#This Row],[Current Saved Amount]])</f>
      </c>
      <c r="H148" s="2"/>
      <c r="I148" s="4"/>
      <c r="J148" s="2"/>
      <c r="K148" s="2"/>
      <c r="L148" s="2"/>
    </row>
    <row r="149">
      <c r="A149" s="1"/>
      <c r="B149" s="2"/>
      <c r="C149" s="2"/>
      <c r="D149" s="2"/>
      <c r="E149" s="2"/>
      <c r="F149" s="1"/>
      <c r="G149" s="1">
        <f>MAX(0,tblGoals[[#This Row],[Target Amount]]-tblGoals[[#This Row],[Current Saved Amount]])</f>
      </c>
      <c r="H149" s="2"/>
      <c r="I149" s="4"/>
      <c r="J149" s="2"/>
      <c r="K149" s="2"/>
      <c r="L149" s="2"/>
    </row>
    <row r="150">
      <c r="A150" s="1"/>
      <c r="B150" s="2"/>
      <c r="C150" s="2"/>
      <c r="D150" s="2"/>
      <c r="E150" s="2"/>
      <c r="F150" s="1"/>
      <c r="G150" s="1">
        <f>MAX(0,tblGoals[[#This Row],[Target Amount]]-tblGoals[[#This Row],[Current Saved Amount]])</f>
      </c>
      <c r="H150" s="2"/>
      <c r="I150" s="4"/>
      <c r="J150" s="2"/>
      <c r="K150" s="2"/>
      <c r="L150" s="2"/>
    </row>
    <row r="151">
      <c r="A151" s="1"/>
      <c r="B151" s="2"/>
      <c r="C151" s="2"/>
      <c r="D151" s="2"/>
      <c r="E151" s="2"/>
      <c r="F151" s="1"/>
      <c r="G151" s="1">
        <f>MAX(0,tblGoals[[#This Row],[Target Amount]]-tblGoals[[#This Row],[Current Saved Amount]])</f>
      </c>
      <c r="H151" s="2"/>
      <c r="I151" s="4"/>
      <c r="J151" s="2"/>
      <c r="K151" s="2"/>
      <c r="L151" s="2"/>
    </row>
    <row r="152">
      <c r="A152" s="1"/>
      <c r="B152" s="2"/>
      <c r="C152" s="2"/>
      <c r="D152" s="2"/>
      <c r="E152" s="2"/>
      <c r="F152" s="1"/>
      <c r="G152" s="1">
        <f>MAX(0,tblGoals[[#This Row],[Target Amount]]-tblGoals[[#This Row],[Current Saved Amount]])</f>
      </c>
      <c r="H152" s="2"/>
      <c r="I152" s="4"/>
      <c r="J152" s="2"/>
      <c r="K152" s="2"/>
      <c r="L152" s="2"/>
    </row>
    <row r="153">
      <c r="A153" s="1"/>
      <c r="B153" s="2"/>
      <c r="C153" s="2"/>
      <c r="D153" s="2"/>
      <c r="E153" s="2"/>
      <c r="F153" s="1"/>
      <c r="G153" s="1">
        <f>MAX(0,tblGoals[[#This Row],[Target Amount]]-tblGoals[[#This Row],[Current Saved Amount]])</f>
      </c>
      <c r="H153" s="2"/>
      <c r="I153" s="4"/>
      <c r="J153" s="2"/>
      <c r="K153" s="2"/>
      <c r="L153" s="2"/>
    </row>
    <row r="154">
      <c r="A154" s="1"/>
      <c r="B154" s="2"/>
      <c r="C154" s="2"/>
      <c r="D154" s="2"/>
      <c r="E154" s="2"/>
      <c r="F154" s="1"/>
      <c r="G154" s="1">
        <f>MAX(0,tblGoals[[#This Row],[Target Amount]]-tblGoals[[#This Row],[Current Saved Amount]])</f>
      </c>
      <c r="H154" s="2"/>
      <c r="I154" s="4"/>
      <c r="J154" s="2"/>
      <c r="K154" s="2"/>
      <c r="L154" s="2"/>
    </row>
    <row r="155">
      <c r="A155" s="1"/>
      <c r="B155" s="2"/>
      <c r="C155" s="2"/>
      <c r="D155" s="2"/>
      <c r="E155" s="2"/>
      <c r="F155" s="1"/>
      <c r="G155" s="1">
        <f>MAX(0,tblGoals[[#This Row],[Target Amount]]-tblGoals[[#This Row],[Current Saved Amount]])</f>
      </c>
      <c r="H155" s="2"/>
      <c r="I155" s="4"/>
      <c r="J155" s="2"/>
      <c r="K155" s="2"/>
      <c r="L155" s="2"/>
    </row>
    <row r="156">
      <c r="A156" s="1"/>
      <c r="B156" s="2"/>
      <c r="C156" s="2"/>
      <c r="D156" s="2"/>
      <c r="E156" s="2"/>
      <c r="F156" s="1"/>
      <c r="G156" s="1">
        <f>MAX(0,tblGoals[[#This Row],[Target Amount]]-tblGoals[[#This Row],[Current Saved Amount]])</f>
      </c>
      <c r="H156" s="2"/>
      <c r="I156" s="4"/>
      <c r="J156" s="2"/>
      <c r="K156" s="2"/>
      <c r="L156" s="2"/>
    </row>
    <row r="157">
      <c r="A157" s="1"/>
      <c r="B157" s="2"/>
      <c r="C157" s="2"/>
      <c r="D157" s="2"/>
      <c r="E157" s="2"/>
      <c r="F157" s="1"/>
      <c r="G157" s="1">
        <f>MAX(0,tblGoals[[#This Row],[Target Amount]]-tblGoals[[#This Row],[Current Saved Amount]])</f>
      </c>
      <c r="H157" s="2"/>
      <c r="I157" s="4"/>
      <c r="J157" s="2"/>
      <c r="K157" s="2"/>
      <c r="L157" s="2"/>
    </row>
    <row r="158">
      <c r="A158" s="1"/>
      <c r="B158" s="2"/>
      <c r="C158" s="2"/>
      <c r="D158" s="2"/>
      <c r="E158" s="2"/>
      <c r="F158" s="1"/>
      <c r="G158" s="1">
        <f>MAX(0,tblGoals[[#This Row],[Target Amount]]-tblGoals[[#This Row],[Current Saved Amount]])</f>
      </c>
      <c r="H158" s="2"/>
      <c r="I158" s="4"/>
      <c r="J158" s="2"/>
      <c r="K158" s="2"/>
      <c r="L158" s="2"/>
    </row>
    <row r="159">
      <c r="A159" s="1"/>
      <c r="B159" s="2"/>
      <c r="C159" s="2"/>
      <c r="D159" s="2"/>
      <c r="E159" s="2"/>
      <c r="F159" s="1"/>
      <c r="G159" s="1">
        <f>MAX(0,tblGoals[[#This Row],[Target Amount]]-tblGoals[[#This Row],[Current Saved Amount]])</f>
      </c>
      <c r="H159" s="2"/>
      <c r="I159" s="4"/>
      <c r="J159" s="2"/>
      <c r="K159" s="2"/>
      <c r="L159" s="2"/>
    </row>
    <row r="160">
      <c r="A160" s="1"/>
      <c r="B160" s="2"/>
      <c r="C160" s="2"/>
      <c r="D160" s="2"/>
      <c r="E160" s="2"/>
      <c r="F160" s="1"/>
      <c r="G160" s="1">
        <f>MAX(0,tblGoals[[#This Row],[Target Amount]]-tblGoals[[#This Row],[Current Saved Amount]])</f>
      </c>
      <c r="H160" s="2"/>
      <c r="I160" s="4"/>
      <c r="J160" s="2"/>
      <c r="K160" s="2"/>
      <c r="L160" s="2"/>
    </row>
    <row r="161">
      <c r="A161" s="1"/>
      <c r="B161" s="2"/>
      <c r="C161" s="2"/>
      <c r="D161" s="2"/>
      <c r="E161" s="2"/>
      <c r="F161" s="1"/>
      <c r="G161" s="1">
        <f>MAX(0,tblGoals[[#This Row],[Target Amount]]-tblGoals[[#This Row],[Current Saved Amount]])</f>
      </c>
      <c r="H161" s="2"/>
      <c r="I161" s="4"/>
      <c r="J161" s="2"/>
      <c r="K161" s="2"/>
      <c r="L161" s="2"/>
    </row>
    <row r="162">
      <c r="A162" s="1"/>
      <c r="B162" s="2"/>
      <c r="C162" s="2"/>
      <c r="D162" s="2"/>
      <c r="E162" s="2"/>
      <c r="F162" s="1"/>
      <c r="G162" s="1">
        <f>MAX(0,tblGoals[[#This Row],[Target Amount]]-tblGoals[[#This Row],[Current Saved Amount]])</f>
      </c>
      <c r="H162" s="2"/>
      <c r="I162" s="4"/>
      <c r="J162" s="2"/>
      <c r="K162" s="2"/>
      <c r="L162" s="2"/>
    </row>
    <row r="163">
      <c r="A163" s="1"/>
      <c r="B163" s="2"/>
      <c r="C163" s="2"/>
      <c r="D163" s="2"/>
      <c r="E163" s="2"/>
      <c r="F163" s="1"/>
      <c r="G163" s="1">
        <f>MAX(0,tblGoals[[#This Row],[Target Amount]]-tblGoals[[#This Row],[Current Saved Amount]])</f>
      </c>
      <c r="H163" s="2"/>
      <c r="I163" s="4"/>
      <c r="J163" s="2"/>
      <c r="K163" s="2"/>
      <c r="L163" s="2"/>
    </row>
    <row r="164">
      <c r="A164" s="1"/>
      <c r="B164" s="2"/>
      <c r="C164" s="2"/>
      <c r="D164" s="2"/>
      <c r="E164" s="2"/>
      <c r="F164" s="1"/>
      <c r="G164" s="1">
        <f>MAX(0,tblGoals[[#This Row],[Target Amount]]-tblGoals[[#This Row],[Current Saved Amount]])</f>
      </c>
      <c r="H164" s="2"/>
      <c r="I164" s="4"/>
      <c r="J164" s="2"/>
      <c r="K164" s="2"/>
      <c r="L164" s="2"/>
    </row>
    <row r="165">
      <c r="A165" s="1"/>
      <c r="B165" s="2"/>
      <c r="C165" s="2"/>
      <c r="D165" s="2"/>
      <c r="E165" s="2"/>
      <c r="F165" s="1"/>
      <c r="G165" s="1">
        <f>MAX(0,tblGoals[[#This Row],[Target Amount]]-tblGoals[[#This Row],[Current Saved Amount]])</f>
      </c>
      <c r="H165" s="2"/>
      <c r="I165" s="4"/>
      <c r="J165" s="2"/>
      <c r="K165" s="2"/>
      <c r="L165" s="2"/>
    </row>
    <row r="166">
      <c r="A166" s="1"/>
      <c r="B166" s="2"/>
      <c r="C166" s="2"/>
      <c r="D166" s="2"/>
      <c r="E166" s="2"/>
      <c r="F166" s="1"/>
      <c r="G166" s="1">
        <f>MAX(0,tblGoals[[#This Row],[Target Amount]]-tblGoals[[#This Row],[Current Saved Amount]])</f>
      </c>
      <c r="H166" s="2"/>
      <c r="I166" s="4"/>
      <c r="J166" s="2"/>
      <c r="K166" s="2"/>
      <c r="L166" s="2"/>
    </row>
    <row r="167">
      <c r="A167" s="1"/>
      <c r="B167" s="2"/>
      <c r="C167" s="2"/>
      <c r="D167" s="2"/>
      <c r="E167" s="2"/>
      <c r="F167" s="1"/>
      <c r="G167" s="1">
        <f>MAX(0,tblGoals[[#This Row],[Target Amount]]-tblGoals[[#This Row],[Current Saved Amount]])</f>
      </c>
      <c r="H167" s="2"/>
      <c r="I167" s="4"/>
      <c r="J167" s="2"/>
      <c r="K167" s="2"/>
      <c r="L167" s="2"/>
    </row>
    <row r="168">
      <c r="A168" s="1"/>
      <c r="B168" s="2"/>
      <c r="C168" s="2"/>
      <c r="D168" s="2"/>
      <c r="E168" s="2"/>
      <c r="F168" s="1"/>
      <c r="G168" s="1">
        <f>MAX(0,tblGoals[[#This Row],[Target Amount]]-tblGoals[[#This Row],[Current Saved Amount]])</f>
      </c>
      <c r="H168" s="2"/>
      <c r="I168" s="4"/>
      <c r="J168" s="2"/>
      <c r="K168" s="2"/>
      <c r="L168" s="2"/>
    </row>
    <row r="169">
      <c r="A169" s="1"/>
      <c r="B169" s="2"/>
      <c r="C169" s="2"/>
      <c r="D169" s="2"/>
      <c r="E169" s="2"/>
      <c r="F169" s="1"/>
      <c r="G169" s="1">
        <f>MAX(0,tblGoals[[#This Row],[Target Amount]]-tblGoals[[#This Row],[Current Saved Amount]])</f>
      </c>
      <c r="H169" s="2"/>
      <c r="I169" s="4"/>
      <c r="J169" s="2"/>
      <c r="K169" s="2"/>
      <c r="L169" s="2"/>
    </row>
    <row r="170">
      <c r="A170" s="1"/>
      <c r="B170" s="2"/>
      <c r="C170" s="2"/>
      <c r="D170" s="2"/>
      <c r="E170" s="2"/>
      <c r="F170" s="1"/>
      <c r="G170" s="1">
        <f>MAX(0,tblGoals[[#This Row],[Target Amount]]-tblGoals[[#This Row],[Current Saved Amount]])</f>
      </c>
      <c r="H170" s="2"/>
      <c r="I170" s="4"/>
      <c r="J170" s="2"/>
      <c r="K170" s="2"/>
      <c r="L170" s="2"/>
    </row>
    <row r="171">
      <c r="A171" s="1"/>
      <c r="B171" s="2"/>
      <c r="C171" s="2"/>
      <c r="D171" s="2"/>
      <c r="E171" s="2"/>
      <c r="F171" s="1"/>
      <c r="G171" s="1">
        <f>MAX(0,tblGoals[[#This Row],[Target Amount]]-tblGoals[[#This Row],[Current Saved Amount]])</f>
      </c>
      <c r="H171" s="2"/>
      <c r="I171" s="4"/>
      <c r="J171" s="2"/>
      <c r="K171" s="2"/>
      <c r="L171" s="2"/>
    </row>
    <row r="172">
      <c r="A172" s="1"/>
      <c r="B172" s="2"/>
      <c r="C172" s="2"/>
      <c r="D172" s="2"/>
      <c r="E172" s="2"/>
      <c r="F172" s="1"/>
      <c r="G172" s="1">
        <f>MAX(0,tblGoals[[#This Row],[Target Amount]]-tblGoals[[#This Row],[Current Saved Amount]])</f>
      </c>
      <c r="H172" s="2"/>
      <c r="I172" s="4"/>
      <c r="J172" s="2"/>
      <c r="K172" s="2"/>
      <c r="L172" s="2"/>
    </row>
    <row r="173">
      <c r="A173" s="1"/>
      <c r="B173" s="2"/>
      <c r="C173" s="2"/>
      <c r="D173" s="2"/>
      <c r="E173" s="2"/>
      <c r="F173" s="1"/>
      <c r="G173" s="1">
        <f>MAX(0,tblGoals[[#This Row],[Target Amount]]-tblGoals[[#This Row],[Current Saved Amount]])</f>
      </c>
      <c r="H173" s="2"/>
      <c r="I173" s="4"/>
      <c r="J173" s="2"/>
      <c r="K173" s="2"/>
      <c r="L173" s="2"/>
    </row>
    <row r="174">
      <c r="A174" s="1"/>
      <c r="B174" s="2"/>
      <c r="C174" s="2"/>
      <c r="D174" s="2"/>
      <c r="E174" s="2"/>
      <c r="F174" s="1"/>
      <c r="G174" s="1">
        <f>MAX(0,tblGoals[[#This Row],[Target Amount]]-tblGoals[[#This Row],[Current Saved Amount]])</f>
      </c>
      <c r="H174" s="2"/>
      <c r="I174" s="4"/>
      <c r="J174" s="2"/>
      <c r="K174" s="2"/>
      <c r="L174" s="2"/>
    </row>
    <row r="175">
      <c r="A175" s="1"/>
      <c r="B175" s="2"/>
      <c r="C175" s="2"/>
      <c r="D175" s="2"/>
      <c r="E175" s="2"/>
      <c r="F175" s="1"/>
      <c r="G175" s="1">
        <f>MAX(0,tblGoals[[#This Row],[Target Amount]]-tblGoals[[#This Row],[Current Saved Amount]])</f>
      </c>
      <c r="H175" s="2"/>
      <c r="I175" s="4"/>
      <c r="J175" s="2"/>
      <c r="K175" s="2"/>
      <c r="L175" s="2"/>
    </row>
    <row r="176">
      <c r="A176" s="1"/>
      <c r="B176" s="2"/>
      <c r="C176" s="2"/>
      <c r="D176" s="2"/>
      <c r="E176" s="2"/>
      <c r="F176" s="1"/>
      <c r="G176" s="1">
        <f>MAX(0,tblGoals[[#This Row],[Target Amount]]-tblGoals[[#This Row],[Current Saved Amount]])</f>
      </c>
      <c r="H176" s="2"/>
      <c r="I176" s="4"/>
      <c r="J176" s="2"/>
      <c r="K176" s="2"/>
      <c r="L176" s="2"/>
    </row>
    <row r="177">
      <c r="A177" s="1"/>
      <c r="B177" s="2"/>
      <c r="C177" s="2"/>
      <c r="D177" s="2"/>
      <c r="E177" s="2"/>
      <c r="F177" s="1"/>
      <c r="G177" s="1">
        <f>MAX(0,tblGoals[[#This Row],[Target Amount]]-tblGoals[[#This Row],[Current Saved Amount]])</f>
      </c>
      <c r="H177" s="2"/>
      <c r="I177" s="4"/>
      <c r="J177" s="2"/>
      <c r="K177" s="2"/>
      <c r="L177" s="2"/>
    </row>
    <row r="178">
      <c r="A178" s="1"/>
      <c r="B178" s="2"/>
      <c r="C178" s="2"/>
      <c r="D178" s="2"/>
      <c r="E178" s="2"/>
      <c r="F178" s="1"/>
      <c r="G178" s="1">
        <f>MAX(0,tblGoals[[#This Row],[Target Amount]]-tblGoals[[#This Row],[Current Saved Amount]])</f>
      </c>
      <c r="H178" s="2"/>
      <c r="I178" s="4"/>
      <c r="J178" s="2"/>
      <c r="K178" s="2"/>
      <c r="L178" s="2"/>
    </row>
    <row r="179">
      <c r="A179" s="1"/>
      <c r="B179" s="2"/>
      <c r="C179" s="2"/>
      <c r="D179" s="2"/>
      <c r="E179" s="2"/>
      <c r="F179" s="1"/>
      <c r="G179" s="1">
        <f>MAX(0,tblGoals[[#This Row],[Target Amount]]-tblGoals[[#This Row],[Current Saved Amount]])</f>
      </c>
      <c r="H179" s="2"/>
      <c r="I179" s="4"/>
      <c r="J179" s="2"/>
      <c r="K179" s="2"/>
      <c r="L179" s="2"/>
    </row>
    <row r="180">
      <c r="A180" s="1"/>
      <c r="B180" s="2"/>
      <c r="C180" s="2"/>
      <c r="D180" s="2"/>
      <c r="E180" s="2"/>
      <c r="F180" s="1"/>
      <c r="G180" s="1">
        <f>MAX(0,tblGoals[[#This Row],[Target Amount]]-tblGoals[[#This Row],[Current Saved Amount]])</f>
      </c>
      <c r="H180" s="2"/>
      <c r="I180" s="4"/>
      <c r="J180" s="2"/>
      <c r="K180" s="2"/>
      <c r="L180" s="2"/>
    </row>
    <row r="181">
      <c r="A181" s="1"/>
      <c r="B181" s="2"/>
      <c r="C181" s="2"/>
      <c r="D181" s="2"/>
      <c r="E181" s="2"/>
      <c r="F181" s="1"/>
      <c r="G181" s="1">
        <f>MAX(0,tblGoals[[#This Row],[Target Amount]]-tblGoals[[#This Row],[Current Saved Amount]])</f>
      </c>
      <c r="H181" s="2"/>
      <c r="I181" s="4"/>
      <c r="J181" s="2"/>
      <c r="K181" s="2"/>
      <c r="L181" s="2"/>
    </row>
    <row r="182">
      <c r="A182" s="1"/>
      <c r="B182" s="2"/>
      <c r="C182" s="2"/>
      <c r="D182" s="2"/>
      <c r="E182" s="2"/>
      <c r="F182" s="1"/>
      <c r="G182" s="1">
        <f>MAX(0,tblGoals[[#This Row],[Target Amount]]-tblGoals[[#This Row],[Current Saved Amount]])</f>
      </c>
      <c r="H182" s="2"/>
      <c r="I182" s="4"/>
      <c r="J182" s="2"/>
      <c r="K182" s="2"/>
      <c r="L182" s="2"/>
    </row>
    <row r="183">
      <c r="A183" s="1"/>
      <c r="B183" s="2"/>
      <c r="C183" s="2"/>
      <c r="D183" s="2"/>
      <c r="E183" s="2"/>
      <c r="F183" s="1"/>
      <c r="G183" s="1">
        <f>MAX(0,tblGoals[[#This Row],[Target Amount]]-tblGoals[[#This Row],[Current Saved Amount]])</f>
      </c>
      <c r="H183" s="2"/>
      <c r="I183" s="4"/>
      <c r="J183" s="2"/>
      <c r="K183" s="2"/>
      <c r="L183" s="2"/>
    </row>
    <row r="184">
      <c r="A184" s="1"/>
      <c r="B184" s="2"/>
      <c r="C184" s="2"/>
      <c r="D184" s="2"/>
      <c r="E184" s="2"/>
      <c r="F184" s="1"/>
      <c r="G184" s="1">
        <f>MAX(0,tblGoals[[#This Row],[Target Amount]]-tblGoals[[#This Row],[Current Saved Amount]])</f>
      </c>
      <c r="H184" s="2"/>
      <c r="I184" s="4"/>
      <c r="J184" s="2"/>
      <c r="K184" s="2"/>
      <c r="L184" s="2"/>
    </row>
    <row r="185">
      <c r="A185" s="1"/>
      <c r="B185" s="2"/>
      <c r="C185" s="2"/>
      <c r="D185" s="2"/>
      <c r="E185" s="2"/>
      <c r="F185" s="1"/>
      <c r="G185" s="1">
        <f>MAX(0,tblGoals[[#This Row],[Target Amount]]-tblGoals[[#This Row],[Current Saved Amount]])</f>
      </c>
      <c r="H185" s="2"/>
      <c r="I185" s="4"/>
      <c r="J185" s="2"/>
      <c r="K185" s="2"/>
      <c r="L185" s="2"/>
    </row>
    <row r="186">
      <c r="A186" s="1"/>
      <c r="B186" s="2"/>
      <c r="C186" s="2"/>
      <c r="D186" s="2"/>
      <c r="E186" s="2"/>
      <c r="F186" s="1"/>
      <c r="G186" s="1">
        <f>MAX(0,tblGoals[[#This Row],[Target Amount]]-tblGoals[[#This Row],[Current Saved Amount]])</f>
      </c>
      <c r="H186" s="2"/>
      <c r="I186" s="4"/>
      <c r="J186" s="2"/>
      <c r="K186" s="2"/>
      <c r="L186" s="2"/>
    </row>
    <row r="187">
      <c r="A187" s="1"/>
      <c r="B187" s="2"/>
      <c r="C187" s="2"/>
      <c r="D187" s="2"/>
      <c r="E187" s="2"/>
      <c r="F187" s="1"/>
      <c r="G187" s="1">
        <f>MAX(0,tblGoals[[#This Row],[Target Amount]]-tblGoals[[#This Row],[Current Saved Amount]])</f>
      </c>
      <c r="H187" s="2"/>
      <c r="I187" s="4"/>
      <c r="J187" s="2"/>
      <c r="K187" s="2"/>
      <c r="L187" s="2"/>
    </row>
    <row r="188">
      <c r="A188" s="1"/>
      <c r="B188" s="2"/>
      <c r="C188" s="2"/>
      <c r="D188" s="2"/>
      <c r="E188" s="2"/>
      <c r="F188" s="1"/>
      <c r="G188" s="1">
        <f>MAX(0,tblGoals[[#This Row],[Target Amount]]-tblGoals[[#This Row],[Current Saved Amount]])</f>
      </c>
      <c r="H188" s="2"/>
      <c r="I188" s="4"/>
      <c r="J188" s="2"/>
      <c r="K188" s="2"/>
      <c r="L188" s="2"/>
    </row>
    <row r="189">
      <c r="A189" s="1"/>
      <c r="B189" s="2"/>
      <c r="C189" s="2"/>
      <c r="D189" s="2"/>
      <c r="E189" s="2"/>
      <c r="F189" s="1"/>
      <c r="G189" s="1">
        <f>MAX(0,tblGoals[[#This Row],[Target Amount]]-tblGoals[[#This Row],[Current Saved Amount]])</f>
      </c>
      <c r="H189" s="2"/>
      <c r="I189" s="4"/>
      <c r="J189" s="2"/>
      <c r="K189" s="2"/>
      <c r="L189" s="2"/>
    </row>
    <row r="190">
      <c r="A190" s="1"/>
      <c r="B190" s="2"/>
      <c r="C190" s="2"/>
      <c r="D190" s="2"/>
      <c r="E190" s="2"/>
      <c r="F190" s="1"/>
      <c r="G190" s="1">
        <f>MAX(0,tblGoals[[#This Row],[Target Amount]]-tblGoals[[#This Row],[Current Saved Amount]])</f>
      </c>
      <c r="H190" s="2"/>
      <c r="I190" s="4"/>
      <c r="J190" s="2"/>
      <c r="K190" s="2"/>
      <c r="L190" s="2"/>
    </row>
    <row r="191">
      <c r="A191" s="1"/>
      <c r="B191" s="2"/>
      <c r="C191" s="2"/>
      <c r="D191" s="2"/>
      <c r="E191" s="2"/>
      <c r="F191" s="1"/>
      <c r="G191" s="1">
        <f>MAX(0,tblGoals[[#This Row],[Target Amount]]-tblGoals[[#This Row],[Current Saved Amount]])</f>
      </c>
      <c r="H191" s="2"/>
      <c r="I191" s="4"/>
      <c r="J191" s="2"/>
      <c r="K191" s="2"/>
      <c r="L191" s="2"/>
    </row>
    <row r="192">
      <c r="A192" s="1"/>
      <c r="B192" s="2"/>
      <c r="C192" s="2"/>
      <c r="D192" s="2"/>
      <c r="E192" s="2"/>
      <c r="F192" s="1"/>
      <c r="G192" s="1">
        <f>MAX(0,tblGoals[[#This Row],[Target Amount]]-tblGoals[[#This Row],[Current Saved Amount]])</f>
      </c>
      <c r="H192" s="2"/>
      <c r="I192" s="4"/>
      <c r="J192" s="2"/>
      <c r="K192" s="2"/>
      <c r="L192" s="2"/>
    </row>
    <row r="193">
      <c r="A193" s="1"/>
      <c r="B193" s="2"/>
      <c r="C193" s="2"/>
      <c r="D193" s="2"/>
      <c r="E193" s="2"/>
      <c r="F193" s="1"/>
      <c r="G193" s="1">
        <f>MAX(0,tblGoals[[#This Row],[Target Amount]]-tblGoals[[#This Row],[Current Saved Amount]])</f>
      </c>
      <c r="H193" s="2"/>
      <c r="I193" s="4"/>
      <c r="J193" s="2"/>
      <c r="K193" s="2"/>
      <c r="L193" s="2"/>
    </row>
    <row r="194">
      <c r="A194" s="1"/>
      <c r="B194" s="2"/>
      <c r="C194" s="2"/>
      <c r="D194" s="2"/>
      <c r="E194" s="2"/>
      <c r="F194" s="1"/>
      <c r="G194" s="1">
        <f>MAX(0,tblGoals[[#This Row],[Target Amount]]-tblGoals[[#This Row],[Current Saved Amount]])</f>
      </c>
      <c r="H194" s="2"/>
      <c r="I194" s="4"/>
      <c r="J194" s="2"/>
      <c r="K194" s="2"/>
      <c r="L194" s="2"/>
    </row>
    <row r="195">
      <c r="A195" s="1"/>
      <c r="B195" s="2"/>
      <c r="C195" s="2"/>
      <c r="D195" s="2"/>
      <c r="E195" s="2"/>
      <c r="F195" s="1"/>
      <c r="G195" s="1">
        <f>MAX(0,tblGoals[[#This Row],[Target Amount]]-tblGoals[[#This Row],[Current Saved Amount]])</f>
      </c>
      <c r="H195" s="2"/>
      <c r="I195" s="4"/>
      <c r="J195" s="2"/>
      <c r="K195" s="2"/>
      <c r="L195" s="2"/>
    </row>
    <row r="196">
      <c r="A196" s="1"/>
      <c r="B196" s="2"/>
      <c r="C196" s="2"/>
      <c r="D196" s="2"/>
      <c r="E196" s="2"/>
      <c r="F196" s="1"/>
      <c r="G196" s="1">
        <f>MAX(0,tblGoals[[#This Row],[Target Amount]]-tblGoals[[#This Row],[Current Saved Amount]])</f>
      </c>
      <c r="H196" s="2"/>
      <c r="I196" s="4"/>
      <c r="J196" s="2"/>
      <c r="K196" s="2"/>
      <c r="L196" s="2"/>
    </row>
    <row r="197">
      <c r="A197" s="1"/>
      <c r="B197" s="2"/>
      <c r="C197" s="2"/>
      <c r="D197" s="2"/>
      <c r="E197" s="2"/>
      <c r="F197" s="1"/>
      <c r="G197" s="1">
        <f>MAX(0,tblGoals[[#This Row],[Target Amount]]-tblGoals[[#This Row],[Current Saved Amount]])</f>
      </c>
      <c r="H197" s="2"/>
      <c r="I197" s="4"/>
      <c r="J197" s="2"/>
      <c r="K197" s="2"/>
      <c r="L197" s="2"/>
    </row>
    <row r="198">
      <c r="A198" s="1"/>
      <c r="B198" s="2"/>
      <c r="C198" s="2"/>
      <c r="D198" s="2"/>
      <c r="E198" s="2"/>
      <c r="F198" s="1"/>
      <c r="G198" s="1">
        <f>MAX(0,tblGoals[[#This Row],[Target Amount]]-tblGoals[[#This Row],[Current Saved Amount]])</f>
      </c>
      <c r="H198" s="2"/>
      <c r="I198" s="4"/>
      <c r="J198" s="2"/>
      <c r="K198" s="2"/>
      <c r="L198" s="2"/>
    </row>
    <row r="199">
      <c r="A199" s="1"/>
      <c r="B199" s="2"/>
      <c r="C199" s="2"/>
      <c r="D199" s="2"/>
      <c r="E199" s="2"/>
      <c r="F199" s="1"/>
      <c r="G199" s="1">
        <f>MAX(0,tblGoals[[#This Row],[Target Amount]]-tblGoals[[#This Row],[Current Saved Amount]])</f>
      </c>
      <c r="H199" s="2"/>
      <c r="I199" s="4"/>
      <c r="J199" s="2"/>
      <c r="K199" s="2"/>
      <c r="L199" s="2"/>
    </row>
    <row r="200">
      <c r="A200" s="1"/>
      <c r="B200" s="2"/>
      <c r="C200" s="2"/>
      <c r="D200" s="2"/>
      <c r="E200" s="2"/>
      <c r="F200" s="1"/>
      <c r="G200" s="1">
        <f>MAX(0,tblGoals[[#This Row],[Target Amount]]-tblGoals[[#This Row],[Current Saved Amount]])</f>
      </c>
      <c r="H200" s="2"/>
      <c r="I200" s="4"/>
      <c r="J200" s="2"/>
      <c r="K200" s="2"/>
      <c r="L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rngPriority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rngGoalStatus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35" x14ac:dyDescent="0.3">
      <c r="A1" t="s">
        <v>79</v>
      </c>
      <c r="B1" t="s">
        <v>80</v>
      </c>
      <c r="C1" t="s">
        <v>81</v>
      </c>
      <c r="D1" s="1" t="s">
        <v>114</v>
      </c>
      <c r="AG1" t="s">
        <v>26</v>
      </c>
      <c r="AH1" t="s">
        <v>36</v>
      </c>
      <c r="AI1" t="s">
        <v>180</v>
      </c>
    </row>
    <row r="2" spans="1:35" x14ac:dyDescent="0.3">
      <c r="A2" t="s">
        <v>82</v>
      </c>
      <c r="D2" s="1" t="s">
        <v>401</v>
      </c>
      <c r="AG2" t="s">
        <v>181</v>
      </c>
      <c r="AH2" t="s">
        <v>205</v>
      </c>
      <c r="AI2" t="s">
        <v>214</v>
      </c>
    </row>
    <row r="3" spans="1:35" x14ac:dyDescent="0.3">
      <c r="A3" t="s">
        <v>83</v>
      </c>
      <c r="D3" s="1" t="s">
        <v>402</v>
      </c>
      <c r="AG3" t="s">
        <v>182</v>
      </c>
      <c r="AH3" t="s">
        <v>206</v>
      </c>
      <c r="AI3" t="s">
        <v>215</v>
      </c>
    </row>
    <row r="4" spans="1:35" x14ac:dyDescent="0.3">
      <c r="A4" t="s">
        <v>84</v>
      </c>
      <c r="D4" s="1" t="s">
        <v>403</v>
      </c>
      <c r="AG4" t="s">
        <v>183</v>
      </c>
      <c r="AH4" t="s">
        <v>207</v>
      </c>
      <c r="AI4" t="s">
        <v>216</v>
      </c>
    </row>
    <row r="5" spans="1:35" x14ac:dyDescent="0.3">
      <c r="A5" t="s">
        <v>85</v>
      </c>
      <c r="AG5" t="s">
        <v>184</v>
      </c>
      <c r="AH5" t="s">
        <v>208</v>
      </c>
      <c r="AI5" t="s">
        <v>217</v>
      </c>
    </row>
    <row r="6" spans="1:35" x14ac:dyDescent="0.3">
      <c r="A6" t="s">
        <v>86</v>
      </c>
      <c r="AG6" t="s">
        <v>185</v>
      </c>
      <c r="AH6" t="s">
        <v>209</v>
      </c>
      <c r="AI6" t="s">
        <v>218</v>
      </c>
    </row>
    <row r="7" spans="1:35" x14ac:dyDescent="0.3">
      <c r="AG7" t="s">
        <v>186</v>
      </c>
      <c r="AH7" t="s">
        <v>91</v>
      </c>
      <c r="AI7" t="s">
        <v>219</v>
      </c>
    </row>
    <row r="8" spans="1:35" x14ac:dyDescent="0.3">
      <c r="AG8" t="s">
        <v>187</v>
      </c>
      <c r="AH8" t="s">
        <v>210</v>
      </c>
      <c r="AI8" t="s">
        <v>220</v>
      </c>
    </row>
    <row r="9" spans="1:35" x14ac:dyDescent="0.3">
      <c r="A9" t="s">
        <v>65</v>
      </c>
      <c r="AG9" t="s">
        <v>188</v>
      </c>
      <c r="AH9" t="s">
        <v>211</v>
      </c>
      <c r="AI9" t="s">
        <v>221</v>
      </c>
    </row>
    <row r="10" spans="1:35" x14ac:dyDescent="0.3">
      <c r="A10" t="s">
        <v>87</v>
      </c>
      <c r="AG10" t="s">
        <v>189</v>
      </c>
      <c r="AH10" t="s">
        <v>212</v>
      </c>
      <c r="AI10" t="s">
        <v>222</v>
      </c>
    </row>
    <row r="11" spans="1:35" x14ac:dyDescent="0.3">
      <c r="A11" t="s">
        <v>88</v>
      </c>
      <c r="AG11" t="s">
        <v>190</v>
      </c>
      <c r="AH11" t="s">
        <v>213</v>
      </c>
    </row>
    <row r="12" spans="1:35" x14ac:dyDescent="0.3">
      <c r="A12" t="s">
        <v>89</v>
      </c>
      <c r="AG12" t="s">
        <v>191</v>
      </c>
    </row>
    <row r="13" spans="1:35" x14ac:dyDescent="0.3">
      <c r="A13" t="s">
        <v>90</v>
      </c>
      <c r="AG13" t="s">
        <v>192</v>
      </c>
    </row>
    <row r="14" spans="1:35" x14ac:dyDescent="0.3">
      <c r="A14" t="s">
        <v>91</v>
      </c>
      <c r="AG14" t="s">
        <v>193</v>
      </c>
    </row>
    <row r="15" spans="1:35" x14ac:dyDescent="0.3">
      <c r="A15" t="s">
        <v>92</v>
      </c>
      <c r="AG15" t="s">
        <v>194</v>
      </c>
    </row>
    <row r="16" spans="1:35" x14ac:dyDescent="0.3">
      <c r="A16" t="s">
        <v>93</v>
      </c>
      <c r="AG16" t="s">
        <v>195</v>
      </c>
    </row>
    <row r="17" spans="1:33" x14ac:dyDescent="0.3">
      <c r="A17" t="s">
        <v>94</v>
      </c>
      <c r="AG17" t="s">
        <v>196</v>
      </c>
    </row>
    <row r="18" spans="1:33" x14ac:dyDescent="0.3">
      <c r="AG18" t="s">
        <v>197</v>
      </c>
    </row>
    <row r="19" spans="1:33" x14ac:dyDescent="0.3">
      <c r="AG19" t="s">
        <v>198</v>
      </c>
    </row>
    <row r="20" spans="1:33" x14ac:dyDescent="0.3">
      <c r="A20" t="s">
        <v>59</v>
      </c>
      <c r="AG20" t="s">
        <v>199</v>
      </c>
    </row>
    <row r="21" spans="1:33" x14ac:dyDescent="0.3">
      <c r="A21" t="s">
        <v>95</v>
      </c>
      <c r="AG21" t="s">
        <v>200</v>
      </c>
    </row>
    <row r="22" spans="1:33" x14ac:dyDescent="0.3">
      <c r="A22" t="s">
        <v>96</v>
      </c>
      <c r="AG22" t="s">
        <v>201</v>
      </c>
    </row>
    <row r="23" spans="1:33" x14ac:dyDescent="0.3">
      <c r="A23" t="s">
        <v>97</v>
      </c>
      <c r="AG23" t="s">
        <v>202</v>
      </c>
    </row>
    <row r="24" spans="1:33" x14ac:dyDescent="0.3">
      <c r="A24" t="s">
        <v>98</v>
      </c>
      <c r="AG24" t="s">
        <v>203</v>
      </c>
    </row>
    <row r="25" spans="1:33" x14ac:dyDescent="0.3">
      <c r="AG25" t="s">
        <v>204</v>
      </c>
    </row>
    <row r="27" spans="1:33" x14ac:dyDescent="0.3">
      <c r="A27" t="s">
        <v>61</v>
      </c>
    </row>
    <row r="28" spans="1:33" x14ac:dyDescent="0.3">
      <c r="A28" t="s">
        <v>99</v>
      </c>
    </row>
    <row r="29" spans="1:33" x14ac:dyDescent="0.3">
      <c r="A29" t="s">
        <v>21</v>
      </c>
    </row>
    <row r="30" spans="1:33" x14ac:dyDescent="0.3">
      <c r="A30" t="s">
        <v>100</v>
      </c>
    </row>
    <row r="31" spans="1:33" x14ac:dyDescent="0.3">
      <c r="A31" t="s">
        <v>101</v>
      </c>
    </row>
    <row r="32" spans="1:33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94</v>
      </c>
    </row>
    <row r="37" spans="1:1" x14ac:dyDescent="0.3">
      <c r="A37" t="s">
        <v>54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4" spans="1:1" x14ac:dyDescent="0.3">
      <c r="A44" t="s">
        <v>77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50" spans="1:1" x14ac:dyDescent="0.3">
      <c r="A50" t="s">
        <v>9</v>
      </c>
    </row>
    <row r="51" spans="1:1" x14ac:dyDescent="0.3">
      <c r="A51" t="s">
        <v>111</v>
      </c>
    </row>
    <row r="52" spans="1:1" x14ac:dyDescent="0.3">
      <c r="A52" t="s">
        <v>112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115</v>
      </c>
    </row>
    <row r="58" spans="1:1" x14ac:dyDescent="0.3">
      <c r="A58" t="s">
        <v>78</v>
      </c>
    </row>
    <row r="59" spans="1:1" x14ac:dyDescent="0.3">
      <c r="A59" t="s">
        <v>111</v>
      </c>
    </row>
    <row r="60" spans="1:1" x14ac:dyDescent="0.3">
      <c r="A60" t="s">
        <v>113</v>
      </c>
    </row>
    <row r="61" spans="1:1" x14ac:dyDescent="0.3">
      <c r="A61" t="s">
        <v>114</v>
      </c>
    </row>
    <row r="64" spans="1:1" x14ac:dyDescent="0.3">
      <c r="A64" t="s">
        <v>116</v>
      </c>
    </row>
    <row r="65" spans="1:1" x14ac:dyDescent="0.3">
      <c r="A65" t="s">
        <v>111</v>
      </c>
    </row>
    <row r="66" spans="1:1" x14ac:dyDescent="0.3">
      <c r="A66" t="s">
        <v>115</v>
      </c>
    </row>
    <row r="69" spans="1:1" x14ac:dyDescent="0.3">
      <c r="A69" t="s">
        <v>117</v>
      </c>
    </row>
    <row r="70" spans="1:1" x14ac:dyDescent="0.3">
      <c r="A70" t="s">
        <v>111</v>
      </c>
    </row>
    <row r="71" spans="1:1" x14ac:dyDescent="0.3">
      <c r="A71" t="s">
        <v>115</v>
      </c>
    </row>
    <row r="74" spans="1:1" x14ac:dyDescent="0.3">
      <c r="A74" t="s">
        <v>118</v>
      </c>
    </row>
    <row r="75" spans="1:1" x14ac:dyDescent="0.3">
      <c r="A75" t="s">
        <v>111</v>
      </c>
    </row>
    <row r="76" spans="1:1" x14ac:dyDescent="0.3">
      <c r="A76" t="s">
        <v>113</v>
      </c>
    </row>
    <row r="77" spans="1:1" x14ac:dyDescent="0.3">
      <c r="A77" t="s">
        <v>114</v>
      </c>
    </row>
    <row r="80" spans="1:1" x14ac:dyDescent="0.3">
      <c r="A80" t="s">
        <v>33</v>
      </c>
    </row>
    <row r="81" spans="1:1" x14ac:dyDescent="0.3">
      <c r="A81" t="s">
        <v>119</v>
      </c>
    </row>
    <row r="82" spans="1:1" x14ac:dyDescent="0.3">
      <c r="A82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90" spans="1:1" x14ac:dyDescent="0.3">
      <c r="A90" t="s">
        <v>14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88</v>
      </c>
    </row>
    <row r="94" spans="1:1" x14ac:dyDescent="0.3">
      <c r="A94" t="s">
        <v>92</v>
      </c>
    </row>
    <row r="95" spans="1:1" x14ac:dyDescent="0.3">
      <c r="A95" t="s">
        <v>89</v>
      </c>
    </row>
    <row r="96" spans="1:1" x14ac:dyDescent="0.3">
      <c r="A96" t="s">
        <v>91</v>
      </c>
    </row>
    <row r="97" spans="1:3" x14ac:dyDescent="0.3">
      <c r="A97" t="s">
        <v>126</v>
      </c>
    </row>
    <row r="98" spans="1:3" x14ac:dyDescent="0.3">
      <c r="A98" t="s">
        <v>94</v>
      </c>
    </row>
    <row r="101" spans="1:3" x14ac:dyDescent="0.3">
      <c r="A101" t="s">
        <v>7</v>
      </c>
    </row>
    <row r="102" spans="1:3" x14ac:dyDescent="0.3">
      <c r="A102" t="s">
        <v>95</v>
      </c>
    </row>
    <row r="103" spans="1:3" x14ac:dyDescent="0.3">
      <c r="A103" t="s">
        <v>96</v>
      </c>
    </row>
    <row r="106" spans="1:3" x14ac:dyDescent="0.3">
      <c r="A106" t="s">
        <v>127</v>
      </c>
    </row>
    <row r="107" spans="1:3" x14ac:dyDescent="0.3">
      <c r="A107" t="s">
        <v>128</v>
      </c>
    </row>
    <row r="110" spans="1:3" x14ac:dyDescent="0.3">
      <c r="A110" t="s">
        <v>129</v>
      </c>
      <c r="B110" t="s">
        <v>130</v>
      </c>
      <c r="C110" t="s">
        <v>131</v>
      </c>
    </row>
    <row r="111" spans="1:3" x14ac:dyDescent="0.3">
      <c r="A111">
        <v>1</v>
      </c>
      <c r="B111" t="s">
        <v>132</v>
      </c>
      <c r="C111" t="s">
        <v>133</v>
      </c>
    </row>
    <row r="112" spans="1:3" x14ac:dyDescent="0.3">
      <c r="A112">
        <v>2</v>
      </c>
      <c r="B112" t="s">
        <v>134</v>
      </c>
      <c r="C112" t="s">
        <v>135</v>
      </c>
    </row>
    <row r="113" spans="1:3" x14ac:dyDescent="0.3">
      <c r="A113">
        <v>3</v>
      </c>
      <c r="B113" t="s">
        <v>136</v>
      </c>
      <c r="C113" t="s">
        <v>137</v>
      </c>
    </row>
    <row r="114" spans="1:3" x14ac:dyDescent="0.3">
      <c r="A114">
        <v>4</v>
      </c>
      <c r="B114" t="s">
        <v>138</v>
      </c>
      <c r="C114" t="s">
        <v>139</v>
      </c>
    </row>
    <row r="115" spans="1:3" x14ac:dyDescent="0.3">
      <c r="A115">
        <v>5</v>
      </c>
      <c r="B115" t="s">
        <v>140</v>
      </c>
      <c r="C115" t="s">
        <v>140</v>
      </c>
    </row>
    <row r="116" spans="1:3" x14ac:dyDescent="0.3">
      <c r="A116">
        <v>6</v>
      </c>
      <c r="B116" t="s">
        <v>141</v>
      </c>
      <c r="C116" t="s">
        <v>142</v>
      </c>
    </row>
    <row r="117" spans="1:3" x14ac:dyDescent="0.3">
      <c r="A117">
        <v>7</v>
      </c>
      <c r="B117" t="s">
        <v>143</v>
      </c>
      <c r="C117" t="s">
        <v>144</v>
      </c>
    </row>
    <row r="118" spans="1:3" x14ac:dyDescent="0.3">
      <c r="A118">
        <v>8</v>
      </c>
      <c r="B118" t="s">
        <v>145</v>
      </c>
      <c r="C118" t="s">
        <v>146</v>
      </c>
    </row>
    <row r="119" spans="1:3" x14ac:dyDescent="0.3">
      <c r="A119">
        <v>9</v>
      </c>
      <c r="B119" t="s">
        <v>147</v>
      </c>
      <c r="C119" t="s">
        <v>148</v>
      </c>
    </row>
    <row r="120" spans="1:3" x14ac:dyDescent="0.3">
      <c r="A120">
        <v>10</v>
      </c>
      <c r="B120" t="s">
        <v>149</v>
      </c>
      <c r="C120" t="s">
        <v>150</v>
      </c>
    </row>
    <row r="121" spans="1:3" x14ac:dyDescent="0.3">
      <c r="A121">
        <v>11</v>
      </c>
      <c r="B121" t="s">
        <v>151</v>
      </c>
      <c r="C121" t="s">
        <v>152</v>
      </c>
    </row>
    <row r="122" spans="1:3" x14ac:dyDescent="0.3">
      <c r="A122">
        <v>12</v>
      </c>
      <c r="B122" t="s">
        <v>153</v>
      </c>
      <c r="C122" t="s">
        <v>154</v>
      </c>
    </row>
    <row r="125" spans="1:3" x14ac:dyDescent="0.3">
      <c r="A125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2" customWidth="1"/>
    <col min="2" max="2" width="16" customWidth="1"/>
    <col min="4" max="4" width="24" customWidth="1"/>
    <col min="5" max="8" width="16" customWidth="1"/>
    <col min="9" max="9" width="18" customWidth="1"/>
    <col min="10" max="12" width="18" customWidth="1"/>
  </cols>
  <sheetData>
    <row r="1">
      <c r="A1" s="1" t="s">
        <v>223</v>
      </c>
      <c r="B1" s="4">
        <v>46277</v>
      </c>
      <c r="D1" s="1" t="s">
        <v>13</v>
      </c>
      <c r="E1" s="1" t="s">
        <v>16</v>
      </c>
      <c r="F1" s="1" t="s">
        <v>404</v>
      </c>
      <c r="G1" s="1" t="s">
        <v>405</v>
      </c>
      <c r="H1" s="1" t="s">
        <v>17</v>
      </c>
      <c r="I1" s="1" t="s">
        <v>406</v>
      </c>
      <c r="J1" s="1" t="s">
        <v>14</v>
      </c>
      <c r="K1" s="1" t="s">
        <v>407</v>
      </c>
      <c r="L1" s="1" t="s">
        <v>9</v>
      </c>
    </row>
    <row r="2">
      <c r="D2" s="1">
        <f>IFERROR(IF(INDEX(tblAccounts[Account Name],ROW()-1)="","",INDEX(tblAccounts[Account Name],ROW()-1)),"")</f>
      </c>
      <c r="E2" s="1">
        <f>IF($D2="","",IFERROR(INDEX(tblAccounts[Opening Balance],ROW()-1),0))</f>
      </c>
      <c r="F2" s="1">
        <f>IF($D2="","",IFERROR(SUMIFS(tblTransactions[Amount],tblTransactions[Transaction Type],"Income",tblTransactions[Source Account],$D2,tblTransactions[Transaction Status],"Completed")+SUMIFS(tblTransactions[Amount],tblTransactions[Transaction Type],"Income",tblTransactions[Source Account],$D2,tblTransactions[Transaction Status],"Reconciled")+SUMIFS(tblTransactions[Amount],tblTransactions[Transaction Type],"Transfer",tblTransactions[Destination Type],"Account",tblTransactions[Destination Name],$D2,tblTransactions[Transaction Status],"Completed")+SUMIFS(tblTransactions[Amount],tblTransactions[Transaction Type],"Transfer",tblTransactions[Destination Type],"Account",tblTransactions[Destination Name],$D2,tblTransactions[Transaction Status],"Reconciled")+SUMIFS(tblTransactions[Amount],tblTransactions[Transaction Type],"Adjustment",tblTransactions[Source Account],$D2,tblTransactions[Transaction Status],"Completed",tblTransactions[Amount],"&gt;0")+SUMIFS(tblTransactions[Amount],tblTransactions[Transaction Type],"Adjustment",tblTransactions[Source Account],$D2,tblTransactions[Transaction Status],"Reconciled",tblTransactions[Amount],"&gt;0"),0))</f>
      </c>
      <c r="G2" s="1">
        <f>IF($D2="","",IFERROR(SUMIFS(tblTransactions[Amount],tblTransactions[Transaction Type],"Expense",tblTransactions[Source Account],$D2,tblTransactions[Transaction Status],"Completed")+SUMIFS(tblTransactions[Amount],tblTransactions[Transaction Type],"Expense",tblTransactions[Source Account],$D2,tblTransactions[Transaction Status],"Reconciled")+SUMIFS(tblTransactions[Amount],tblTransactions[Transaction Type],"Transfer",tblTransactions[Source Account],$D2,tblTransactions[Transaction Status],"Completed")+SUMIFS(tblTransactions[Amount],tblTransactions[Transaction Type],"Transfer",tblTransactions[Source Account],$D2,tblTransactions[Transaction Status],"Reconciled")-SUMIFS(tblTransactions[Amount],tblTransactions[Transaction Type],"Adjustment",tblTransactions[Source Account],$D2,tblTransactions[Transaction Status],"Completed",tblTransactions[Amount],"&lt;0")-SUMIFS(tblTransactions[Amount],tblTransactions[Transaction Type],"Adjustment",tblTransactions[Source Account],$D2,tblTransactions[Transaction Status],"Reconciled",tblTransactions[Amount],"&lt;0"),0))</f>
      </c>
      <c r="H2" s="1">
        <f>IF($D2="","",$E2+$F2-$G2)</f>
      </c>
      <c r="I2" s="4">
        <f>IF($D2="","",IFERROR(LOOKUP(2,1/(((tblTransactions[Source Account]=$D2)+((tblTransactions[Transaction Type]="Transfer")*(tblTransactions[Destination Type]="Account")*(tblTransactions[Destination Name]=$D2)))*((tblTransactions[Transaction Status]="Completed")+(tblTransactions[Transaction Status]="Reconciled"))),tblTransactions[Transaction Date]),""))</f>
      </c>
      <c r="J2" s="1">
        <f>IF($D2="","",IFERROR(INDEX(tblAccounts[Account Type],ROW()-1),""))</f>
      </c>
      <c r="K2" s="1">
        <f>IF($D2="","",IFERROR(INDEX(tblAccounts[Include in Dashboard],ROW()-1),""))</f>
      </c>
      <c r="L2" s="1">
        <f>IF($D2="","",IFERROR(INDEX(tblAccounts[Status],ROW()-1),""))</f>
      </c>
    </row>
    <row r="3">
      <c r="A3" s="1" t="s">
        <v>224</v>
      </c>
      <c r="D3" s="1">
        <f>IFERROR(IF(INDEX(tblAccounts[Account Name],ROW()-1)="","",INDEX(tblAccounts[Account Name],ROW()-1)),"")</f>
      </c>
      <c r="E3" s="1">
        <f>IF($D3="","",IFERROR(INDEX(tblAccounts[Opening Balance],ROW()-1),0))</f>
      </c>
      <c r="F3" s="1">
        <f>IF($D3="","",IFERROR(SUMIFS(tblTransactions[Amount],tblTransactions[Transaction Type],"Income",tblTransactions[Source Account],$D3,tblTransactions[Transaction Status],"Completed")+SUMIFS(tblTransactions[Amount],tblTransactions[Transaction Type],"Income",tblTransactions[Source Account],$D3,tblTransactions[Transaction Status],"Reconciled")+SUMIFS(tblTransactions[Amount],tblTransactions[Transaction Type],"Transfer",tblTransactions[Destination Type],"Account",tblTransactions[Destination Name],$D3,tblTransactions[Transaction Status],"Completed")+SUMIFS(tblTransactions[Amount],tblTransactions[Transaction Type],"Transfer",tblTransactions[Destination Type],"Account",tblTransactions[Destination Name],$D3,tblTransactions[Transaction Status],"Reconciled")+SUMIFS(tblTransactions[Amount],tblTransactions[Transaction Type],"Adjustment",tblTransactions[Source Account],$D3,tblTransactions[Transaction Status],"Completed",tblTransactions[Amount],"&gt;0")+SUMIFS(tblTransactions[Amount],tblTransactions[Transaction Type],"Adjustment",tblTransactions[Source Account],$D3,tblTransactions[Transaction Status],"Reconciled",tblTransactions[Amount],"&gt;0"),0))</f>
      </c>
      <c r="G3" s="1">
        <f>IF($D3="","",IFERROR(SUMIFS(tblTransactions[Amount],tblTransactions[Transaction Type],"Expense",tblTransactions[Source Account],$D3,tblTransactions[Transaction Status],"Completed")+SUMIFS(tblTransactions[Amount],tblTransactions[Transaction Type],"Expense",tblTransactions[Source Account],$D3,tblTransactions[Transaction Status],"Reconciled")+SUMIFS(tblTransactions[Amount],tblTransactions[Transaction Type],"Transfer",tblTransactions[Source Account],$D3,tblTransactions[Transaction Status],"Completed")+SUMIFS(tblTransactions[Amount],tblTransactions[Transaction Type],"Transfer",tblTransactions[Source Account],$D3,tblTransactions[Transaction Status],"Reconciled")-SUMIFS(tblTransactions[Amount],tblTransactions[Transaction Type],"Adjustment",tblTransactions[Source Account],$D3,tblTransactions[Transaction Status],"Completed",tblTransactions[Amount],"&lt;0")-SUMIFS(tblTransactions[Amount],tblTransactions[Transaction Type],"Adjustment",tblTransactions[Source Account],$D3,tblTransactions[Transaction Status],"Reconciled",tblTransactions[Amount],"&lt;0"),0))</f>
      </c>
      <c r="H3" s="1">
        <f>IF($D3="","",$E3+$F3-$G3)</f>
      </c>
      <c r="I3" s="4">
        <f>IF($D3="","",IFERROR(LOOKUP(2,1/(((tblTransactions[Source Account]=$D3)+((tblTransactions[Transaction Type]="Transfer")*(tblTransactions[Destination Type]="Account")*(tblTransactions[Destination Name]=$D3)))*((tblTransactions[Transaction Status]="Completed")+(tblTransactions[Transaction Status]="Reconciled"))),tblTransactions[Transaction Date]),""))</f>
      </c>
      <c r="J3" s="1">
        <f>IF($D3="","",IFERROR(INDEX(tblAccounts[Account Type],ROW()-1),""))</f>
      </c>
      <c r="K3" s="1">
        <f>IF($D3="","",IFERROR(INDEX(tblAccounts[Include in Dashboard],ROW()-1),""))</f>
      </c>
      <c r="L3" s="1">
        <f>IF($D3="","",IFERROR(INDEX(tblAccounts[Status],ROW()-1),""))</f>
      </c>
    </row>
    <row r="4">
      <c r="A4" s="1" t="s">
        <v>225</v>
      </c>
      <c r="B4" s="1">
        <f>IFERROR(SUMIFS($H$2:$H$200,$L$2:$L$200,"Active",$K$2:$K$200,"Yes"),0)</f>
      </c>
      <c r="D4" s="1">
        <f>IFERROR(IF(INDEX(tblAccounts[Account Name],ROW()-1)="","",INDEX(tblAccounts[Account Name],ROW()-1)),"")</f>
      </c>
      <c r="E4" s="1">
        <f>IF($D4="","",IFERROR(INDEX(tblAccounts[Opening Balance],ROW()-1),0))</f>
      </c>
      <c r="F4" s="1">
        <f>IF($D4="","",IFERROR(SUMIFS(tblTransactions[Amount],tblTransactions[Transaction Type],"Income",tblTransactions[Source Account],$D4,tblTransactions[Transaction Status],"Completed")+SUMIFS(tblTransactions[Amount],tblTransactions[Transaction Type],"Income",tblTransactions[Source Account],$D4,tblTransactions[Transaction Status],"Reconciled")+SUMIFS(tblTransactions[Amount],tblTransactions[Transaction Type],"Transfer",tblTransactions[Destination Type],"Account",tblTransactions[Destination Name],$D4,tblTransactions[Transaction Status],"Completed")+SUMIFS(tblTransactions[Amount],tblTransactions[Transaction Type],"Transfer",tblTransactions[Destination Type],"Account",tblTransactions[Destination Name],$D4,tblTransactions[Transaction Status],"Reconciled")+SUMIFS(tblTransactions[Amount],tblTransactions[Transaction Type],"Adjustment",tblTransactions[Source Account],$D4,tblTransactions[Transaction Status],"Completed",tblTransactions[Amount],"&gt;0")+SUMIFS(tblTransactions[Amount],tblTransactions[Transaction Type],"Adjustment",tblTransactions[Source Account],$D4,tblTransactions[Transaction Status],"Reconciled",tblTransactions[Amount],"&gt;0"),0))</f>
      </c>
      <c r="G4" s="1">
        <f>IF($D4="","",IFERROR(SUMIFS(tblTransactions[Amount],tblTransactions[Transaction Type],"Expense",tblTransactions[Source Account],$D4,tblTransactions[Transaction Status],"Completed")+SUMIFS(tblTransactions[Amount],tblTransactions[Transaction Type],"Expense",tblTransactions[Source Account],$D4,tblTransactions[Transaction Status],"Reconciled")+SUMIFS(tblTransactions[Amount],tblTransactions[Transaction Type],"Transfer",tblTransactions[Source Account],$D4,tblTransactions[Transaction Status],"Completed")+SUMIFS(tblTransactions[Amount],tblTransactions[Transaction Type],"Transfer",tblTransactions[Source Account],$D4,tblTransactions[Transaction Status],"Reconciled")-SUMIFS(tblTransactions[Amount],tblTransactions[Transaction Type],"Adjustment",tblTransactions[Source Account],$D4,tblTransactions[Transaction Status],"Completed",tblTransactions[Amount],"&lt;0")-SUMIFS(tblTransactions[Amount],tblTransactions[Transaction Type],"Adjustment",tblTransactions[Source Account],$D4,tblTransactions[Transaction Status],"Reconciled",tblTransactions[Amount],"&lt;0"),0))</f>
      </c>
      <c r="H4" s="1">
        <f>IF($D4="","",$E4+$F4-$G4)</f>
      </c>
      <c r="I4" s="4">
        <f>IF($D4="","",IFERROR(LOOKUP(2,1/(((tblTransactions[Source Account]=$D4)+((tblTransactions[Transaction Type]="Transfer")*(tblTransactions[Destination Type]="Account")*(tblTransactions[Destination Name]=$D4)))*((tblTransactions[Transaction Status]="Completed")+(tblTransactions[Transaction Status]="Reconciled"))),tblTransactions[Transaction Date]),""))</f>
      </c>
      <c r="J4" s="1">
        <f>IF($D4="","",IFERROR(INDEX(tblAccounts[Account Type],ROW()-1),""))</f>
      </c>
      <c r="K4" s="1">
        <f>IF($D4="","",IFERROR(INDEX(tblAccounts[Include in Dashboard],ROW()-1),""))</f>
      </c>
      <c r="L4" s="1">
        <f>IF($D4="","",IFERROR(INDEX(tblAccounts[Status],ROW()-1),""))</f>
      </c>
    </row>
    <row r="5">
      <c r="A5" s="1" t="s">
        <v>226</v>
      </c>
      <c r="B5" s="1">
        <f>COUNTIFS($D$2:$D$200,"&lt;&gt;",$L$2:$L$200,"Active",$K$2:$K$200,"Yes")</f>
      </c>
      <c r="D5" s="1">
        <f>IFERROR(IF(INDEX(tblAccounts[Account Name],ROW()-1)="","",INDEX(tblAccounts[Account Name],ROW()-1)),"")</f>
      </c>
      <c r="E5" s="1">
        <f>IF($D5="","",IFERROR(INDEX(tblAccounts[Opening Balance],ROW()-1),0))</f>
      </c>
      <c r="F5" s="1">
        <f>IF($D5="","",IFERROR(SUMIFS(tblTransactions[Amount],tblTransactions[Transaction Type],"Income",tblTransactions[Source Account],$D5,tblTransactions[Transaction Status],"Completed")+SUMIFS(tblTransactions[Amount],tblTransactions[Transaction Type],"Income",tblTransactions[Source Account],$D5,tblTransactions[Transaction Status],"Reconciled")+SUMIFS(tblTransactions[Amount],tblTransactions[Transaction Type],"Transfer",tblTransactions[Destination Type],"Account",tblTransactions[Destination Name],$D5,tblTransactions[Transaction Status],"Completed")+SUMIFS(tblTransactions[Amount],tblTransactions[Transaction Type],"Transfer",tblTransactions[Destination Type],"Account",tblTransactions[Destination Name],$D5,tblTransactions[Transaction Status],"Reconciled")+SUMIFS(tblTransactions[Amount],tblTransactions[Transaction Type],"Adjustment",tblTransactions[Source Account],$D5,tblTransactions[Transaction Status],"Completed",tblTransactions[Amount],"&gt;0")+SUMIFS(tblTransactions[Amount],tblTransactions[Transaction Type],"Adjustment",tblTransactions[Source Account],$D5,tblTransactions[Transaction Status],"Reconciled",tblTransactions[Amount],"&gt;0"),0))</f>
      </c>
      <c r="G5" s="1">
        <f>IF($D5="","",IFERROR(SUMIFS(tblTransactions[Amount],tblTransactions[Transaction Type],"Expense",tblTransactions[Source Account],$D5,tblTransactions[Transaction Status],"Completed")+SUMIFS(tblTransactions[Amount],tblTransactions[Transaction Type],"Expense",tblTransactions[Source Account],$D5,tblTransactions[Transaction Status],"Reconciled")+SUMIFS(tblTransactions[Amount],tblTransactions[Transaction Type],"Transfer",tblTransactions[Source Account],$D5,tblTransactions[Transaction Status],"Completed")+SUMIFS(tblTransactions[Amount],tblTransactions[Transaction Type],"Transfer",tblTransactions[Source Account],$D5,tblTransactions[Transaction Status],"Reconciled")-SUMIFS(tblTransactions[Amount],tblTransactions[Transaction Type],"Adjustment",tblTransactions[Source Account],$D5,tblTransactions[Transaction Status],"Completed",tblTransactions[Amount],"&lt;0")-SUMIFS(tblTransactions[Amount],tblTransactions[Transaction Type],"Adjustment",tblTransactions[Source Account],$D5,tblTransactions[Transaction Status],"Reconciled",tblTransactions[Amount],"&lt;0"),0))</f>
      </c>
      <c r="H5" s="1">
        <f>IF($D5="","",$E5+$F5-$G5)</f>
      </c>
      <c r="I5" s="4">
        <f>IF($D5="","",IFERROR(LOOKUP(2,1/(((tblTransactions[Source Account]=$D5)+((tblTransactions[Transaction Type]="Transfer")*(tblTransactions[Destination Type]="Account")*(tblTransactions[Destination Name]=$D5)))*((tblTransactions[Transaction Status]="Completed")+(tblTransactions[Transaction Status]="Reconciled"))),tblTransactions[Transaction Date]),""))</f>
      </c>
      <c r="J5" s="1">
        <f>IF($D5="","",IFERROR(INDEX(tblAccounts[Account Type],ROW()-1),""))</f>
      </c>
      <c r="K5" s="1">
        <f>IF($D5="","",IFERROR(INDEX(tblAccounts[Include in Dashboard],ROW()-1),""))</f>
      </c>
      <c r="L5" s="1">
        <f>IF($D5="","",IFERROR(INDEX(tblAccounts[Status],ROW()-1),""))</f>
      </c>
    </row>
    <row r="6">
      <c r="A6" s="1" t="s">
        <v>227</v>
      </c>
      <c r="B6" s="1">
        <f>IFERROR(SUMIFS($H$2:$H$200,$J$2:$J$200,"Cash",$L$2:$L$200,"Active",$K$2:$K$200,"Yes"),0)</f>
      </c>
      <c r="D6" s="1">
        <f>IFERROR(IF(INDEX(tblAccounts[Account Name],ROW()-1)="","",INDEX(tblAccounts[Account Name],ROW()-1)),"")</f>
      </c>
      <c r="E6" s="1">
        <f>IF($D6="","",IFERROR(INDEX(tblAccounts[Opening Balance],ROW()-1),0))</f>
      </c>
      <c r="F6" s="1">
        <f>IF($D6="","",IFERROR(SUMIFS(tblTransactions[Amount],tblTransactions[Transaction Type],"Income",tblTransactions[Source Account],$D6,tblTransactions[Transaction Status],"Completed")+SUMIFS(tblTransactions[Amount],tblTransactions[Transaction Type],"Income",tblTransactions[Source Account],$D6,tblTransactions[Transaction Status],"Reconciled")+SUMIFS(tblTransactions[Amount],tblTransactions[Transaction Type],"Transfer",tblTransactions[Destination Type],"Account",tblTransactions[Destination Name],$D6,tblTransactions[Transaction Status],"Completed")+SUMIFS(tblTransactions[Amount],tblTransactions[Transaction Type],"Transfer",tblTransactions[Destination Type],"Account",tblTransactions[Destination Name],$D6,tblTransactions[Transaction Status],"Reconciled")+SUMIFS(tblTransactions[Amount],tblTransactions[Transaction Type],"Adjustment",tblTransactions[Source Account],$D6,tblTransactions[Transaction Status],"Completed",tblTransactions[Amount],"&gt;0")+SUMIFS(tblTransactions[Amount],tblTransactions[Transaction Type],"Adjustment",tblTransactions[Source Account],$D6,tblTransactions[Transaction Status],"Reconciled",tblTransactions[Amount],"&gt;0"),0))</f>
      </c>
      <c r="G6" s="1">
        <f>IF($D6="","",IFERROR(SUMIFS(tblTransactions[Amount],tblTransactions[Transaction Type],"Expense",tblTransactions[Source Account],$D6,tblTransactions[Transaction Status],"Completed")+SUMIFS(tblTransactions[Amount],tblTransactions[Transaction Type],"Expense",tblTransactions[Source Account],$D6,tblTransactions[Transaction Status],"Reconciled")+SUMIFS(tblTransactions[Amount],tblTransactions[Transaction Type],"Transfer",tblTransactions[Source Account],$D6,tblTransactions[Transaction Status],"Completed")+SUMIFS(tblTransactions[Amount],tblTransactions[Transaction Type],"Transfer",tblTransactions[Source Account],$D6,tblTransactions[Transaction Status],"Reconciled")-SUMIFS(tblTransactions[Amount],tblTransactions[Transaction Type],"Adjustment",tblTransactions[Source Account],$D6,tblTransactions[Transaction Status],"Completed",tblTransactions[Amount],"&lt;0")-SUMIFS(tblTransactions[Amount],tblTransactions[Transaction Type],"Adjustment",tblTransactions[Source Account],$D6,tblTransactions[Transaction Status],"Reconciled",tblTransactions[Amount],"&lt;0"),0))</f>
      </c>
      <c r="H6" s="1">
        <f>IF($D6="","",$E6+$F6-$G6)</f>
      </c>
      <c r="I6" s="4">
        <f>IF($D6="","",IFERROR(LOOKUP(2,1/(((tblTransactions[Source Account]=$D6)+((tblTransactions[Transaction Type]="Transfer")*(tblTransactions[Destination Type]="Account")*(tblTransactions[Destination Name]=$D6)))*((tblTransactions[Transaction Status]="Completed")+(tblTransactions[Transaction Status]="Reconciled"))),tblTransactions[Transaction Date]),""))</f>
      </c>
      <c r="J6" s="1">
        <f>IF($D6="","",IFERROR(INDEX(tblAccounts[Account Type],ROW()-1),""))</f>
      </c>
      <c r="K6" s="1">
        <f>IF($D6="","",IFERROR(INDEX(tblAccounts[Include in Dashboard],ROW()-1),""))</f>
      </c>
      <c r="L6" s="1">
        <f>IF($D6="","",IFERROR(INDEX(tblAccounts[Status],ROW()-1),""))</f>
      </c>
    </row>
    <row r="7">
      <c r="A7" s="1" t="s">
        <v>228</v>
      </c>
      <c r="B7" s="1">
        <f>IFERROR(SUMIFS($H$2:$H$200,$J$2:$J$200,"Savings Bank",$L$2:$L$200,"Active",$K$2:$K$200,"Yes"),0)</f>
      </c>
      <c r="D7" s="1">
        <f>IFERROR(IF(INDEX(tblAccounts[Account Name],ROW()-1)="","",INDEX(tblAccounts[Account Name],ROW()-1)),"")</f>
      </c>
      <c r="E7" s="1">
        <f>IF($D7="","",IFERROR(INDEX(tblAccounts[Opening Balance],ROW()-1),0))</f>
      </c>
      <c r="F7" s="1">
        <f>IF($D7="","",IFERROR(SUMIFS(tblTransactions[Amount],tblTransactions[Transaction Type],"Income",tblTransactions[Source Account],$D7,tblTransactions[Transaction Status],"Completed")+SUMIFS(tblTransactions[Amount],tblTransactions[Transaction Type],"Income",tblTransactions[Source Account],$D7,tblTransactions[Transaction Status],"Reconciled")+SUMIFS(tblTransactions[Amount],tblTransactions[Transaction Type],"Transfer",tblTransactions[Destination Type],"Account",tblTransactions[Destination Name],$D7,tblTransactions[Transaction Status],"Completed")+SUMIFS(tblTransactions[Amount],tblTransactions[Transaction Type],"Transfer",tblTransactions[Destination Type],"Account",tblTransactions[Destination Name],$D7,tblTransactions[Transaction Status],"Reconciled")+SUMIFS(tblTransactions[Amount],tblTransactions[Transaction Type],"Adjustment",tblTransactions[Source Account],$D7,tblTransactions[Transaction Status],"Completed",tblTransactions[Amount],"&gt;0")+SUMIFS(tblTransactions[Amount],tblTransactions[Transaction Type],"Adjustment",tblTransactions[Source Account],$D7,tblTransactions[Transaction Status],"Reconciled",tblTransactions[Amount],"&gt;0"),0))</f>
      </c>
      <c r="G7" s="1">
        <f>IF($D7="","",IFERROR(SUMIFS(tblTransactions[Amount],tblTransactions[Transaction Type],"Expense",tblTransactions[Source Account],$D7,tblTransactions[Transaction Status],"Completed")+SUMIFS(tblTransactions[Amount],tblTransactions[Transaction Type],"Expense",tblTransactions[Source Account],$D7,tblTransactions[Transaction Status],"Reconciled")+SUMIFS(tblTransactions[Amount],tblTransactions[Transaction Type],"Transfer",tblTransactions[Source Account],$D7,tblTransactions[Transaction Status],"Completed")+SUMIFS(tblTransactions[Amount],tblTransactions[Transaction Type],"Transfer",tblTransactions[Source Account],$D7,tblTransactions[Transaction Status],"Reconciled")-SUMIFS(tblTransactions[Amount],tblTransactions[Transaction Type],"Adjustment",tblTransactions[Source Account],$D7,tblTransactions[Transaction Status],"Completed",tblTransactions[Amount],"&lt;0")-SUMIFS(tblTransactions[Amount],tblTransactions[Transaction Type],"Adjustment",tblTransactions[Source Account],$D7,tblTransactions[Transaction Status],"Reconciled",tblTransactions[Amount],"&lt;0"),0))</f>
      </c>
      <c r="H7" s="1">
        <f>IF($D7="","",$E7+$F7-$G7)</f>
      </c>
      <c r="I7" s="4">
        <f>IF($D7="","",IFERROR(LOOKUP(2,1/(((tblTransactions[Source Account]=$D7)+((tblTransactions[Transaction Type]="Transfer")*(tblTransactions[Destination Type]="Account")*(tblTransactions[Destination Name]=$D7)))*((tblTransactions[Transaction Status]="Completed")+(tblTransactions[Transaction Status]="Reconciled"))),tblTransactions[Transaction Date]),""))</f>
      </c>
      <c r="J7" s="1">
        <f>IF($D7="","",IFERROR(INDEX(tblAccounts[Account Type],ROW()-1),""))</f>
      </c>
      <c r="K7" s="1">
        <f>IF($D7="","",IFERROR(INDEX(tblAccounts[Include in Dashboard],ROW()-1),""))</f>
      </c>
      <c r="L7" s="1">
        <f>IF($D7="","",IFERROR(INDEX(tblAccounts[Status],ROW()-1),""))</f>
      </c>
    </row>
    <row r="8">
      <c r="A8" s="1" t="s">
        <v>229</v>
      </c>
      <c r="B8" s="1">
        <f>IFERROR(SUMIFS($H$2:$H$200,$J$2:$J$200,"Investment Account",$L$2:$L$200,"Active",$K$2:$K$200,"Yes"),0)</f>
      </c>
      <c r="D8" s="1">
        <f>IFERROR(IF(INDEX(tblAccounts[Account Name],ROW()-1)="","",INDEX(tblAccounts[Account Name],ROW()-1)),"")</f>
      </c>
      <c r="E8" s="1">
        <f>IF($D8="","",IFERROR(INDEX(tblAccounts[Opening Balance],ROW()-1),0))</f>
      </c>
      <c r="F8" s="1">
        <f>IF($D8="","",IFERROR(SUMIFS(tblTransactions[Amount],tblTransactions[Transaction Type],"Income",tblTransactions[Source Account],$D8,tblTransactions[Transaction Status],"Completed")+SUMIFS(tblTransactions[Amount],tblTransactions[Transaction Type],"Income",tblTransactions[Source Account],$D8,tblTransactions[Transaction Status],"Reconciled")+SUMIFS(tblTransactions[Amount],tblTransactions[Transaction Type],"Transfer",tblTransactions[Destination Type],"Account",tblTransactions[Destination Name],$D8,tblTransactions[Transaction Status],"Completed")+SUMIFS(tblTransactions[Amount],tblTransactions[Transaction Type],"Transfer",tblTransactions[Destination Type],"Account",tblTransactions[Destination Name],$D8,tblTransactions[Transaction Status],"Reconciled")+SUMIFS(tblTransactions[Amount],tblTransactions[Transaction Type],"Adjustment",tblTransactions[Source Account],$D8,tblTransactions[Transaction Status],"Completed",tblTransactions[Amount],"&gt;0")+SUMIFS(tblTransactions[Amount],tblTransactions[Transaction Type],"Adjustment",tblTransactions[Source Account],$D8,tblTransactions[Transaction Status],"Reconciled",tblTransactions[Amount],"&gt;0"),0))</f>
      </c>
      <c r="G8" s="1">
        <f>IF($D8="","",IFERROR(SUMIFS(tblTransactions[Amount],tblTransactions[Transaction Type],"Expense",tblTransactions[Source Account],$D8,tblTransactions[Transaction Status],"Completed")+SUMIFS(tblTransactions[Amount],tblTransactions[Transaction Type],"Expense",tblTransactions[Source Account],$D8,tblTransactions[Transaction Status],"Reconciled")+SUMIFS(tblTransactions[Amount],tblTransactions[Transaction Type],"Transfer",tblTransactions[Source Account],$D8,tblTransactions[Transaction Status],"Completed")+SUMIFS(tblTransactions[Amount],tblTransactions[Transaction Type],"Transfer",tblTransactions[Source Account],$D8,tblTransactions[Transaction Status],"Reconciled")-SUMIFS(tblTransactions[Amount],tblTransactions[Transaction Type],"Adjustment",tblTransactions[Source Account],$D8,tblTransactions[Transaction Status],"Completed",tblTransactions[Amount],"&lt;0")-SUMIFS(tblTransactions[Amount],tblTransactions[Transaction Type],"Adjustment",tblTransactions[Source Account],$D8,tblTransactions[Transaction Status],"Reconciled",tblTransactions[Amount],"&lt;0"),0))</f>
      </c>
      <c r="H8" s="1">
        <f>IF($D8="","",$E8+$F8-$G8)</f>
      </c>
      <c r="I8" s="4">
        <f>IF($D8="","",IFERROR(LOOKUP(2,1/(((tblTransactions[Source Account]=$D8)+((tblTransactions[Transaction Type]="Transfer")*(tblTransactions[Destination Type]="Account")*(tblTransactions[Destination Name]=$D8)))*((tblTransactions[Transaction Status]="Completed")+(tblTransactions[Transaction Status]="Reconciled"))),tblTransactions[Transaction Date]),""))</f>
      </c>
      <c r="J8" s="1">
        <f>IF($D8="","",IFERROR(INDEX(tblAccounts[Account Type],ROW()-1),""))</f>
      </c>
      <c r="K8" s="1">
        <f>IF($D8="","",IFERROR(INDEX(tblAccounts[Include in Dashboard],ROW()-1),""))</f>
      </c>
      <c r="L8" s="1">
        <f>IF($D8="","",IFERROR(INDEX(tblAccounts[Status],ROW()-1),""))</f>
      </c>
    </row>
    <row r="9">
      <c r="A9" s="1" t="s">
        <v>230</v>
      </c>
      <c r="B9" s="1">
        <f>IFERROR(SUMIFS($H$2:$H$200,$J$2:$J$200,"Credit Card",$L$2:$L$200,"Active",$K$2:$K$200,"Yes"),0)</f>
      </c>
      <c r="D9" s="1">
        <f>IFERROR(IF(INDEX(tblAccounts[Account Name],ROW()-1)="","",INDEX(tblAccounts[Account Name],ROW()-1)),"")</f>
      </c>
      <c r="E9" s="1">
        <f>IF($D9="","",IFERROR(INDEX(tblAccounts[Opening Balance],ROW()-1),0))</f>
      </c>
      <c r="F9" s="1">
        <f>IF($D9="","",IFERROR(SUMIFS(tblTransactions[Amount],tblTransactions[Transaction Type],"Income",tblTransactions[Source Account],$D9,tblTransactions[Transaction Status],"Completed")+SUMIFS(tblTransactions[Amount],tblTransactions[Transaction Type],"Income",tblTransactions[Source Account],$D9,tblTransactions[Transaction Status],"Reconciled")+SUMIFS(tblTransactions[Amount],tblTransactions[Transaction Type],"Transfer",tblTransactions[Destination Type],"Account",tblTransactions[Destination Name],$D9,tblTransactions[Transaction Status],"Completed")+SUMIFS(tblTransactions[Amount],tblTransactions[Transaction Type],"Transfer",tblTransactions[Destination Type],"Account",tblTransactions[Destination Name],$D9,tblTransactions[Transaction Status],"Reconciled")+SUMIFS(tblTransactions[Amount],tblTransactions[Transaction Type],"Adjustment",tblTransactions[Source Account],$D9,tblTransactions[Transaction Status],"Completed",tblTransactions[Amount],"&gt;0")+SUMIFS(tblTransactions[Amount],tblTransactions[Transaction Type],"Adjustment",tblTransactions[Source Account],$D9,tblTransactions[Transaction Status],"Reconciled",tblTransactions[Amount],"&gt;0"),0))</f>
      </c>
      <c r="G9" s="1">
        <f>IF($D9="","",IFERROR(SUMIFS(tblTransactions[Amount],tblTransactions[Transaction Type],"Expense",tblTransactions[Source Account],$D9,tblTransactions[Transaction Status],"Completed")+SUMIFS(tblTransactions[Amount],tblTransactions[Transaction Type],"Expense",tblTransactions[Source Account],$D9,tblTransactions[Transaction Status],"Reconciled")+SUMIFS(tblTransactions[Amount],tblTransactions[Transaction Type],"Transfer",tblTransactions[Source Account],$D9,tblTransactions[Transaction Status],"Completed")+SUMIFS(tblTransactions[Amount],tblTransactions[Transaction Type],"Transfer",tblTransactions[Source Account],$D9,tblTransactions[Transaction Status],"Reconciled")-SUMIFS(tblTransactions[Amount],tblTransactions[Transaction Type],"Adjustment",tblTransactions[Source Account],$D9,tblTransactions[Transaction Status],"Completed",tblTransactions[Amount],"&lt;0")-SUMIFS(tblTransactions[Amount],tblTransactions[Transaction Type],"Adjustment",tblTransactions[Source Account],$D9,tblTransactions[Transaction Status],"Reconciled",tblTransactions[Amount],"&lt;0"),0))</f>
      </c>
      <c r="H9" s="1">
        <f>IF($D9="","",$E9+$F9-$G9)</f>
      </c>
      <c r="I9" s="4">
        <f>IF($D9="","",IFERROR(LOOKUP(2,1/(((tblTransactions[Source Account]=$D9)+((tblTransactions[Transaction Type]="Transfer")*(tblTransactions[Destination Type]="Account")*(tblTransactions[Destination Name]=$D9)))*((tblTransactions[Transaction Status]="Completed")+(tblTransactions[Transaction Status]="Reconciled"))),tblTransactions[Transaction Date]),""))</f>
      </c>
      <c r="J9" s="1">
        <f>IF($D9="","",IFERROR(INDEX(tblAccounts[Account Type],ROW()-1),""))</f>
      </c>
      <c r="K9" s="1">
        <f>IF($D9="","",IFERROR(INDEX(tblAccounts[Include in Dashboard],ROW()-1),""))</f>
      </c>
      <c r="L9" s="1">
        <f>IF($D9="","",IFERROR(INDEX(tblAccounts[Status],ROW()-1),""))</f>
      </c>
    </row>
    <row r="10">
      <c r="D10" s="1">
        <f>IFERROR(IF(INDEX(tblAccounts[Account Name],ROW()-1)="","",INDEX(tblAccounts[Account Name],ROW()-1)),"")</f>
      </c>
      <c r="E10" s="1">
        <f>IF($D10="","",IFERROR(INDEX(tblAccounts[Opening Balance],ROW()-1),0))</f>
      </c>
      <c r="F10" s="1">
        <f>IF($D10="","",IFERROR(SUMIFS(tblTransactions[Amount],tblTransactions[Transaction Type],"Income",tblTransactions[Source Account],$D10,tblTransactions[Transaction Status],"Completed")+SUMIFS(tblTransactions[Amount],tblTransactions[Transaction Type],"Income",tblTransactions[Source Account],$D10,tblTransactions[Transaction Status],"Reconciled")+SUMIFS(tblTransactions[Amount],tblTransactions[Transaction Type],"Transfer",tblTransactions[Destination Type],"Account",tblTransactions[Destination Name],$D10,tblTransactions[Transaction Status],"Completed")+SUMIFS(tblTransactions[Amount],tblTransactions[Transaction Type],"Transfer",tblTransactions[Destination Type],"Account",tblTransactions[Destination Name],$D10,tblTransactions[Transaction Status],"Reconciled")+SUMIFS(tblTransactions[Amount],tblTransactions[Transaction Type],"Adjustment",tblTransactions[Source Account],$D10,tblTransactions[Transaction Status],"Completed",tblTransactions[Amount],"&gt;0")+SUMIFS(tblTransactions[Amount],tblTransactions[Transaction Type],"Adjustment",tblTransactions[Source Account],$D10,tblTransactions[Transaction Status],"Reconciled",tblTransactions[Amount],"&gt;0"),0))</f>
      </c>
      <c r="G10" s="1">
        <f>IF($D10="","",IFERROR(SUMIFS(tblTransactions[Amount],tblTransactions[Transaction Type],"Expense",tblTransactions[Source Account],$D10,tblTransactions[Transaction Status],"Completed")+SUMIFS(tblTransactions[Amount],tblTransactions[Transaction Type],"Expense",tblTransactions[Source Account],$D10,tblTransactions[Transaction Status],"Reconciled")+SUMIFS(tblTransactions[Amount],tblTransactions[Transaction Type],"Transfer",tblTransactions[Source Account],$D10,tblTransactions[Transaction Status],"Completed")+SUMIFS(tblTransactions[Amount],tblTransactions[Transaction Type],"Transfer",tblTransactions[Source Account],$D10,tblTransactions[Transaction Status],"Reconciled")-SUMIFS(tblTransactions[Amount],tblTransactions[Transaction Type],"Adjustment",tblTransactions[Source Account],$D10,tblTransactions[Transaction Status],"Completed",tblTransactions[Amount],"&lt;0")-SUMIFS(tblTransactions[Amount],tblTransactions[Transaction Type],"Adjustment",tblTransactions[Source Account],$D10,tblTransactions[Transaction Status],"Reconciled",tblTransactions[Amount],"&lt;0"),0))</f>
      </c>
      <c r="H10" s="1">
        <f>IF($D10="","",$E10+$F10-$G10)</f>
      </c>
      <c r="I10" s="4">
        <f>IF($D10="","",IFERROR(LOOKUP(2,1/(((tblTransactions[Source Account]=$D10)+((tblTransactions[Transaction Type]="Transfer")*(tblTransactions[Destination Type]="Account")*(tblTransactions[Destination Name]=$D10)))*((tblTransactions[Transaction Status]="Completed")+(tblTransactions[Transaction Status]="Reconciled"))),tblTransactions[Transaction Date]),""))</f>
      </c>
      <c r="J10" s="1">
        <f>IF($D10="","",IFERROR(INDEX(tblAccounts[Account Type],ROW()-1),""))</f>
      </c>
      <c r="K10" s="1">
        <f>IF($D10="","",IFERROR(INDEX(tblAccounts[Include in Dashboard],ROW()-1),""))</f>
      </c>
      <c r="L10" s="1">
        <f>IF($D10="","",IFERROR(INDEX(tblAccounts[Status],ROW()-1),""))</f>
      </c>
    </row>
    <row r="11">
      <c r="A11" s="1" t="s">
        <v>231</v>
      </c>
      <c r="D11" s="1">
        <f>IFERROR(IF(INDEX(tblAccounts[Account Name],ROW()-1)="","",INDEX(tblAccounts[Account Name],ROW()-1)),"")</f>
      </c>
      <c r="E11" s="1">
        <f>IF($D11="","",IFERROR(INDEX(tblAccounts[Opening Balance],ROW()-1),0))</f>
      </c>
      <c r="F11" s="1">
        <f>IF($D11="","",IFERROR(SUMIFS(tblTransactions[Amount],tblTransactions[Transaction Type],"Income",tblTransactions[Source Account],$D11,tblTransactions[Transaction Status],"Completed")+SUMIFS(tblTransactions[Amount],tblTransactions[Transaction Type],"Income",tblTransactions[Source Account],$D11,tblTransactions[Transaction Status],"Reconciled")+SUMIFS(tblTransactions[Amount],tblTransactions[Transaction Type],"Transfer",tblTransactions[Destination Type],"Account",tblTransactions[Destination Name],$D11,tblTransactions[Transaction Status],"Completed")+SUMIFS(tblTransactions[Amount],tblTransactions[Transaction Type],"Transfer",tblTransactions[Destination Type],"Account",tblTransactions[Destination Name],$D11,tblTransactions[Transaction Status],"Reconciled")+SUMIFS(tblTransactions[Amount],tblTransactions[Transaction Type],"Adjustment",tblTransactions[Source Account],$D11,tblTransactions[Transaction Status],"Completed",tblTransactions[Amount],"&gt;0")+SUMIFS(tblTransactions[Amount],tblTransactions[Transaction Type],"Adjustment",tblTransactions[Source Account],$D11,tblTransactions[Transaction Status],"Reconciled",tblTransactions[Amount],"&gt;0"),0))</f>
      </c>
      <c r="G11" s="1">
        <f>IF($D11="","",IFERROR(SUMIFS(tblTransactions[Amount],tblTransactions[Transaction Type],"Expense",tblTransactions[Source Account],$D11,tblTransactions[Transaction Status],"Completed")+SUMIFS(tblTransactions[Amount],tblTransactions[Transaction Type],"Expense",tblTransactions[Source Account],$D11,tblTransactions[Transaction Status],"Reconciled")+SUMIFS(tblTransactions[Amount],tblTransactions[Transaction Type],"Transfer",tblTransactions[Source Account],$D11,tblTransactions[Transaction Status],"Completed")+SUMIFS(tblTransactions[Amount],tblTransactions[Transaction Type],"Transfer",tblTransactions[Source Account],$D11,tblTransactions[Transaction Status],"Reconciled")-SUMIFS(tblTransactions[Amount],tblTransactions[Transaction Type],"Adjustment",tblTransactions[Source Account],$D11,tblTransactions[Transaction Status],"Completed",tblTransactions[Amount],"&lt;0")-SUMIFS(tblTransactions[Amount],tblTransactions[Transaction Type],"Adjustment",tblTransactions[Source Account],$D11,tblTransactions[Transaction Status],"Reconciled",tblTransactions[Amount],"&lt;0"),0))</f>
      </c>
      <c r="H11" s="1">
        <f>IF($D11="","",$E11+$F11-$G11)</f>
      </c>
      <c r="I11" s="4">
        <f>IF($D11="","",IFERROR(LOOKUP(2,1/(((tblTransactions[Source Account]=$D11)+((tblTransactions[Transaction Type]="Transfer")*(tblTransactions[Destination Type]="Account")*(tblTransactions[Destination Name]=$D11)))*((tblTransactions[Transaction Status]="Completed")+(tblTransactions[Transaction Status]="Reconciled"))),tblTransactions[Transaction Date]),""))</f>
      </c>
      <c r="J11" s="1">
        <f>IF($D11="","",IFERROR(INDEX(tblAccounts[Account Type],ROW()-1),""))</f>
      </c>
      <c r="K11" s="1">
        <f>IF($D11="","",IFERROR(INDEX(tblAccounts[Include in Dashboard],ROW()-1),""))</f>
      </c>
      <c r="L11" s="1">
        <f>IF($D11="","",IFERROR(INDEX(tblAccounts[Status],ROW()-1),""))</f>
      </c>
    </row>
    <row r="12">
      <c r="A12" s="1" t="s">
        <v>232</v>
      </c>
      <c r="B12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Name],0)),"")="Salary")),0)</f>
      </c>
      <c r="D12" s="1">
        <f>IFERROR(IF(INDEX(tblAccounts[Account Name],ROW()-1)="","",INDEX(tblAccounts[Account Name],ROW()-1)),"")</f>
      </c>
      <c r="E12" s="1">
        <f>IF($D12="","",IFERROR(INDEX(tblAccounts[Opening Balance],ROW()-1),0))</f>
      </c>
      <c r="F12" s="1">
        <f>IF($D12="","",IFERROR(SUMIFS(tblTransactions[Amount],tblTransactions[Transaction Type],"Income",tblTransactions[Source Account],$D12,tblTransactions[Transaction Status],"Completed")+SUMIFS(tblTransactions[Amount],tblTransactions[Transaction Type],"Income",tblTransactions[Source Account],$D12,tblTransactions[Transaction Status],"Reconciled")+SUMIFS(tblTransactions[Amount],tblTransactions[Transaction Type],"Transfer",tblTransactions[Destination Type],"Account",tblTransactions[Destination Name],$D12,tblTransactions[Transaction Status],"Completed")+SUMIFS(tblTransactions[Amount],tblTransactions[Transaction Type],"Transfer",tblTransactions[Destination Type],"Account",tblTransactions[Destination Name],$D12,tblTransactions[Transaction Status],"Reconciled")+SUMIFS(tblTransactions[Amount],tblTransactions[Transaction Type],"Adjustment",tblTransactions[Source Account],$D12,tblTransactions[Transaction Status],"Completed",tblTransactions[Amount],"&gt;0")+SUMIFS(tblTransactions[Amount],tblTransactions[Transaction Type],"Adjustment",tblTransactions[Source Account],$D12,tblTransactions[Transaction Status],"Reconciled",tblTransactions[Amount],"&gt;0"),0))</f>
      </c>
      <c r="G12" s="1">
        <f>IF($D12="","",IFERROR(SUMIFS(tblTransactions[Amount],tblTransactions[Transaction Type],"Expense",tblTransactions[Source Account],$D12,tblTransactions[Transaction Status],"Completed")+SUMIFS(tblTransactions[Amount],tblTransactions[Transaction Type],"Expense",tblTransactions[Source Account],$D12,tblTransactions[Transaction Status],"Reconciled")+SUMIFS(tblTransactions[Amount],tblTransactions[Transaction Type],"Transfer",tblTransactions[Source Account],$D12,tblTransactions[Transaction Status],"Completed")+SUMIFS(tblTransactions[Amount],tblTransactions[Transaction Type],"Transfer",tblTransactions[Source Account],$D12,tblTransactions[Transaction Status],"Reconciled")-SUMIFS(tblTransactions[Amount],tblTransactions[Transaction Type],"Adjustment",tblTransactions[Source Account],$D12,tblTransactions[Transaction Status],"Completed",tblTransactions[Amount],"&lt;0")-SUMIFS(tblTransactions[Amount],tblTransactions[Transaction Type],"Adjustment",tblTransactions[Source Account],$D12,tblTransactions[Transaction Status],"Reconciled",tblTransactions[Amount],"&lt;0"),0))</f>
      </c>
      <c r="H12" s="1">
        <f>IF($D12="","",$E12+$F12-$G12)</f>
      </c>
      <c r="I12" s="4">
        <f>IF($D12="","",IFERROR(LOOKUP(2,1/(((tblTransactions[Source Account]=$D12)+((tblTransactions[Transaction Type]="Transfer")*(tblTransactions[Destination Type]="Account")*(tblTransactions[Destination Name]=$D12)))*((tblTransactions[Transaction Status]="Completed")+(tblTransactions[Transaction Status]="Reconciled"))),tblTransactions[Transaction Date]),""))</f>
      </c>
      <c r="J12" s="1">
        <f>IF($D12="","",IFERROR(INDEX(tblAccounts[Account Type],ROW()-1),""))</f>
      </c>
      <c r="K12" s="1">
        <f>IF($D12="","",IFERROR(INDEX(tblAccounts[Include in Dashboard],ROW()-1),""))</f>
      </c>
      <c r="L12" s="1">
        <f>IF($D12="","",IFERROR(INDEX(tblAccounts[Status],ROW()-1),""))</f>
      </c>
    </row>
    <row r="13">
      <c r="A13" s="1" t="s">
        <v>233</v>
      </c>
      <c r="B13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Name],0)),"")="Business Income")),0)</f>
      </c>
      <c r="D13" s="1">
        <f>IFERROR(IF(INDEX(tblAccounts[Account Name],ROW()-1)="","",INDEX(tblAccounts[Account Name],ROW()-1)),"")</f>
      </c>
      <c r="E13" s="1">
        <f>IF($D13="","",IFERROR(INDEX(tblAccounts[Opening Balance],ROW()-1),0))</f>
      </c>
      <c r="F13" s="1">
        <f>IF($D13="","",IFERROR(SUMIFS(tblTransactions[Amount],tblTransactions[Transaction Type],"Income",tblTransactions[Source Account],$D13,tblTransactions[Transaction Status],"Completed")+SUMIFS(tblTransactions[Amount],tblTransactions[Transaction Type],"Income",tblTransactions[Source Account],$D13,tblTransactions[Transaction Status],"Reconciled")+SUMIFS(tblTransactions[Amount],tblTransactions[Transaction Type],"Transfer",tblTransactions[Destination Type],"Account",tblTransactions[Destination Name],$D13,tblTransactions[Transaction Status],"Completed")+SUMIFS(tblTransactions[Amount],tblTransactions[Transaction Type],"Transfer",tblTransactions[Destination Type],"Account",tblTransactions[Destination Name],$D13,tblTransactions[Transaction Status],"Reconciled")+SUMIFS(tblTransactions[Amount],tblTransactions[Transaction Type],"Adjustment",tblTransactions[Source Account],$D13,tblTransactions[Transaction Status],"Completed",tblTransactions[Amount],"&gt;0")+SUMIFS(tblTransactions[Amount],tblTransactions[Transaction Type],"Adjustment",tblTransactions[Source Account],$D13,tblTransactions[Transaction Status],"Reconciled",tblTransactions[Amount],"&gt;0"),0))</f>
      </c>
      <c r="G13" s="1">
        <f>IF($D13="","",IFERROR(SUMIFS(tblTransactions[Amount],tblTransactions[Transaction Type],"Expense",tblTransactions[Source Account],$D13,tblTransactions[Transaction Status],"Completed")+SUMIFS(tblTransactions[Amount],tblTransactions[Transaction Type],"Expense",tblTransactions[Source Account],$D13,tblTransactions[Transaction Status],"Reconciled")+SUMIFS(tblTransactions[Amount],tblTransactions[Transaction Type],"Transfer",tblTransactions[Source Account],$D13,tblTransactions[Transaction Status],"Completed")+SUMIFS(tblTransactions[Amount],tblTransactions[Transaction Type],"Transfer",tblTransactions[Source Account],$D13,tblTransactions[Transaction Status],"Reconciled")-SUMIFS(tblTransactions[Amount],tblTransactions[Transaction Type],"Adjustment",tblTransactions[Source Account],$D13,tblTransactions[Transaction Status],"Completed",tblTransactions[Amount],"&lt;0")-SUMIFS(tblTransactions[Amount],tblTransactions[Transaction Type],"Adjustment",tblTransactions[Source Account],$D13,tblTransactions[Transaction Status],"Reconciled",tblTransactions[Amount],"&lt;0"),0))</f>
      </c>
      <c r="H13" s="1">
        <f>IF($D13="","",$E13+$F13-$G13)</f>
      </c>
      <c r="I13" s="4">
        <f>IF($D13="","",IFERROR(LOOKUP(2,1/(((tblTransactions[Source Account]=$D13)+((tblTransactions[Transaction Type]="Transfer")*(tblTransactions[Destination Type]="Account")*(tblTransactions[Destination Name]=$D13)))*((tblTransactions[Transaction Status]="Completed")+(tblTransactions[Transaction Status]="Reconciled"))),tblTransactions[Transaction Date]),""))</f>
      </c>
      <c r="J13" s="1">
        <f>IF($D13="","",IFERROR(INDEX(tblAccounts[Account Type],ROW()-1),""))</f>
      </c>
      <c r="K13" s="1">
        <f>IF($D13="","",IFERROR(INDEX(tblAccounts[Include in Dashboard],ROW()-1),""))</f>
      </c>
      <c r="L13" s="1">
        <f>IF($D13="","",IFERROR(INDEX(tblAccounts[Status],ROW()-1),""))</f>
      </c>
    </row>
    <row r="14">
      <c r="A14" s="1" t="s">
        <v>234</v>
      </c>
      <c r="B14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Name],0)),"")="Freelance")),0)</f>
      </c>
      <c r="D14" s="1">
        <f>IFERROR(IF(INDEX(tblAccounts[Account Name],ROW()-1)="","",INDEX(tblAccounts[Account Name],ROW()-1)),"")</f>
      </c>
      <c r="E14" s="1">
        <f>IF($D14="","",IFERROR(INDEX(tblAccounts[Opening Balance],ROW()-1),0))</f>
      </c>
      <c r="F14" s="1">
        <f>IF($D14="","",IFERROR(SUMIFS(tblTransactions[Amount],tblTransactions[Transaction Type],"Income",tblTransactions[Source Account],$D14,tblTransactions[Transaction Status],"Completed")+SUMIFS(tblTransactions[Amount],tblTransactions[Transaction Type],"Income",tblTransactions[Source Account],$D14,tblTransactions[Transaction Status],"Reconciled")+SUMIFS(tblTransactions[Amount],tblTransactions[Transaction Type],"Transfer",tblTransactions[Destination Type],"Account",tblTransactions[Destination Name],$D14,tblTransactions[Transaction Status],"Completed")+SUMIFS(tblTransactions[Amount],tblTransactions[Transaction Type],"Transfer",tblTransactions[Destination Type],"Account",tblTransactions[Destination Name],$D14,tblTransactions[Transaction Status],"Reconciled")+SUMIFS(tblTransactions[Amount],tblTransactions[Transaction Type],"Adjustment",tblTransactions[Source Account],$D14,tblTransactions[Transaction Status],"Completed",tblTransactions[Amount],"&gt;0")+SUMIFS(tblTransactions[Amount],tblTransactions[Transaction Type],"Adjustment",tblTransactions[Source Account],$D14,tblTransactions[Transaction Status],"Reconciled",tblTransactions[Amount],"&gt;0"),0))</f>
      </c>
      <c r="G14" s="1">
        <f>IF($D14="","",IFERROR(SUMIFS(tblTransactions[Amount],tblTransactions[Transaction Type],"Expense",tblTransactions[Source Account],$D14,tblTransactions[Transaction Status],"Completed")+SUMIFS(tblTransactions[Amount],tblTransactions[Transaction Type],"Expense",tblTransactions[Source Account],$D14,tblTransactions[Transaction Status],"Reconciled")+SUMIFS(tblTransactions[Amount],tblTransactions[Transaction Type],"Transfer",tblTransactions[Source Account],$D14,tblTransactions[Transaction Status],"Completed")+SUMIFS(tblTransactions[Amount],tblTransactions[Transaction Type],"Transfer",tblTransactions[Source Account],$D14,tblTransactions[Transaction Status],"Reconciled")-SUMIFS(tblTransactions[Amount],tblTransactions[Transaction Type],"Adjustment",tblTransactions[Source Account],$D14,tblTransactions[Transaction Status],"Completed",tblTransactions[Amount],"&lt;0")-SUMIFS(tblTransactions[Amount],tblTransactions[Transaction Type],"Adjustment",tblTransactions[Source Account],$D14,tblTransactions[Transaction Status],"Reconciled",tblTransactions[Amount],"&lt;0"),0))</f>
      </c>
      <c r="H14" s="1">
        <f>IF($D14="","",$E14+$F14-$G14)</f>
      </c>
      <c r="I14" s="4">
        <f>IF($D14="","",IFERROR(LOOKUP(2,1/(((tblTransactions[Source Account]=$D14)+((tblTransactions[Transaction Type]="Transfer")*(tblTransactions[Destination Type]="Account")*(tblTransactions[Destination Name]=$D14)))*((tblTransactions[Transaction Status]="Completed")+(tblTransactions[Transaction Status]="Reconciled"))),tblTransactions[Transaction Date]),""))</f>
      </c>
      <c r="J14" s="1">
        <f>IF($D14="","",IFERROR(INDEX(tblAccounts[Account Type],ROW()-1),""))</f>
      </c>
      <c r="K14" s="1">
        <f>IF($D14="","",IFERROR(INDEX(tblAccounts[Include in Dashboard],ROW()-1),""))</f>
      </c>
      <c r="L14" s="1">
        <f>IF($D14="","",IFERROR(INDEX(tblAccounts[Status],ROW()-1),""))</f>
      </c>
    </row>
    <row r="15">
      <c r="A15" s="1" t="s">
        <v>235</v>
      </c>
      <c r="B15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Name],0)),"")="Investment")),0)</f>
      </c>
      <c r="D15" s="1">
        <f>IFERROR(IF(INDEX(tblAccounts[Account Name],ROW()-1)="","",INDEX(tblAccounts[Account Name],ROW()-1)),"")</f>
      </c>
      <c r="E15" s="1">
        <f>IF($D15="","",IFERROR(INDEX(tblAccounts[Opening Balance],ROW()-1),0))</f>
      </c>
      <c r="F15" s="1">
        <f>IF($D15="","",IFERROR(SUMIFS(tblTransactions[Amount],tblTransactions[Transaction Type],"Income",tblTransactions[Source Account],$D15,tblTransactions[Transaction Status],"Completed")+SUMIFS(tblTransactions[Amount],tblTransactions[Transaction Type],"Income",tblTransactions[Source Account],$D15,tblTransactions[Transaction Status],"Reconciled")+SUMIFS(tblTransactions[Amount],tblTransactions[Transaction Type],"Transfer",tblTransactions[Destination Type],"Account",tblTransactions[Destination Name],$D15,tblTransactions[Transaction Status],"Completed")+SUMIFS(tblTransactions[Amount],tblTransactions[Transaction Type],"Transfer",tblTransactions[Destination Type],"Account",tblTransactions[Destination Name],$D15,tblTransactions[Transaction Status],"Reconciled")+SUMIFS(tblTransactions[Amount],tblTransactions[Transaction Type],"Adjustment",tblTransactions[Source Account],$D15,tblTransactions[Transaction Status],"Completed",tblTransactions[Amount],"&gt;0")+SUMIFS(tblTransactions[Amount],tblTransactions[Transaction Type],"Adjustment",tblTransactions[Source Account],$D15,tblTransactions[Transaction Status],"Reconciled",tblTransactions[Amount],"&gt;0"),0))</f>
      </c>
      <c r="G15" s="1">
        <f>IF($D15="","",IFERROR(SUMIFS(tblTransactions[Amount],tblTransactions[Transaction Type],"Expense",tblTransactions[Source Account],$D15,tblTransactions[Transaction Status],"Completed")+SUMIFS(tblTransactions[Amount],tblTransactions[Transaction Type],"Expense",tblTransactions[Source Account],$D15,tblTransactions[Transaction Status],"Reconciled")+SUMIFS(tblTransactions[Amount],tblTransactions[Transaction Type],"Transfer",tblTransactions[Source Account],$D15,tblTransactions[Transaction Status],"Completed")+SUMIFS(tblTransactions[Amount],tblTransactions[Transaction Type],"Transfer",tblTransactions[Source Account],$D15,tblTransactions[Transaction Status],"Reconciled")-SUMIFS(tblTransactions[Amount],tblTransactions[Transaction Type],"Adjustment",tblTransactions[Source Account],$D15,tblTransactions[Transaction Status],"Completed",tblTransactions[Amount],"&lt;0")-SUMIFS(tblTransactions[Amount],tblTransactions[Transaction Type],"Adjustment",tblTransactions[Source Account],$D15,tblTransactions[Transaction Status],"Reconciled",tblTransactions[Amount],"&lt;0"),0))</f>
      </c>
      <c r="H15" s="1">
        <f>IF($D15="","",$E15+$F15-$G15)</f>
      </c>
      <c r="I15" s="4">
        <f>IF($D15="","",IFERROR(LOOKUP(2,1/(((tblTransactions[Source Account]=$D15)+((tblTransactions[Transaction Type]="Transfer")*(tblTransactions[Destination Type]="Account")*(tblTransactions[Destination Name]=$D15)))*((tblTransactions[Transaction Status]="Completed")+(tblTransactions[Transaction Status]="Reconciled"))),tblTransactions[Transaction Date]),""))</f>
      </c>
      <c r="J15" s="1">
        <f>IF($D15="","",IFERROR(INDEX(tblAccounts[Account Type],ROW()-1),""))</f>
      </c>
      <c r="K15" s="1">
        <f>IF($D15="","",IFERROR(INDEX(tblAccounts[Include in Dashboard],ROW()-1),""))</f>
      </c>
      <c r="L15" s="1">
        <f>IF($D15="","",IFERROR(INDEX(tblAccounts[Status],ROW()-1),""))</f>
      </c>
    </row>
    <row r="16">
      <c r="A16" s="1" t="s">
        <v>236</v>
      </c>
      <c r="B16" s="1">
        <f>IFERROR(SUMIFS(tblTransactions[Amount],tblTransactions[Transaction Type],"Income",tblTransactions[Transaction Date],"&gt;="&amp;DATE(YEAR($B$1),MONTH($B$1),1),tblTransactions[Transaction Date],"&lt;"&amp;DATE(YEAR($B$1),MONTH($B$1)+1,1)),0)</f>
      </c>
      <c r="D16" s="1">
        <f>IFERROR(IF(INDEX(tblAccounts[Account Name],ROW()-1)="","",INDEX(tblAccounts[Account Name],ROW()-1)),"")</f>
      </c>
      <c r="E16" s="1">
        <f>IF($D16="","",IFERROR(INDEX(tblAccounts[Opening Balance],ROW()-1),0))</f>
      </c>
      <c r="F16" s="1">
        <f>IF($D16="","",IFERROR(SUMIFS(tblTransactions[Amount],tblTransactions[Transaction Type],"Income",tblTransactions[Source Account],$D16,tblTransactions[Transaction Status],"Completed")+SUMIFS(tblTransactions[Amount],tblTransactions[Transaction Type],"Income",tblTransactions[Source Account],$D16,tblTransactions[Transaction Status],"Reconciled")+SUMIFS(tblTransactions[Amount],tblTransactions[Transaction Type],"Transfer",tblTransactions[Destination Type],"Account",tblTransactions[Destination Name],$D16,tblTransactions[Transaction Status],"Completed")+SUMIFS(tblTransactions[Amount],tblTransactions[Transaction Type],"Transfer",tblTransactions[Destination Type],"Account",tblTransactions[Destination Name],$D16,tblTransactions[Transaction Status],"Reconciled")+SUMIFS(tblTransactions[Amount],tblTransactions[Transaction Type],"Adjustment",tblTransactions[Source Account],$D16,tblTransactions[Transaction Status],"Completed",tblTransactions[Amount],"&gt;0")+SUMIFS(tblTransactions[Amount],tblTransactions[Transaction Type],"Adjustment",tblTransactions[Source Account],$D16,tblTransactions[Transaction Status],"Reconciled",tblTransactions[Amount],"&gt;0"),0))</f>
      </c>
      <c r="G16" s="1">
        <f>IF($D16="","",IFERROR(SUMIFS(tblTransactions[Amount],tblTransactions[Transaction Type],"Expense",tblTransactions[Source Account],$D16,tblTransactions[Transaction Status],"Completed")+SUMIFS(tblTransactions[Amount],tblTransactions[Transaction Type],"Expense",tblTransactions[Source Account],$D16,tblTransactions[Transaction Status],"Reconciled")+SUMIFS(tblTransactions[Amount],tblTransactions[Transaction Type],"Transfer",tblTransactions[Source Account],$D16,tblTransactions[Transaction Status],"Completed")+SUMIFS(tblTransactions[Amount],tblTransactions[Transaction Type],"Transfer",tblTransactions[Source Account],$D16,tblTransactions[Transaction Status],"Reconciled")-SUMIFS(tblTransactions[Amount],tblTransactions[Transaction Type],"Adjustment",tblTransactions[Source Account],$D16,tblTransactions[Transaction Status],"Completed",tblTransactions[Amount],"&lt;0")-SUMIFS(tblTransactions[Amount],tblTransactions[Transaction Type],"Adjustment",tblTransactions[Source Account],$D16,tblTransactions[Transaction Status],"Reconciled",tblTransactions[Amount],"&lt;0"),0))</f>
      </c>
      <c r="H16" s="1">
        <f>IF($D16="","",$E16+$F16-$G16)</f>
      </c>
      <c r="I16" s="4">
        <f>IF($D16="","",IFERROR(LOOKUP(2,1/(((tblTransactions[Source Account]=$D16)+((tblTransactions[Transaction Type]="Transfer")*(tblTransactions[Destination Type]="Account")*(tblTransactions[Destination Name]=$D16)))*((tblTransactions[Transaction Status]="Completed")+(tblTransactions[Transaction Status]="Reconciled"))),tblTransactions[Transaction Date]),""))</f>
      </c>
      <c r="J16" s="1">
        <f>IF($D16="","",IFERROR(INDEX(tblAccounts[Account Type],ROW()-1),""))</f>
      </c>
      <c r="K16" s="1">
        <f>IF($D16="","",IFERROR(INDEX(tblAccounts[Include in Dashboard],ROW()-1),""))</f>
      </c>
      <c r="L16" s="1">
        <f>IF($D16="","",IFERROR(INDEX(tblAccounts[Status],ROW()-1),""))</f>
      </c>
    </row>
    <row r="17">
      <c r="A17" s="1" t="s">
        <v>237</v>
      </c>
      <c r="B17" s="1">
        <f>MAX(0,$B$16-($B$12+$B$13+$B$14+$B$15))</f>
      </c>
      <c r="D17" s="1">
        <f>IFERROR(IF(INDEX(tblAccounts[Account Name],ROW()-1)="","",INDEX(tblAccounts[Account Name],ROW()-1)),"")</f>
      </c>
      <c r="E17" s="1">
        <f>IF($D17="","",IFERROR(INDEX(tblAccounts[Opening Balance],ROW()-1),0))</f>
      </c>
      <c r="F17" s="1">
        <f>IF($D17="","",IFERROR(SUMIFS(tblTransactions[Amount],tblTransactions[Transaction Type],"Income",tblTransactions[Source Account],$D17,tblTransactions[Transaction Status],"Completed")+SUMIFS(tblTransactions[Amount],tblTransactions[Transaction Type],"Income",tblTransactions[Source Account],$D17,tblTransactions[Transaction Status],"Reconciled")+SUMIFS(tblTransactions[Amount],tblTransactions[Transaction Type],"Transfer",tblTransactions[Destination Type],"Account",tblTransactions[Destination Name],$D17,tblTransactions[Transaction Status],"Completed")+SUMIFS(tblTransactions[Amount],tblTransactions[Transaction Type],"Transfer",tblTransactions[Destination Type],"Account",tblTransactions[Destination Name],$D17,tblTransactions[Transaction Status],"Reconciled")+SUMIFS(tblTransactions[Amount],tblTransactions[Transaction Type],"Adjustment",tblTransactions[Source Account],$D17,tblTransactions[Transaction Status],"Completed",tblTransactions[Amount],"&gt;0")+SUMIFS(tblTransactions[Amount],tblTransactions[Transaction Type],"Adjustment",tblTransactions[Source Account],$D17,tblTransactions[Transaction Status],"Reconciled",tblTransactions[Amount],"&gt;0"),0))</f>
      </c>
      <c r="G17" s="1">
        <f>IF($D17="","",IFERROR(SUMIFS(tblTransactions[Amount],tblTransactions[Transaction Type],"Expense",tblTransactions[Source Account],$D17,tblTransactions[Transaction Status],"Completed")+SUMIFS(tblTransactions[Amount],tblTransactions[Transaction Type],"Expense",tblTransactions[Source Account],$D17,tblTransactions[Transaction Status],"Reconciled")+SUMIFS(tblTransactions[Amount],tblTransactions[Transaction Type],"Transfer",tblTransactions[Source Account],$D17,tblTransactions[Transaction Status],"Completed")+SUMIFS(tblTransactions[Amount],tblTransactions[Transaction Type],"Transfer",tblTransactions[Source Account],$D17,tblTransactions[Transaction Status],"Reconciled")-SUMIFS(tblTransactions[Amount],tblTransactions[Transaction Type],"Adjustment",tblTransactions[Source Account],$D17,tblTransactions[Transaction Status],"Completed",tblTransactions[Amount],"&lt;0")-SUMIFS(tblTransactions[Amount],tblTransactions[Transaction Type],"Adjustment",tblTransactions[Source Account],$D17,tblTransactions[Transaction Status],"Reconciled",tblTransactions[Amount],"&lt;0"),0))</f>
      </c>
      <c r="H17" s="1">
        <f>IF($D17="","",$E17+$F17-$G17)</f>
      </c>
      <c r="I17" s="4">
        <f>IF($D17="","",IFERROR(LOOKUP(2,1/(((tblTransactions[Source Account]=$D17)+((tblTransactions[Transaction Type]="Transfer")*(tblTransactions[Destination Type]="Account")*(tblTransactions[Destination Name]=$D17)))*((tblTransactions[Transaction Status]="Completed")+(tblTransactions[Transaction Status]="Reconciled"))),tblTransactions[Transaction Date]),""))</f>
      </c>
      <c r="J17" s="1">
        <f>IF($D17="","",IFERROR(INDEX(tblAccounts[Account Type],ROW()-1),""))</f>
      </c>
      <c r="K17" s="1">
        <f>IF($D17="","",IFERROR(INDEX(tblAccounts[Include in Dashboard],ROW()-1),""))</f>
      </c>
      <c r="L17" s="1">
        <f>IF($D17="","",IFERROR(INDEX(tblAccounts[Status],ROW()-1),""))</f>
      </c>
    </row>
    <row r="18">
      <c r="A18" s="1" t="s">
        <v>238</v>
      </c>
      <c r="B18" s="1">
        <f>IFERROR(SUMIFS(tblTransactions[Amount],tblTransactions[Transaction Type],"Income",tblTransactions[Transaction Date],"&gt;="&amp;DATE(YEAR($B$1),1,1),tblTransactions[Transaction Date],"&lt;"&amp;DATE(YEAR($B$1)+1,1,1)),0)</f>
      </c>
      <c r="D18" s="1">
        <f>IFERROR(IF(INDEX(tblAccounts[Account Name],ROW()-1)="","",INDEX(tblAccounts[Account Name],ROW()-1)),"")</f>
      </c>
      <c r="E18" s="1">
        <f>IF($D18="","",IFERROR(INDEX(tblAccounts[Opening Balance],ROW()-1),0))</f>
      </c>
      <c r="F18" s="1">
        <f>IF($D18="","",IFERROR(SUMIFS(tblTransactions[Amount],tblTransactions[Transaction Type],"Income",tblTransactions[Source Account],$D18,tblTransactions[Transaction Status],"Completed")+SUMIFS(tblTransactions[Amount],tblTransactions[Transaction Type],"Income",tblTransactions[Source Account],$D18,tblTransactions[Transaction Status],"Reconciled")+SUMIFS(tblTransactions[Amount],tblTransactions[Transaction Type],"Transfer",tblTransactions[Destination Type],"Account",tblTransactions[Destination Name],$D18,tblTransactions[Transaction Status],"Completed")+SUMIFS(tblTransactions[Amount],tblTransactions[Transaction Type],"Transfer",tblTransactions[Destination Type],"Account",tblTransactions[Destination Name],$D18,tblTransactions[Transaction Status],"Reconciled")+SUMIFS(tblTransactions[Amount],tblTransactions[Transaction Type],"Adjustment",tblTransactions[Source Account],$D18,tblTransactions[Transaction Status],"Completed",tblTransactions[Amount],"&gt;0")+SUMIFS(tblTransactions[Amount],tblTransactions[Transaction Type],"Adjustment",tblTransactions[Source Account],$D18,tblTransactions[Transaction Status],"Reconciled",tblTransactions[Amount],"&gt;0"),0))</f>
      </c>
      <c r="G18" s="1">
        <f>IF($D18="","",IFERROR(SUMIFS(tblTransactions[Amount],tblTransactions[Transaction Type],"Expense",tblTransactions[Source Account],$D18,tblTransactions[Transaction Status],"Completed")+SUMIFS(tblTransactions[Amount],tblTransactions[Transaction Type],"Expense",tblTransactions[Source Account],$D18,tblTransactions[Transaction Status],"Reconciled")+SUMIFS(tblTransactions[Amount],tblTransactions[Transaction Type],"Transfer",tblTransactions[Source Account],$D18,tblTransactions[Transaction Status],"Completed")+SUMIFS(tblTransactions[Amount],tblTransactions[Transaction Type],"Transfer",tblTransactions[Source Account],$D18,tblTransactions[Transaction Status],"Reconciled")-SUMIFS(tblTransactions[Amount],tblTransactions[Transaction Type],"Adjustment",tblTransactions[Source Account],$D18,tblTransactions[Transaction Status],"Completed",tblTransactions[Amount],"&lt;0")-SUMIFS(tblTransactions[Amount],tblTransactions[Transaction Type],"Adjustment",tblTransactions[Source Account],$D18,tblTransactions[Transaction Status],"Reconciled",tblTransactions[Amount],"&lt;0"),0))</f>
      </c>
      <c r="H18" s="1">
        <f>IF($D18="","",$E18+$F18-$G18)</f>
      </c>
      <c r="I18" s="4">
        <f>IF($D18="","",IFERROR(LOOKUP(2,1/(((tblTransactions[Source Account]=$D18)+((tblTransactions[Transaction Type]="Transfer")*(tblTransactions[Destination Type]="Account")*(tblTransactions[Destination Name]=$D18)))*((tblTransactions[Transaction Status]="Completed")+(tblTransactions[Transaction Status]="Reconciled"))),tblTransactions[Transaction Date]),""))</f>
      </c>
      <c r="J18" s="1">
        <f>IF($D18="","",IFERROR(INDEX(tblAccounts[Account Type],ROW()-1),""))</f>
      </c>
      <c r="K18" s="1">
        <f>IF($D18="","",IFERROR(INDEX(tblAccounts[Include in Dashboard],ROW()-1),""))</f>
      </c>
      <c r="L18" s="1">
        <f>IF($D18="","",IFERROR(INDEX(tblAccounts[Status],ROW()-1),""))</f>
      </c>
    </row>
    <row r="19">
      <c r="A19" s="1" t="s">
        <v>239</v>
      </c>
      <c r="B19" s="1">
        <f>COUNTIFS(tblIncomeSources[Status],"Active")</f>
      </c>
      <c r="D19" s="1">
        <f>IFERROR(IF(INDEX(tblAccounts[Account Name],ROW()-1)="","",INDEX(tblAccounts[Account Name],ROW()-1)),"")</f>
      </c>
      <c r="E19" s="1">
        <f>IF($D19="","",IFERROR(INDEX(tblAccounts[Opening Balance],ROW()-1),0))</f>
      </c>
      <c r="F19" s="1">
        <f>IF($D19="","",IFERROR(SUMIFS(tblTransactions[Amount],tblTransactions[Transaction Type],"Income",tblTransactions[Source Account],$D19,tblTransactions[Transaction Status],"Completed")+SUMIFS(tblTransactions[Amount],tblTransactions[Transaction Type],"Income",tblTransactions[Source Account],$D19,tblTransactions[Transaction Status],"Reconciled")+SUMIFS(tblTransactions[Amount],tblTransactions[Transaction Type],"Transfer",tblTransactions[Destination Type],"Account",tblTransactions[Destination Name],$D19,tblTransactions[Transaction Status],"Completed")+SUMIFS(tblTransactions[Amount],tblTransactions[Transaction Type],"Transfer",tblTransactions[Destination Type],"Account",tblTransactions[Destination Name],$D19,tblTransactions[Transaction Status],"Reconciled")+SUMIFS(tblTransactions[Amount],tblTransactions[Transaction Type],"Adjustment",tblTransactions[Source Account],$D19,tblTransactions[Transaction Status],"Completed",tblTransactions[Amount],"&gt;0")+SUMIFS(tblTransactions[Amount],tblTransactions[Transaction Type],"Adjustment",tblTransactions[Source Account],$D19,tblTransactions[Transaction Status],"Reconciled",tblTransactions[Amount],"&gt;0"),0))</f>
      </c>
      <c r="G19" s="1">
        <f>IF($D19="","",IFERROR(SUMIFS(tblTransactions[Amount],tblTransactions[Transaction Type],"Expense",tblTransactions[Source Account],$D19,tblTransactions[Transaction Status],"Completed")+SUMIFS(tblTransactions[Amount],tblTransactions[Transaction Type],"Expense",tblTransactions[Source Account],$D19,tblTransactions[Transaction Status],"Reconciled")+SUMIFS(tblTransactions[Amount],tblTransactions[Transaction Type],"Transfer",tblTransactions[Source Account],$D19,tblTransactions[Transaction Status],"Completed")+SUMIFS(tblTransactions[Amount],tblTransactions[Transaction Type],"Transfer",tblTransactions[Source Account],$D19,tblTransactions[Transaction Status],"Reconciled")-SUMIFS(tblTransactions[Amount],tblTransactions[Transaction Type],"Adjustment",tblTransactions[Source Account],$D19,tblTransactions[Transaction Status],"Completed",tblTransactions[Amount],"&lt;0")-SUMIFS(tblTransactions[Amount],tblTransactions[Transaction Type],"Adjustment",tblTransactions[Source Account],$D19,tblTransactions[Transaction Status],"Reconciled",tblTransactions[Amount],"&lt;0"),0))</f>
      </c>
      <c r="H19" s="1">
        <f>IF($D19="","",$E19+$F19-$G19)</f>
      </c>
      <c r="I19" s="4">
        <f>IF($D19="","",IFERROR(LOOKUP(2,1/(((tblTransactions[Source Account]=$D19)+((tblTransactions[Transaction Type]="Transfer")*(tblTransactions[Destination Type]="Account")*(tblTransactions[Destination Name]=$D19)))*((tblTransactions[Transaction Status]="Completed")+(tblTransactions[Transaction Status]="Reconciled"))),tblTransactions[Transaction Date]),""))</f>
      </c>
      <c r="J19" s="1">
        <f>IF($D19="","",IFERROR(INDEX(tblAccounts[Account Type],ROW()-1),""))</f>
      </c>
      <c r="K19" s="1">
        <f>IF($D19="","",IFERROR(INDEX(tblAccounts[Include in Dashboard],ROW()-1),""))</f>
      </c>
      <c r="L19" s="1">
        <f>IF($D19="","",IFERROR(INDEX(tblAccounts[Status],ROW()-1),""))</f>
      </c>
    </row>
    <row r="20">
      <c r="D20" s="1">
        <f>IFERROR(IF(INDEX(tblAccounts[Account Name],ROW()-1)="","",INDEX(tblAccounts[Account Name],ROW()-1)),"")</f>
      </c>
      <c r="E20" s="1">
        <f>IF($D20="","",IFERROR(INDEX(tblAccounts[Opening Balance],ROW()-1),0))</f>
      </c>
      <c r="F20" s="1">
        <f>IF($D20="","",IFERROR(SUMIFS(tblTransactions[Amount],tblTransactions[Transaction Type],"Income",tblTransactions[Source Account],$D20,tblTransactions[Transaction Status],"Completed")+SUMIFS(tblTransactions[Amount],tblTransactions[Transaction Type],"Income",tblTransactions[Source Account],$D20,tblTransactions[Transaction Status],"Reconciled")+SUMIFS(tblTransactions[Amount],tblTransactions[Transaction Type],"Transfer",tblTransactions[Destination Type],"Account",tblTransactions[Destination Name],$D20,tblTransactions[Transaction Status],"Completed")+SUMIFS(tblTransactions[Amount],tblTransactions[Transaction Type],"Transfer",tblTransactions[Destination Type],"Account",tblTransactions[Destination Name],$D20,tblTransactions[Transaction Status],"Reconciled")+SUMIFS(tblTransactions[Amount],tblTransactions[Transaction Type],"Adjustment",tblTransactions[Source Account],$D20,tblTransactions[Transaction Status],"Completed",tblTransactions[Amount],"&gt;0")+SUMIFS(tblTransactions[Amount],tblTransactions[Transaction Type],"Adjustment",tblTransactions[Source Account],$D20,tblTransactions[Transaction Status],"Reconciled",tblTransactions[Amount],"&gt;0"),0))</f>
      </c>
      <c r="G20" s="1">
        <f>IF($D20="","",IFERROR(SUMIFS(tblTransactions[Amount],tblTransactions[Transaction Type],"Expense",tblTransactions[Source Account],$D20,tblTransactions[Transaction Status],"Completed")+SUMIFS(tblTransactions[Amount],tblTransactions[Transaction Type],"Expense",tblTransactions[Source Account],$D20,tblTransactions[Transaction Status],"Reconciled")+SUMIFS(tblTransactions[Amount],tblTransactions[Transaction Type],"Transfer",tblTransactions[Source Account],$D20,tblTransactions[Transaction Status],"Completed")+SUMIFS(tblTransactions[Amount],tblTransactions[Transaction Type],"Transfer",tblTransactions[Source Account],$D20,tblTransactions[Transaction Status],"Reconciled")-SUMIFS(tblTransactions[Amount],tblTransactions[Transaction Type],"Adjustment",tblTransactions[Source Account],$D20,tblTransactions[Transaction Status],"Completed",tblTransactions[Amount],"&lt;0")-SUMIFS(tblTransactions[Amount],tblTransactions[Transaction Type],"Adjustment",tblTransactions[Source Account],$D20,tblTransactions[Transaction Status],"Reconciled",tblTransactions[Amount],"&lt;0"),0))</f>
      </c>
      <c r="H20" s="1">
        <f>IF($D20="","",$E20+$F20-$G20)</f>
      </c>
      <c r="I20" s="4">
        <f>IF($D20="","",IFERROR(LOOKUP(2,1/(((tblTransactions[Source Account]=$D20)+((tblTransactions[Transaction Type]="Transfer")*(tblTransactions[Destination Type]="Account")*(tblTransactions[Destination Name]=$D20)))*((tblTransactions[Transaction Status]="Completed")+(tblTransactions[Transaction Status]="Reconciled"))),tblTransactions[Transaction Date]),""))</f>
      </c>
      <c r="J20" s="1">
        <f>IF($D20="","",IFERROR(INDEX(tblAccounts[Account Type],ROW()-1),""))</f>
      </c>
      <c r="K20" s="1">
        <f>IF($D20="","",IFERROR(INDEX(tblAccounts[Include in Dashboard],ROW()-1),""))</f>
      </c>
      <c r="L20" s="1">
        <f>IF($D20="","",IFERROR(INDEX(tblAccounts[Status],ROW()-1),""))</f>
      </c>
    </row>
    <row r="21">
      <c r="A21" s="1" t="s">
        <v>240</v>
      </c>
      <c r="D21" s="1">
        <f>IFERROR(IF(INDEX(tblAccounts[Account Name],ROW()-1)="","",INDEX(tblAccounts[Account Name],ROW()-1)),"")</f>
      </c>
      <c r="E21" s="1">
        <f>IF($D21="","",IFERROR(INDEX(tblAccounts[Opening Balance],ROW()-1),0))</f>
      </c>
      <c r="F21" s="1">
        <f>IF($D21="","",IFERROR(SUMIFS(tblTransactions[Amount],tblTransactions[Transaction Type],"Income",tblTransactions[Source Account],$D21,tblTransactions[Transaction Status],"Completed")+SUMIFS(tblTransactions[Amount],tblTransactions[Transaction Type],"Income",tblTransactions[Source Account],$D21,tblTransactions[Transaction Status],"Reconciled")+SUMIFS(tblTransactions[Amount],tblTransactions[Transaction Type],"Transfer",tblTransactions[Destination Type],"Account",tblTransactions[Destination Name],$D21,tblTransactions[Transaction Status],"Completed")+SUMIFS(tblTransactions[Amount],tblTransactions[Transaction Type],"Transfer",tblTransactions[Destination Type],"Account",tblTransactions[Destination Name],$D21,tblTransactions[Transaction Status],"Reconciled")+SUMIFS(tblTransactions[Amount],tblTransactions[Transaction Type],"Adjustment",tblTransactions[Source Account],$D21,tblTransactions[Transaction Status],"Completed",tblTransactions[Amount],"&gt;0")+SUMIFS(tblTransactions[Amount],tblTransactions[Transaction Type],"Adjustment",tblTransactions[Source Account],$D21,tblTransactions[Transaction Status],"Reconciled",tblTransactions[Amount],"&gt;0"),0))</f>
      </c>
      <c r="G21" s="1">
        <f>IF($D21="","",IFERROR(SUMIFS(tblTransactions[Amount],tblTransactions[Transaction Type],"Expense",tblTransactions[Source Account],$D21,tblTransactions[Transaction Status],"Completed")+SUMIFS(tblTransactions[Amount],tblTransactions[Transaction Type],"Expense",tblTransactions[Source Account],$D21,tblTransactions[Transaction Status],"Reconciled")+SUMIFS(tblTransactions[Amount],tblTransactions[Transaction Type],"Transfer",tblTransactions[Source Account],$D21,tblTransactions[Transaction Status],"Completed")+SUMIFS(tblTransactions[Amount],tblTransactions[Transaction Type],"Transfer",tblTransactions[Source Account],$D21,tblTransactions[Transaction Status],"Reconciled")-SUMIFS(tblTransactions[Amount],tblTransactions[Transaction Type],"Adjustment",tblTransactions[Source Account],$D21,tblTransactions[Transaction Status],"Completed",tblTransactions[Amount],"&lt;0")-SUMIFS(tblTransactions[Amount],tblTransactions[Transaction Type],"Adjustment",tblTransactions[Source Account],$D21,tblTransactions[Transaction Status],"Reconciled",tblTransactions[Amount],"&lt;0"),0))</f>
      </c>
      <c r="H21" s="1">
        <f>IF($D21="","",$E21+$F21-$G21)</f>
      </c>
      <c r="I21" s="4">
        <f>IF($D21="","",IFERROR(LOOKUP(2,1/(((tblTransactions[Source Account]=$D21)+((tblTransactions[Transaction Type]="Transfer")*(tblTransactions[Destination Type]="Account")*(tblTransactions[Destination Name]=$D21)))*((tblTransactions[Transaction Status]="Completed")+(tblTransactions[Transaction Status]="Reconciled"))),tblTransactions[Transaction Date]),""))</f>
      </c>
      <c r="J21" s="1">
        <f>IF($D21="","",IFERROR(INDEX(tblAccounts[Account Type],ROW()-1),""))</f>
      </c>
      <c r="K21" s="1">
        <f>IF($D21="","",IFERROR(INDEX(tblAccounts[Include in Dashboard],ROW()-1),""))</f>
      </c>
      <c r="L21" s="1">
        <f>IF($D21="","",IFERROR(INDEX(tblAccounts[Status],ROW()-1),""))</f>
      </c>
    </row>
    <row r="22">
      <c r="A22" s="1" t="s">
        <v>241</v>
      </c>
      <c r="B22" s="1">
        <f>IFERROR(SUMIFS(tblTransactions[Amount],tblTransactions[Transaction Type],"Expense",tblTransactions[Transaction Date],"&gt;="&amp;DATE(YEAR($B$1),MONTH($B$1),1),tblTransactions[Transaction Date],"&lt;"&amp;DATE(YEAR($B$1),MONTH($B$1)+1,1)),0)</f>
      </c>
      <c r="D22" s="1">
        <f>IFERROR(IF(INDEX(tblAccounts[Account Name],ROW()-1)="","",INDEX(tblAccounts[Account Name],ROW()-1)),"")</f>
      </c>
      <c r="E22" s="1">
        <f>IF($D22="","",IFERROR(INDEX(tblAccounts[Opening Balance],ROW()-1),0))</f>
      </c>
      <c r="F22" s="1">
        <f>IF($D22="","",IFERROR(SUMIFS(tblTransactions[Amount],tblTransactions[Transaction Type],"Income",tblTransactions[Source Account],$D22,tblTransactions[Transaction Status],"Completed")+SUMIFS(tblTransactions[Amount],tblTransactions[Transaction Type],"Income",tblTransactions[Source Account],$D22,tblTransactions[Transaction Status],"Reconciled")+SUMIFS(tblTransactions[Amount],tblTransactions[Transaction Type],"Transfer",tblTransactions[Destination Type],"Account",tblTransactions[Destination Name],$D22,tblTransactions[Transaction Status],"Completed")+SUMIFS(tblTransactions[Amount],tblTransactions[Transaction Type],"Transfer",tblTransactions[Destination Type],"Account",tblTransactions[Destination Name],$D22,tblTransactions[Transaction Status],"Reconciled")+SUMIFS(tblTransactions[Amount],tblTransactions[Transaction Type],"Adjustment",tblTransactions[Source Account],$D22,tblTransactions[Transaction Status],"Completed",tblTransactions[Amount],"&gt;0")+SUMIFS(tblTransactions[Amount],tblTransactions[Transaction Type],"Adjustment",tblTransactions[Source Account],$D22,tblTransactions[Transaction Status],"Reconciled",tblTransactions[Amount],"&gt;0"),0))</f>
      </c>
      <c r="G22" s="1">
        <f>IF($D22="","",IFERROR(SUMIFS(tblTransactions[Amount],tblTransactions[Transaction Type],"Expense",tblTransactions[Source Account],$D22,tblTransactions[Transaction Status],"Completed")+SUMIFS(tblTransactions[Amount],tblTransactions[Transaction Type],"Expense",tblTransactions[Source Account],$D22,tblTransactions[Transaction Status],"Reconciled")+SUMIFS(tblTransactions[Amount],tblTransactions[Transaction Type],"Transfer",tblTransactions[Source Account],$D22,tblTransactions[Transaction Status],"Completed")+SUMIFS(tblTransactions[Amount],tblTransactions[Transaction Type],"Transfer",tblTransactions[Source Account],$D22,tblTransactions[Transaction Status],"Reconciled")-SUMIFS(tblTransactions[Amount],tblTransactions[Transaction Type],"Adjustment",tblTransactions[Source Account],$D22,tblTransactions[Transaction Status],"Completed",tblTransactions[Amount],"&lt;0")-SUMIFS(tblTransactions[Amount],tblTransactions[Transaction Type],"Adjustment",tblTransactions[Source Account],$D22,tblTransactions[Transaction Status],"Reconciled",tblTransactions[Amount],"&lt;0"),0))</f>
      </c>
      <c r="H22" s="1">
        <f>IF($D22="","",$E22+$F22-$G22)</f>
      </c>
      <c r="I22" s="4">
        <f>IF($D22="","",IFERROR(LOOKUP(2,1/(((tblTransactions[Source Account]=$D22)+((tblTransactions[Transaction Type]="Transfer")*(tblTransactions[Destination Type]="Account")*(tblTransactions[Destination Name]=$D22)))*((tblTransactions[Transaction Status]="Completed")+(tblTransactions[Transaction Status]="Reconciled"))),tblTransactions[Transaction Date]),""))</f>
      </c>
      <c r="J22" s="1">
        <f>IF($D22="","",IFERROR(INDEX(tblAccounts[Account Type],ROW()-1),""))</f>
      </c>
      <c r="K22" s="1">
        <f>IF($D22="","",IFERROR(INDEX(tblAccounts[Include in Dashboard],ROW()-1),""))</f>
      </c>
      <c r="L22" s="1">
        <f>IF($D22="","",IFERROR(INDEX(tblAccounts[Status],ROW()-1),""))</f>
      </c>
    </row>
    <row r="23">
      <c r="A23" s="1" t="s">
        <v>242</v>
      </c>
      <c r="B23" s="1">
        <f>IFERROR(SUMIFS(tblTransactions[Amount],tblTransactions[Transaction Type],"Expense",tblTransactions[Transaction Date],"&gt;="&amp;DATE(YEAR($B$1),MONTH($B$1)-1,1),tblTransactions[Transaction Date],"&lt;"&amp;DATE(YEAR($B$1),MONTH($B$1),1)),0)</f>
      </c>
      <c r="D23" s="1">
        <f>IFERROR(IF(INDEX(tblAccounts[Account Name],ROW()-1)="","",INDEX(tblAccounts[Account Name],ROW()-1)),"")</f>
      </c>
      <c r="E23" s="1">
        <f>IF($D23="","",IFERROR(INDEX(tblAccounts[Opening Balance],ROW()-1),0))</f>
      </c>
      <c r="F23" s="1">
        <f>IF($D23="","",IFERROR(SUMIFS(tblTransactions[Amount],tblTransactions[Transaction Type],"Income",tblTransactions[Source Account],$D23,tblTransactions[Transaction Status],"Completed")+SUMIFS(tblTransactions[Amount],tblTransactions[Transaction Type],"Income",tblTransactions[Source Account],$D23,tblTransactions[Transaction Status],"Reconciled")+SUMIFS(tblTransactions[Amount],tblTransactions[Transaction Type],"Transfer",tblTransactions[Destination Type],"Account",tblTransactions[Destination Name],$D23,tblTransactions[Transaction Status],"Completed")+SUMIFS(tblTransactions[Amount],tblTransactions[Transaction Type],"Transfer",tblTransactions[Destination Type],"Account",tblTransactions[Destination Name],$D23,tblTransactions[Transaction Status],"Reconciled")+SUMIFS(tblTransactions[Amount],tblTransactions[Transaction Type],"Adjustment",tblTransactions[Source Account],$D23,tblTransactions[Transaction Status],"Completed",tblTransactions[Amount],"&gt;0")+SUMIFS(tblTransactions[Amount],tblTransactions[Transaction Type],"Adjustment",tblTransactions[Source Account],$D23,tblTransactions[Transaction Status],"Reconciled",tblTransactions[Amount],"&gt;0"),0))</f>
      </c>
      <c r="G23" s="1">
        <f>IF($D23="","",IFERROR(SUMIFS(tblTransactions[Amount],tblTransactions[Transaction Type],"Expense",tblTransactions[Source Account],$D23,tblTransactions[Transaction Status],"Completed")+SUMIFS(tblTransactions[Amount],tblTransactions[Transaction Type],"Expense",tblTransactions[Source Account],$D23,tblTransactions[Transaction Status],"Reconciled")+SUMIFS(tblTransactions[Amount],tblTransactions[Transaction Type],"Transfer",tblTransactions[Source Account],$D23,tblTransactions[Transaction Status],"Completed")+SUMIFS(tblTransactions[Amount],tblTransactions[Transaction Type],"Transfer",tblTransactions[Source Account],$D23,tblTransactions[Transaction Status],"Reconciled")-SUMIFS(tblTransactions[Amount],tblTransactions[Transaction Type],"Adjustment",tblTransactions[Source Account],$D23,tblTransactions[Transaction Status],"Completed",tblTransactions[Amount],"&lt;0")-SUMIFS(tblTransactions[Amount],tblTransactions[Transaction Type],"Adjustment",tblTransactions[Source Account],$D23,tblTransactions[Transaction Status],"Reconciled",tblTransactions[Amount],"&lt;0"),0))</f>
      </c>
      <c r="H23" s="1">
        <f>IF($D23="","",$E23+$F23-$G23)</f>
      </c>
      <c r="I23" s="4">
        <f>IF($D23="","",IFERROR(LOOKUP(2,1/(((tblTransactions[Source Account]=$D23)+((tblTransactions[Transaction Type]="Transfer")*(tblTransactions[Destination Type]="Account")*(tblTransactions[Destination Name]=$D23)))*((tblTransactions[Transaction Status]="Completed")+(tblTransactions[Transaction Status]="Reconciled"))),tblTransactions[Transaction Date]),""))</f>
      </c>
      <c r="J23" s="1">
        <f>IF($D23="","",IFERROR(INDEX(tblAccounts[Account Type],ROW()-1),""))</f>
      </c>
      <c r="K23" s="1">
        <f>IF($D23="","",IFERROR(INDEX(tblAccounts[Include in Dashboard],ROW()-1),""))</f>
      </c>
      <c r="L23" s="1">
        <f>IF($D23="","",IFERROR(INDEX(tblAccounts[Status],ROW()-1),""))</f>
      </c>
    </row>
    <row r="24">
      <c r="A24" s="1" t="s">
        <v>243</v>
      </c>
      <c r="B24" s="1">
        <f>IFERROR(SUMIFS(tblTransactions[Amount],tblTransactions[Transaction Type],"Expense",tblTransactions[Transaction Date],"&gt;="&amp;DATE(YEAR($B$1),1,1),tblTransactions[Transaction Date],"&lt;="&amp;$B$1),0)</f>
      </c>
      <c r="D24" s="1">
        <f>IFERROR(IF(INDEX(tblAccounts[Account Name],ROW()-1)="","",INDEX(tblAccounts[Account Name],ROW()-1)),"")</f>
      </c>
      <c r="E24" s="1">
        <f>IF($D24="","",IFERROR(INDEX(tblAccounts[Opening Balance],ROW()-1),0))</f>
      </c>
      <c r="F24" s="1">
        <f>IF($D24="","",IFERROR(SUMIFS(tblTransactions[Amount],tblTransactions[Transaction Type],"Income",tblTransactions[Source Account],$D24,tblTransactions[Transaction Status],"Completed")+SUMIFS(tblTransactions[Amount],tblTransactions[Transaction Type],"Income",tblTransactions[Source Account],$D24,tblTransactions[Transaction Status],"Reconciled")+SUMIFS(tblTransactions[Amount],tblTransactions[Transaction Type],"Transfer",tblTransactions[Destination Type],"Account",tblTransactions[Destination Name],$D24,tblTransactions[Transaction Status],"Completed")+SUMIFS(tblTransactions[Amount],tblTransactions[Transaction Type],"Transfer",tblTransactions[Destination Type],"Account",tblTransactions[Destination Name],$D24,tblTransactions[Transaction Status],"Reconciled")+SUMIFS(tblTransactions[Amount],tblTransactions[Transaction Type],"Adjustment",tblTransactions[Source Account],$D24,tblTransactions[Transaction Status],"Completed",tblTransactions[Amount],"&gt;0")+SUMIFS(tblTransactions[Amount],tblTransactions[Transaction Type],"Adjustment",tblTransactions[Source Account],$D24,tblTransactions[Transaction Status],"Reconciled",tblTransactions[Amount],"&gt;0"),0))</f>
      </c>
      <c r="G24" s="1">
        <f>IF($D24="","",IFERROR(SUMIFS(tblTransactions[Amount],tblTransactions[Transaction Type],"Expense",tblTransactions[Source Account],$D24,tblTransactions[Transaction Status],"Completed")+SUMIFS(tblTransactions[Amount],tblTransactions[Transaction Type],"Expense",tblTransactions[Source Account],$D24,tblTransactions[Transaction Status],"Reconciled")+SUMIFS(tblTransactions[Amount],tblTransactions[Transaction Type],"Transfer",tblTransactions[Source Account],$D24,tblTransactions[Transaction Status],"Completed")+SUMIFS(tblTransactions[Amount],tblTransactions[Transaction Type],"Transfer",tblTransactions[Source Account],$D24,tblTransactions[Transaction Status],"Reconciled")-SUMIFS(tblTransactions[Amount],tblTransactions[Transaction Type],"Adjustment",tblTransactions[Source Account],$D24,tblTransactions[Transaction Status],"Completed",tblTransactions[Amount],"&lt;0")-SUMIFS(tblTransactions[Amount],tblTransactions[Transaction Type],"Adjustment",tblTransactions[Source Account],$D24,tblTransactions[Transaction Status],"Reconciled",tblTransactions[Amount],"&lt;0"),0))</f>
      </c>
      <c r="H24" s="1">
        <f>IF($D24="","",$E24+$F24-$G24)</f>
      </c>
      <c r="I24" s="4">
        <f>IF($D24="","",IFERROR(LOOKUP(2,1/(((tblTransactions[Source Account]=$D24)+((tblTransactions[Transaction Type]="Transfer")*(tblTransactions[Destination Type]="Account")*(tblTransactions[Destination Name]=$D24)))*((tblTransactions[Transaction Status]="Completed")+(tblTransactions[Transaction Status]="Reconciled"))),tblTransactions[Transaction Date]),""))</f>
      </c>
      <c r="J24" s="1">
        <f>IF($D24="","",IFERROR(INDEX(tblAccounts[Account Type],ROW()-1),""))</f>
      </c>
      <c r="K24" s="1">
        <f>IF($D24="","",IFERROR(INDEX(tblAccounts[Include in Dashboard],ROW()-1),""))</f>
      </c>
      <c r="L24" s="1">
        <f>IF($D24="","",IFERROR(INDEX(tblAccounts[Status],ROW()-1),""))</f>
      </c>
    </row>
    <row r="25">
      <c r="A25" s="1" t="s">
        <v>244</v>
      </c>
      <c r="B25" s="1">
        <f>COUNTIFS(tblTransactions[Transaction Type],"Expense",tblTransactions[Transaction Date],"&gt;="&amp;DATE(YEAR($B$1),MONTH($B$1),1),tblTransactions[Transaction Date],"&lt;"&amp;DATE(YEAR($B$1),MONTH($B$1)+1,1))</f>
      </c>
      <c r="D25" s="1">
        <f>IFERROR(IF(INDEX(tblAccounts[Account Name],ROW()-1)="","",INDEX(tblAccounts[Account Name],ROW()-1)),"")</f>
      </c>
      <c r="E25" s="1">
        <f>IF($D25="","",IFERROR(INDEX(tblAccounts[Opening Balance],ROW()-1),0))</f>
      </c>
      <c r="F25" s="1">
        <f>IF($D25="","",IFERROR(SUMIFS(tblTransactions[Amount],tblTransactions[Transaction Type],"Income",tblTransactions[Source Account],$D25,tblTransactions[Transaction Status],"Completed")+SUMIFS(tblTransactions[Amount],tblTransactions[Transaction Type],"Income",tblTransactions[Source Account],$D25,tblTransactions[Transaction Status],"Reconciled")+SUMIFS(tblTransactions[Amount],tblTransactions[Transaction Type],"Transfer",tblTransactions[Destination Type],"Account",tblTransactions[Destination Name],$D25,tblTransactions[Transaction Status],"Completed")+SUMIFS(tblTransactions[Amount],tblTransactions[Transaction Type],"Transfer",tblTransactions[Destination Type],"Account",tblTransactions[Destination Name],$D25,tblTransactions[Transaction Status],"Reconciled")+SUMIFS(tblTransactions[Amount],tblTransactions[Transaction Type],"Adjustment",tblTransactions[Source Account],$D25,tblTransactions[Transaction Status],"Completed",tblTransactions[Amount],"&gt;0")+SUMIFS(tblTransactions[Amount],tblTransactions[Transaction Type],"Adjustment",tblTransactions[Source Account],$D25,tblTransactions[Transaction Status],"Reconciled",tblTransactions[Amount],"&gt;0"),0))</f>
      </c>
      <c r="G25" s="1">
        <f>IF($D25="","",IFERROR(SUMIFS(tblTransactions[Amount],tblTransactions[Transaction Type],"Expense",tblTransactions[Source Account],$D25,tblTransactions[Transaction Status],"Completed")+SUMIFS(tblTransactions[Amount],tblTransactions[Transaction Type],"Expense",tblTransactions[Source Account],$D25,tblTransactions[Transaction Status],"Reconciled")+SUMIFS(tblTransactions[Amount],tblTransactions[Transaction Type],"Transfer",tblTransactions[Source Account],$D25,tblTransactions[Transaction Status],"Completed")+SUMIFS(tblTransactions[Amount],tblTransactions[Transaction Type],"Transfer",tblTransactions[Source Account],$D25,tblTransactions[Transaction Status],"Reconciled")-SUMIFS(tblTransactions[Amount],tblTransactions[Transaction Type],"Adjustment",tblTransactions[Source Account],$D25,tblTransactions[Transaction Status],"Completed",tblTransactions[Amount],"&lt;0")-SUMIFS(tblTransactions[Amount],tblTransactions[Transaction Type],"Adjustment",tblTransactions[Source Account],$D25,tblTransactions[Transaction Status],"Reconciled",tblTransactions[Amount],"&lt;0"),0))</f>
      </c>
      <c r="H25" s="1">
        <f>IF($D25="","",$E25+$F25-$G25)</f>
      </c>
      <c r="I25" s="4">
        <f>IF($D25="","",IFERROR(LOOKUP(2,1/(((tblTransactions[Source Account]=$D25)+((tblTransactions[Transaction Type]="Transfer")*(tblTransactions[Destination Type]="Account")*(tblTransactions[Destination Name]=$D25)))*((tblTransactions[Transaction Status]="Completed")+(tblTransactions[Transaction Status]="Reconciled"))),tblTransactions[Transaction Date]),""))</f>
      </c>
      <c r="J25" s="1">
        <f>IF($D25="","",IFERROR(INDEX(tblAccounts[Account Type],ROW()-1),""))</f>
      </c>
      <c r="K25" s="1">
        <f>IF($D25="","",IFERROR(INDEX(tblAccounts[Include in Dashboard],ROW()-1),""))</f>
      </c>
      <c r="L25" s="1">
        <f>IF($D25="","",IFERROR(INDEX(tblAccounts[Status],ROW()-1),""))</f>
      </c>
    </row>
    <row r="26">
      <c r="D26" s="1">
        <f>IFERROR(IF(INDEX(tblAccounts[Account Name],ROW()-1)="","",INDEX(tblAccounts[Account Name],ROW()-1)),"")</f>
      </c>
      <c r="E26" s="1">
        <f>IF($D26="","",IFERROR(INDEX(tblAccounts[Opening Balance],ROW()-1),0))</f>
      </c>
      <c r="F26" s="1">
        <f>IF($D26="","",IFERROR(SUMIFS(tblTransactions[Amount],tblTransactions[Transaction Type],"Income",tblTransactions[Source Account],$D26,tblTransactions[Transaction Status],"Completed")+SUMIFS(tblTransactions[Amount],tblTransactions[Transaction Type],"Income",tblTransactions[Source Account],$D26,tblTransactions[Transaction Status],"Reconciled")+SUMIFS(tblTransactions[Amount],tblTransactions[Transaction Type],"Transfer",tblTransactions[Destination Type],"Account",tblTransactions[Destination Name],$D26,tblTransactions[Transaction Status],"Completed")+SUMIFS(tblTransactions[Amount],tblTransactions[Transaction Type],"Transfer",tblTransactions[Destination Type],"Account",tblTransactions[Destination Name],$D26,tblTransactions[Transaction Status],"Reconciled")+SUMIFS(tblTransactions[Amount],tblTransactions[Transaction Type],"Adjustment",tblTransactions[Source Account],$D26,tblTransactions[Transaction Status],"Completed",tblTransactions[Amount],"&gt;0")+SUMIFS(tblTransactions[Amount],tblTransactions[Transaction Type],"Adjustment",tblTransactions[Source Account],$D26,tblTransactions[Transaction Status],"Reconciled",tblTransactions[Amount],"&gt;0"),0))</f>
      </c>
      <c r="G26" s="1">
        <f>IF($D26="","",IFERROR(SUMIFS(tblTransactions[Amount],tblTransactions[Transaction Type],"Expense",tblTransactions[Source Account],$D26,tblTransactions[Transaction Status],"Completed")+SUMIFS(tblTransactions[Amount],tblTransactions[Transaction Type],"Expense",tblTransactions[Source Account],$D26,tblTransactions[Transaction Status],"Reconciled")+SUMIFS(tblTransactions[Amount],tblTransactions[Transaction Type],"Transfer",tblTransactions[Source Account],$D26,tblTransactions[Transaction Status],"Completed")+SUMIFS(tblTransactions[Amount],tblTransactions[Transaction Type],"Transfer",tblTransactions[Source Account],$D26,tblTransactions[Transaction Status],"Reconciled")-SUMIFS(tblTransactions[Amount],tblTransactions[Transaction Type],"Adjustment",tblTransactions[Source Account],$D26,tblTransactions[Transaction Status],"Completed",tblTransactions[Amount],"&lt;0")-SUMIFS(tblTransactions[Amount],tblTransactions[Transaction Type],"Adjustment",tblTransactions[Source Account],$D26,tblTransactions[Transaction Status],"Reconciled",tblTransactions[Amount],"&lt;0"),0))</f>
      </c>
      <c r="H26" s="1">
        <f>IF($D26="","",$E26+$F26-$G26)</f>
      </c>
      <c r="I26" s="4">
        <f>IF($D26="","",IFERROR(LOOKUP(2,1/(((tblTransactions[Source Account]=$D26)+((tblTransactions[Transaction Type]="Transfer")*(tblTransactions[Destination Type]="Account")*(tblTransactions[Destination Name]=$D26)))*((tblTransactions[Transaction Status]="Completed")+(tblTransactions[Transaction Status]="Reconciled"))),tblTransactions[Transaction Date]),""))</f>
      </c>
      <c r="J26" s="1">
        <f>IF($D26="","",IFERROR(INDEX(tblAccounts[Account Type],ROW()-1),""))</f>
      </c>
      <c r="K26" s="1">
        <f>IF($D26="","",IFERROR(INDEX(tblAccounts[Include in Dashboard],ROW()-1),""))</f>
      </c>
      <c r="L26" s="1">
        <f>IF($D26="","",IFERROR(INDEX(tblAccounts[Status],ROW()-1),""))</f>
      </c>
    </row>
    <row r="27">
      <c r="A27" s="1" t="s">
        <v>245</v>
      </c>
      <c r="D27" s="1">
        <f>IFERROR(IF(INDEX(tblAccounts[Account Name],ROW()-1)="","",INDEX(tblAccounts[Account Name],ROW()-1)),"")</f>
      </c>
      <c r="E27" s="1">
        <f>IF($D27="","",IFERROR(INDEX(tblAccounts[Opening Balance],ROW()-1),0))</f>
      </c>
      <c r="F27" s="1">
        <f>IF($D27="","",IFERROR(SUMIFS(tblTransactions[Amount],tblTransactions[Transaction Type],"Income",tblTransactions[Source Account],$D27,tblTransactions[Transaction Status],"Completed")+SUMIFS(tblTransactions[Amount],tblTransactions[Transaction Type],"Income",tblTransactions[Source Account],$D27,tblTransactions[Transaction Status],"Reconciled")+SUMIFS(tblTransactions[Amount],tblTransactions[Transaction Type],"Transfer",tblTransactions[Destination Type],"Account",tblTransactions[Destination Name],$D27,tblTransactions[Transaction Status],"Completed")+SUMIFS(tblTransactions[Amount],tblTransactions[Transaction Type],"Transfer",tblTransactions[Destination Type],"Account",tblTransactions[Destination Name],$D27,tblTransactions[Transaction Status],"Reconciled")+SUMIFS(tblTransactions[Amount],tblTransactions[Transaction Type],"Adjustment",tblTransactions[Source Account],$D27,tblTransactions[Transaction Status],"Completed",tblTransactions[Amount],"&gt;0")+SUMIFS(tblTransactions[Amount],tblTransactions[Transaction Type],"Adjustment",tblTransactions[Source Account],$D27,tblTransactions[Transaction Status],"Reconciled",tblTransactions[Amount],"&gt;0"),0))</f>
      </c>
      <c r="G27" s="1">
        <f>IF($D27="","",IFERROR(SUMIFS(tblTransactions[Amount],tblTransactions[Transaction Type],"Expense",tblTransactions[Source Account],$D27,tblTransactions[Transaction Status],"Completed")+SUMIFS(tblTransactions[Amount],tblTransactions[Transaction Type],"Expense",tblTransactions[Source Account],$D27,tblTransactions[Transaction Status],"Reconciled")+SUMIFS(tblTransactions[Amount],tblTransactions[Transaction Type],"Transfer",tblTransactions[Source Account],$D27,tblTransactions[Transaction Status],"Completed")+SUMIFS(tblTransactions[Amount],tblTransactions[Transaction Type],"Transfer",tblTransactions[Source Account],$D27,tblTransactions[Transaction Status],"Reconciled")-SUMIFS(tblTransactions[Amount],tblTransactions[Transaction Type],"Adjustment",tblTransactions[Source Account],$D27,tblTransactions[Transaction Status],"Completed",tblTransactions[Amount],"&lt;0")-SUMIFS(tblTransactions[Amount],tblTransactions[Transaction Type],"Adjustment",tblTransactions[Source Account],$D27,tblTransactions[Transaction Status],"Reconciled",tblTransactions[Amount],"&lt;0"),0))</f>
      </c>
      <c r="H27" s="1">
        <f>IF($D27="","",$E27+$F27-$G27)</f>
      </c>
      <c r="I27" s="4">
        <f>IF($D27="","",IFERROR(LOOKUP(2,1/(((tblTransactions[Source Account]=$D27)+((tblTransactions[Transaction Type]="Transfer")*(tblTransactions[Destination Type]="Account")*(tblTransactions[Destination Name]=$D27)))*((tblTransactions[Transaction Status]="Completed")+(tblTransactions[Transaction Status]="Reconciled"))),tblTransactions[Transaction Date]),""))</f>
      </c>
      <c r="J27" s="1">
        <f>IF($D27="","",IFERROR(INDEX(tblAccounts[Account Type],ROW()-1),""))</f>
      </c>
      <c r="K27" s="1">
        <f>IF($D27="","",IFERROR(INDEX(tblAccounts[Include in Dashboard],ROW()-1),""))</f>
      </c>
      <c r="L27" s="1">
        <f>IF($D27="","",IFERROR(INDEX(tblAccounts[Status],ROW()-1),""))</f>
      </c>
    </row>
    <row r="28">
      <c r="A28" s="1" t="s">
        <v>246</v>
      </c>
      <c r="B28" s="1">
        <f>$B$16</f>
      </c>
      <c r="D28" s="1">
        <f>IFERROR(IF(INDEX(tblAccounts[Account Name],ROW()-1)="","",INDEX(tblAccounts[Account Name],ROW()-1)),"")</f>
      </c>
      <c r="E28" s="1">
        <f>IF($D28="","",IFERROR(INDEX(tblAccounts[Opening Balance],ROW()-1),0))</f>
      </c>
      <c r="F28" s="1">
        <f>IF($D28="","",IFERROR(SUMIFS(tblTransactions[Amount],tblTransactions[Transaction Type],"Income",tblTransactions[Source Account],$D28,tblTransactions[Transaction Status],"Completed")+SUMIFS(tblTransactions[Amount],tblTransactions[Transaction Type],"Income",tblTransactions[Source Account],$D28,tblTransactions[Transaction Status],"Reconciled")+SUMIFS(tblTransactions[Amount],tblTransactions[Transaction Type],"Transfer",tblTransactions[Destination Type],"Account",tblTransactions[Destination Name],$D28,tblTransactions[Transaction Status],"Completed")+SUMIFS(tblTransactions[Amount],tblTransactions[Transaction Type],"Transfer",tblTransactions[Destination Type],"Account",tblTransactions[Destination Name],$D28,tblTransactions[Transaction Status],"Reconciled")+SUMIFS(tblTransactions[Amount],tblTransactions[Transaction Type],"Adjustment",tblTransactions[Source Account],$D28,tblTransactions[Transaction Status],"Completed",tblTransactions[Amount],"&gt;0")+SUMIFS(tblTransactions[Amount],tblTransactions[Transaction Type],"Adjustment",tblTransactions[Source Account],$D28,tblTransactions[Transaction Status],"Reconciled",tblTransactions[Amount],"&gt;0"),0))</f>
      </c>
      <c r="G28" s="1">
        <f>IF($D28="","",IFERROR(SUMIFS(tblTransactions[Amount],tblTransactions[Transaction Type],"Expense",tblTransactions[Source Account],$D28,tblTransactions[Transaction Status],"Completed")+SUMIFS(tblTransactions[Amount],tblTransactions[Transaction Type],"Expense",tblTransactions[Source Account],$D28,tblTransactions[Transaction Status],"Reconciled")+SUMIFS(tblTransactions[Amount],tblTransactions[Transaction Type],"Transfer",tblTransactions[Source Account],$D28,tblTransactions[Transaction Status],"Completed")+SUMIFS(tblTransactions[Amount],tblTransactions[Transaction Type],"Transfer",tblTransactions[Source Account],$D28,tblTransactions[Transaction Status],"Reconciled")-SUMIFS(tblTransactions[Amount],tblTransactions[Transaction Type],"Adjustment",tblTransactions[Source Account],$D28,tblTransactions[Transaction Status],"Completed",tblTransactions[Amount],"&lt;0")-SUMIFS(tblTransactions[Amount],tblTransactions[Transaction Type],"Adjustment",tblTransactions[Source Account],$D28,tblTransactions[Transaction Status],"Reconciled",tblTransactions[Amount],"&lt;0"),0))</f>
      </c>
      <c r="H28" s="1">
        <f>IF($D28="","",$E28+$F28-$G28)</f>
      </c>
      <c r="I28" s="4">
        <f>IF($D28="","",IFERROR(LOOKUP(2,1/(((tblTransactions[Source Account]=$D28)+((tblTransactions[Transaction Type]="Transfer")*(tblTransactions[Destination Type]="Account")*(tblTransactions[Destination Name]=$D28)))*((tblTransactions[Transaction Status]="Completed")+(tblTransactions[Transaction Status]="Reconciled"))),tblTransactions[Transaction Date]),""))</f>
      </c>
      <c r="J28" s="1">
        <f>IF($D28="","",IFERROR(INDEX(tblAccounts[Account Type],ROW()-1),""))</f>
      </c>
      <c r="K28" s="1">
        <f>IF($D28="","",IFERROR(INDEX(tblAccounts[Include in Dashboard],ROW()-1),""))</f>
      </c>
      <c r="L28" s="1">
        <f>IF($D28="","",IFERROR(INDEX(tblAccounts[Status],ROW()-1),""))</f>
      </c>
    </row>
    <row r="29">
      <c r="A29" s="1" t="s">
        <v>247</v>
      </c>
      <c r="B29" s="1">
        <f>$B$28-$B$22</f>
      </c>
      <c r="D29" s="1">
        <f>IFERROR(IF(INDEX(tblAccounts[Account Name],ROW()-1)="","",INDEX(tblAccounts[Account Name],ROW()-1)),"")</f>
      </c>
      <c r="E29" s="1">
        <f>IF($D29="","",IFERROR(INDEX(tblAccounts[Opening Balance],ROW()-1),0))</f>
      </c>
      <c r="F29" s="1">
        <f>IF($D29="","",IFERROR(SUMIFS(tblTransactions[Amount],tblTransactions[Transaction Type],"Income",tblTransactions[Source Account],$D29,tblTransactions[Transaction Status],"Completed")+SUMIFS(tblTransactions[Amount],tblTransactions[Transaction Type],"Income",tblTransactions[Source Account],$D29,tblTransactions[Transaction Status],"Reconciled")+SUMIFS(tblTransactions[Amount],tblTransactions[Transaction Type],"Transfer",tblTransactions[Destination Type],"Account",tblTransactions[Destination Name],$D29,tblTransactions[Transaction Status],"Completed")+SUMIFS(tblTransactions[Amount],tblTransactions[Transaction Type],"Transfer",tblTransactions[Destination Type],"Account",tblTransactions[Destination Name],$D29,tblTransactions[Transaction Status],"Reconciled")+SUMIFS(tblTransactions[Amount],tblTransactions[Transaction Type],"Adjustment",tblTransactions[Source Account],$D29,tblTransactions[Transaction Status],"Completed",tblTransactions[Amount],"&gt;0")+SUMIFS(tblTransactions[Amount],tblTransactions[Transaction Type],"Adjustment",tblTransactions[Source Account],$D29,tblTransactions[Transaction Status],"Reconciled",tblTransactions[Amount],"&gt;0"),0))</f>
      </c>
      <c r="G29" s="1">
        <f>IF($D29="","",IFERROR(SUMIFS(tblTransactions[Amount],tblTransactions[Transaction Type],"Expense",tblTransactions[Source Account],$D29,tblTransactions[Transaction Status],"Completed")+SUMIFS(tblTransactions[Amount],tblTransactions[Transaction Type],"Expense",tblTransactions[Source Account],$D29,tblTransactions[Transaction Status],"Reconciled")+SUMIFS(tblTransactions[Amount],tblTransactions[Transaction Type],"Transfer",tblTransactions[Source Account],$D29,tblTransactions[Transaction Status],"Completed")+SUMIFS(tblTransactions[Amount],tblTransactions[Transaction Type],"Transfer",tblTransactions[Source Account],$D29,tblTransactions[Transaction Status],"Reconciled")-SUMIFS(tblTransactions[Amount],tblTransactions[Transaction Type],"Adjustment",tblTransactions[Source Account],$D29,tblTransactions[Transaction Status],"Completed",tblTransactions[Amount],"&lt;0")-SUMIFS(tblTransactions[Amount],tblTransactions[Transaction Type],"Adjustment",tblTransactions[Source Account],$D29,tblTransactions[Transaction Status],"Reconciled",tblTransactions[Amount],"&lt;0"),0))</f>
      </c>
      <c r="H29" s="1">
        <f>IF($D29="","",$E29+$F29-$G29)</f>
      </c>
      <c r="I29" s="4">
        <f>IF($D29="","",IFERROR(LOOKUP(2,1/(((tblTransactions[Source Account]=$D29)+((tblTransactions[Transaction Type]="Transfer")*(tblTransactions[Destination Type]="Account")*(tblTransactions[Destination Name]=$D29)))*((tblTransactions[Transaction Status]="Completed")+(tblTransactions[Transaction Status]="Reconciled"))),tblTransactions[Transaction Date]),""))</f>
      </c>
      <c r="J29" s="1">
        <f>IF($D29="","",IFERROR(INDEX(tblAccounts[Account Type],ROW()-1),""))</f>
      </c>
      <c r="K29" s="1">
        <f>IF($D29="","",IFERROR(INDEX(tblAccounts[Include in Dashboard],ROW()-1),""))</f>
      </c>
      <c r="L29" s="1">
        <f>IF($D29="","",IFERROR(INDEX(tblAccounts[Status],ROW()-1),""))</f>
      </c>
    </row>
    <row r="30">
      <c r="A30" s="1" t="s">
        <v>248</v>
      </c>
      <c r="B30" s="1">
        <f>IFERROR($B$29/$B$28,0)</f>
      </c>
      <c r="D30" s="1">
        <f>IFERROR(IF(INDEX(tblAccounts[Account Name],ROW()-1)="","",INDEX(tblAccounts[Account Name],ROW()-1)),"")</f>
      </c>
      <c r="E30" s="1">
        <f>IF($D30="","",IFERROR(INDEX(tblAccounts[Opening Balance],ROW()-1),0))</f>
      </c>
      <c r="F30" s="1">
        <f>IF($D30="","",IFERROR(SUMIFS(tblTransactions[Amount],tblTransactions[Transaction Type],"Income",tblTransactions[Source Account],$D30,tblTransactions[Transaction Status],"Completed")+SUMIFS(tblTransactions[Amount],tblTransactions[Transaction Type],"Income",tblTransactions[Source Account],$D30,tblTransactions[Transaction Status],"Reconciled")+SUMIFS(tblTransactions[Amount],tblTransactions[Transaction Type],"Transfer",tblTransactions[Destination Type],"Account",tblTransactions[Destination Name],$D30,tblTransactions[Transaction Status],"Completed")+SUMIFS(tblTransactions[Amount],tblTransactions[Transaction Type],"Transfer",tblTransactions[Destination Type],"Account",tblTransactions[Destination Name],$D30,tblTransactions[Transaction Status],"Reconciled")+SUMIFS(tblTransactions[Amount],tblTransactions[Transaction Type],"Adjustment",tblTransactions[Source Account],$D30,tblTransactions[Transaction Status],"Completed",tblTransactions[Amount],"&gt;0")+SUMIFS(tblTransactions[Amount],tblTransactions[Transaction Type],"Adjustment",tblTransactions[Source Account],$D30,tblTransactions[Transaction Status],"Reconciled",tblTransactions[Amount],"&gt;0"),0))</f>
      </c>
      <c r="G30" s="1">
        <f>IF($D30="","",IFERROR(SUMIFS(tblTransactions[Amount],tblTransactions[Transaction Type],"Expense",tblTransactions[Source Account],$D30,tblTransactions[Transaction Status],"Completed")+SUMIFS(tblTransactions[Amount],tblTransactions[Transaction Type],"Expense",tblTransactions[Source Account],$D30,tblTransactions[Transaction Status],"Reconciled")+SUMIFS(tblTransactions[Amount],tblTransactions[Transaction Type],"Transfer",tblTransactions[Source Account],$D30,tblTransactions[Transaction Status],"Completed")+SUMIFS(tblTransactions[Amount],tblTransactions[Transaction Type],"Transfer",tblTransactions[Source Account],$D30,tblTransactions[Transaction Status],"Reconciled")-SUMIFS(tblTransactions[Amount],tblTransactions[Transaction Type],"Adjustment",tblTransactions[Source Account],$D30,tblTransactions[Transaction Status],"Completed",tblTransactions[Amount],"&lt;0")-SUMIFS(tblTransactions[Amount],tblTransactions[Transaction Type],"Adjustment",tblTransactions[Source Account],$D30,tblTransactions[Transaction Status],"Reconciled",tblTransactions[Amount],"&lt;0"),0))</f>
      </c>
      <c r="H30" s="1">
        <f>IF($D30="","",$E30+$F30-$G30)</f>
      </c>
      <c r="I30" s="4">
        <f>IF($D30="","",IFERROR(LOOKUP(2,1/(((tblTransactions[Source Account]=$D30)+((tblTransactions[Transaction Type]="Transfer")*(tblTransactions[Destination Type]="Account")*(tblTransactions[Destination Name]=$D30)))*((tblTransactions[Transaction Status]="Completed")+(tblTransactions[Transaction Status]="Reconciled"))),tblTransactions[Transaction Date]),""))</f>
      </c>
      <c r="J30" s="1">
        <f>IF($D30="","",IFERROR(INDEX(tblAccounts[Account Type],ROW()-1),""))</f>
      </c>
      <c r="K30" s="1">
        <f>IF($D30="","",IFERROR(INDEX(tblAccounts[Include in Dashboard],ROW()-1),""))</f>
      </c>
      <c r="L30" s="1">
        <f>IF($D30="","",IFERROR(INDEX(tblAccounts[Status],ROW()-1),""))</f>
      </c>
    </row>
    <row r="31">
      <c r="A31" s="1" t="s">
        <v>249</v>
      </c>
      <c r="B31" s="1">
        <f>IFERROR(($B$18-$B$24)/MAX(1,MONTH($B$1)),0)</f>
      </c>
      <c r="D31" s="1">
        <f>IFERROR(IF(INDEX(tblAccounts[Account Name],ROW()-1)="","",INDEX(tblAccounts[Account Name],ROW()-1)),"")</f>
      </c>
      <c r="E31" s="1">
        <f>IF($D31="","",IFERROR(INDEX(tblAccounts[Opening Balance],ROW()-1),0))</f>
      </c>
      <c r="F31" s="1">
        <f>IF($D31="","",IFERROR(SUMIFS(tblTransactions[Amount],tblTransactions[Transaction Type],"Income",tblTransactions[Source Account],$D31,tblTransactions[Transaction Status],"Completed")+SUMIFS(tblTransactions[Amount],tblTransactions[Transaction Type],"Income",tblTransactions[Source Account],$D31,tblTransactions[Transaction Status],"Reconciled")+SUMIFS(tblTransactions[Amount],tblTransactions[Transaction Type],"Transfer",tblTransactions[Destination Type],"Account",tblTransactions[Destination Name],$D31,tblTransactions[Transaction Status],"Completed")+SUMIFS(tblTransactions[Amount],tblTransactions[Transaction Type],"Transfer",tblTransactions[Destination Type],"Account",tblTransactions[Destination Name],$D31,tblTransactions[Transaction Status],"Reconciled")+SUMIFS(tblTransactions[Amount],tblTransactions[Transaction Type],"Adjustment",tblTransactions[Source Account],$D31,tblTransactions[Transaction Status],"Completed",tblTransactions[Amount],"&gt;0")+SUMIFS(tblTransactions[Amount],tblTransactions[Transaction Type],"Adjustment",tblTransactions[Source Account],$D31,tblTransactions[Transaction Status],"Reconciled",tblTransactions[Amount],"&gt;0"),0))</f>
      </c>
      <c r="G31" s="1">
        <f>IF($D31="","",IFERROR(SUMIFS(tblTransactions[Amount],tblTransactions[Transaction Type],"Expense",tblTransactions[Source Account],$D31,tblTransactions[Transaction Status],"Completed")+SUMIFS(tblTransactions[Amount],tblTransactions[Transaction Type],"Expense",tblTransactions[Source Account],$D31,tblTransactions[Transaction Status],"Reconciled")+SUMIFS(tblTransactions[Amount],tblTransactions[Transaction Type],"Transfer",tblTransactions[Source Account],$D31,tblTransactions[Transaction Status],"Completed")+SUMIFS(tblTransactions[Amount],tblTransactions[Transaction Type],"Transfer",tblTransactions[Source Account],$D31,tblTransactions[Transaction Status],"Reconciled")-SUMIFS(tblTransactions[Amount],tblTransactions[Transaction Type],"Adjustment",tblTransactions[Source Account],$D31,tblTransactions[Transaction Status],"Completed",tblTransactions[Amount],"&lt;0")-SUMIFS(tblTransactions[Amount],tblTransactions[Transaction Type],"Adjustment",tblTransactions[Source Account],$D31,tblTransactions[Transaction Status],"Reconciled",tblTransactions[Amount],"&lt;0"),0))</f>
      </c>
      <c r="H31" s="1">
        <f>IF($D31="","",$E31+$F31-$G31)</f>
      </c>
      <c r="I31" s="4">
        <f>IF($D31="","",IFERROR(LOOKUP(2,1/(((tblTransactions[Source Account]=$D31)+((tblTransactions[Transaction Type]="Transfer")*(tblTransactions[Destination Type]="Account")*(tblTransactions[Destination Name]=$D31)))*((tblTransactions[Transaction Status]="Completed")+(tblTransactions[Transaction Status]="Reconciled"))),tblTransactions[Transaction Date]),""))</f>
      </c>
      <c r="J31" s="1">
        <f>IF($D31="","",IFERROR(INDEX(tblAccounts[Account Type],ROW()-1),""))</f>
      </c>
      <c r="K31" s="1">
        <f>IF($D31="","",IFERROR(INDEX(tblAccounts[Include in Dashboard],ROW()-1),""))</f>
      </c>
      <c r="L31" s="1">
        <f>IF($D31="","",IFERROR(INDEX(tblAccounts[Status],ROW()-1),""))</f>
      </c>
    </row>
    <row r="32">
      <c r="D32" s="1">
        <f>IFERROR(IF(INDEX(tblAccounts[Account Name],ROW()-1)="","",INDEX(tblAccounts[Account Name],ROW()-1)),"")</f>
      </c>
      <c r="E32" s="1">
        <f>IF($D32="","",IFERROR(INDEX(tblAccounts[Opening Balance],ROW()-1),0))</f>
      </c>
      <c r="F32" s="1">
        <f>IF($D32="","",IFERROR(SUMIFS(tblTransactions[Amount],tblTransactions[Transaction Type],"Income",tblTransactions[Source Account],$D32,tblTransactions[Transaction Status],"Completed")+SUMIFS(tblTransactions[Amount],tblTransactions[Transaction Type],"Income",tblTransactions[Source Account],$D32,tblTransactions[Transaction Status],"Reconciled")+SUMIFS(tblTransactions[Amount],tblTransactions[Transaction Type],"Transfer",tblTransactions[Destination Type],"Account",tblTransactions[Destination Name],$D32,tblTransactions[Transaction Status],"Completed")+SUMIFS(tblTransactions[Amount],tblTransactions[Transaction Type],"Transfer",tblTransactions[Destination Type],"Account",tblTransactions[Destination Name],$D32,tblTransactions[Transaction Status],"Reconciled")+SUMIFS(tblTransactions[Amount],tblTransactions[Transaction Type],"Adjustment",tblTransactions[Source Account],$D32,tblTransactions[Transaction Status],"Completed",tblTransactions[Amount],"&gt;0")+SUMIFS(tblTransactions[Amount],tblTransactions[Transaction Type],"Adjustment",tblTransactions[Source Account],$D32,tblTransactions[Transaction Status],"Reconciled",tblTransactions[Amount],"&gt;0"),0))</f>
      </c>
      <c r="G32" s="1">
        <f>IF($D32="","",IFERROR(SUMIFS(tblTransactions[Amount],tblTransactions[Transaction Type],"Expense",tblTransactions[Source Account],$D32,tblTransactions[Transaction Status],"Completed")+SUMIFS(tblTransactions[Amount],tblTransactions[Transaction Type],"Expense",tblTransactions[Source Account],$D32,tblTransactions[Transaction Status],"Reconciled")+SUMIFS(tblTransactions[Amount],tblTransactions[Transaction Type],"Transfer",tblTransactions[Source Account],$D32,tblTransactions[Transaction Status],"Completed")+SUMIFS(tblTransactions[Amount],tblTransactions[Transaction Type],"Transfer",tblTransactions[Source Account],$D32,tblTransactions[Transaction Status],"Reconciled")-SUMIFS(tblTransactions[Amount],tblTransactions[Transaction Type],"Adjustment",tblTransactions[Source Account],$D32,tblTransactions[Transaction Status],"Completed",tblTransactions[Amount],"&lt;0")-SUMIFS(tblTransactions[Amount],tblTransactions[Transaction Type],"Adjustment",tblTransactions[Source Account],$D32,tblTransactions[Transaction Status],"Reconciled",tblTransactions[Amount],"&lt;0"),0))</f>
      </c>
      <c r="H32" s="1">
        <f>IF($D32="","",$E32+$F32-$G32)</f>
      </c>
      <c r="I32" s="4">
        <f>IF($D32="","",IFERROR(LOOKUP(2,1/(((tblTransactions[Source Account]=$D32)+((tblTransactions[Transaction Type]="Transfer")*(tblTransactions[Destination Type]="Account")*(tblTransactions[Destination Name]=$D32)))*((tblTransactions[Transaction Status]="Completed")+(tblTransactions[Transaction Status]="Reconciled"))),tblTransactions[Transaction Date]),""))</f>
      </c>
      <c r="J32" s="1">
        <f>IF($D32="","",IFERROR(INDEX(tblAccounts[Account Type],ROW()-1),""))</f>
      </c>
      <c r="K32" s="1">
        <f>IF($D32="","",IFERROR(INDEX(tblAccounts[Include in Dashboard],ROW()-1),""))</f>
      </c>
      <c r="L32" s="1">
        <f>IF($D32="","",IFERROR(INDEX(tblAccounts[Status],ROW()-1),""))</f>
      </c>
    </row>
    <row r="33">
      <c r="A33" s="1" t="s">
        <v>250</v>
      </c>
      <c r="D33" s="1">
        <f>IFERROR(IF(INDEX(tblAccounts[Account Name],ROW()-1)="","",INDEX(tblAccounts[Account Name],ROW()-1)),"")</f>
      </c>
      <c r="E33" s="1">
        <f>IF($D33="","",IFERROR(INDEX(tblAccounts[Opening Balance],ROW()-1),0))</f>
      </c>
      <c r="F33" s="1">
        <f>IF($D33="","",IFERROR(SUMIFS(tblTransactions[Amount],tblTransactions[Transaction Type],"Income",tblTransactions[Source Account],$D33,tblTransactions[Transaction Status],"Completed")+SUMIFS(tblTransactions[Amount],tblTransactions[Transaction Type],"Income",tblTransactions[Source Account],$D33,tblTransactions[Transaction Status],"Reconciled")+SUMIFS(tblTransactions[Amount],tblTransactions[Transaction Type],"Transfer",tblTransactions[Destination Type],"Account",tblTransactions[Destination Name],$D33,tblTransactions[Transaction Status],"Completed")+SUMIFS(tblTransactions[Amount],tblTransactions[Transaction Type],"Transfer",tblTransactions[Destination Type],"Account",tblTransactions[Destination Name],$D33,tblTransactions[Transaction Status],"Reconciled")+SUMIFS(tblTransactions[Amount],tblTransactions[Transaction Type],"Adjustment",tblTransactions[Source Account],$D33,tblTransactions[Transaction Status],"Completed",tblTransactions[Amount],"&gt;0")+SUMIFS(tblTransactions[Amount],tblTransactions[Transaction Type],"Adjustment",tblTransactions[Source Account],$D33,tblTransactions[Transaction Status],"Reconciled",tblTransactions[Amount],"&gt;0"),0))</f>
      </c>
      <c r="G33" s="1">
        <f>IF($D33="","",IFERROR(SUMIFS(tblTransactions[Amount],tblTransactions[Transaction Type],"Expense",tblTransactions[Source Account],$D33,tblTransactions[Transaction Status],"Completed")+SUMIFS(tblTransactions[Amount],tblTransactions[Transaction Type],"Expense",tblTransactions[Source Account],$D33,tblTransactions[Transaction Status],"Reconciled")+SUMIFS(tblTransactions[Amount],tblTransactions[Transaction Type],"Transfer",tblTransactions[Source Account],$D33,tblTransactions[Transaction Status],"Completed")+SUMIFS(tblTransactions[Amount],tblTransactions[Transaction Type],"Transfer",tblTransactions[Source Account],$D33,tblTransactions[Transaction Status],"Reconciled")-SUMIFS(tblTransactions[Amount],tblTransactions[Transaction Type],"Adjustment",tblTransactions[Source Account],$D33,tblTransactions[Transaction Status],"Completed",tblTransactions[Amount],"&lt;0")-SUMIFS(tblTransactions[Amount],tblTransactions[Transaction Type],"Adjustment",tblTransactions[Source Account],$D33,tblTransactions[Transaction Status],"Reconciled",tblTransactions[Amount],"&lt;0"),0))</f>
      </c>
      <c r="H33" s="1">
        <f>IF($D33="","",$E33+$F33-$G33)</f>
      </c>
      <c r="I33" s="4">
        <f>IF($D33="","",IFERROR(LOOKUP(2,1/(((tblTransactions[Source Account]=$D33)+((tblTransactions[Transaction Type]="Transfer")*(tblTransactions[Destination Type]="Account")*(tblTransactions[Destination Name]=$D33)))*((tblTransactions[Transaction Status]="Completed")+(tblTransactions[Transaction Status]="Reconciled"))),tblTransactions[Transaction Date]),""))</f>
      </c>
      <c r="J33" s="1">
        <f>IF($D33="","",IFERROR(INDEX(tblAccounts[Account Type],ROW()-1),""))</f>
      </c>
      <c r="K33" s="1">
        <f>IF($D33="","",IFERROR(INDEX(tblAccounts[Include in Dashboard],ROW()-1),""))</f>
      </c>
      <c r="L33" s="1">
        <f>IF($D33="","",IFERROR(INDEX(tblAccounts[Status],ROW()-1),""))</f>
      </c>
    </row>
    <row r="34">
      <c r="A34" s="1" t="s">
        <v>251</v>
      </c>
      <c r="B34" s="1">
        <f>IFERROR(SUMIFS(tblAssets[Purchase Value],tblAssets[Status],"Active"),0)</f>
      </c>
      <c r="D34" s="1">
        <f>IFERROR(IF(INDEX(tblAccounts[Account Name],ROW()-1)="","",INDEX(tblAccounts[Account Name],ROW()-1)),"")</f>
      </c>
      <c r="E34" s="1">
        <f>IF($D34="","",IFERROR(INDEX(tblAccounts[Opening Balance],ROW()-1),0))</f>
      </c>
      <c r="F34" s="1">
        <f>IF($D34="","",IFERROR(SUMIFS(tblTransactions[Amount],tblTransactions[Transaction Type],"Income",tblTransactions[Source Account],$D34,tblTransactions[Transaction Status],"Completed")+SUMIFS(tblTransactions[Amount],tblTransactions[Transaction Type],"Income",tblTransactions[Source Account],$D34,tblTransactions[Transaction Status],"Reconciled")+SUMIFS(tblTransactions[Amount],tblTransactions[Transaction Type],"Transfer",tblTransactions[Destination Type],"Account",tblTransactions[Destination Name],$D34,tblTransactions[Transaction Status],"Completed")+SUMIFS(tblTransactions[Amount],tblTransactions[Transaction Type],"Transfer",tblTransactions[Destination Type],"Account",tblTransactions[Destination Name],$D34,tblTransactions[Transaction Status],"Reconciled")+SUMIFS(tblTransactions[Amount],tblTransactions[Transaction Type],"Adjustment",tblTransactions[Source Account],$D34,tblTransactions[Transaction Status],"Completed",tblTransactions[Amount],"&gt;0")+SUMIFS(tblTransactions[Amount],tblTransactions[Transaction Type],"Adjustment",tblTransactions[Source Account],$D34,tblTransactions[Transaction Status],"Reconciled",tblTransactions[Amount],"&gt;0"),0))</f>
      </c>
      <c r="G34" s="1">
        <f>IF($D34="","",IFERROR(SUMIFS(tblTransactions[Amount],tblTransactions[Transaction Type],"Expense",tblTransactions[Source Account],$D34,tblTransactions[Transaction Status],"Completed")+SUMIFS(tblTransactions[Amount],tblTransactions[Transaction Type],"Expense",tblTransactions[Source Account],$D34,tblTransactions[Transaction Status],"Reconciled")+SUMIFS(tblTransactions[Amount],tblTransactions[Transaction Type],"Transfer",tblTransactions[Source Account],$D34,tblTransactions[Transaction Status],"Completed")+SUMIFS(tblTransactions[Amount],tblTransactions[Transaction Type],"Transfer",tblTransactions[Source Account],$D34,tblTransactions[Transaction Status],"Reconciled")-SUMIFS(tblTransactions[Amount],tblTransactions[Transaction Type],"Adjustment",tblTransactions[Source Account],$D34,tblTransactions[Transaction Status],"Completed",tblTransactions[Amount],"&lt;0")-SUMIFS(tblTransactions[Amount],tblTransactions[Transaction Type],"Adjustment",tblTransactions[Source Account],$D34,tblTransactions[Transaction Status],"Reconciled",tblTransactions[Amount],"&lt;0"),0))</f>
      </c>
      <c r="H34" s="1">
        <f>IF($D34="","",$E34+$F34-$G34)</f>
      </c>
      <c r="I34" s="4">
        <f>IF($D34="","",IFERROR(LOOKUP(2,1/(((tblTransactions[Source Account]=$D34)+((tblTransactions[Transaction Type]="Transfer")*(tblTransactions[Destination Type]="Account")*(tblTransactions[Destination Name]=$D34)))*((tblTransactions[Transaction Status]="Completed")+(tblTransactions[Transaction Status]="Reconciled"))),tblTransactions[Transaction Date]),""))</f>
      </c>
      <c r="J34" s="1">
        <f>IF($D34="","",IFERROR(INDEX(tblAccounts[Account Type],ROW()-1),""))</f>
      </c>
      <c r="K34" s="1">
        <f>IF($D34="","",IFERROR(INDEX(tblAccounts[Include in Dashboard],ROW()-1),""))</f>
      </c>
      <c r="L34" s="1">
        <f>IF($D34="","",IFERROR(INDEX(tblAccounts[Status],ROW()-1),""))</f>
      </c>
    </row>
    <row r="35">
      <c r="A35" s="1" t="s">
        <v>252</v>
      </c>
      <c r="B35" s="1">
        <f>IFERROR(SUMIFS(tblAssets[Current Value],tblAssets[Status],"Active"),0)</f>
      </c>
      <c r="D35" s="1">
        <f>IFERROR(IF(INDEX(tblAccounts[Account Name],ROW()-1)="","",INDEX(tblAccounts[Account Name],ROW()-1)),"")</f>
      </c>
      <c r="E35" s="1">
        <f>IF($D35="","",IFERROR(INDEX(tblAccounts[Opening Balance],ROW()-1),0))</f>
      </c>
      <c r="F35" s="1">
        <f>IF($D35="","",IFERROR(SUMIFS(tblTransactions[Amount],tblTransactions[Transaction Type],"Income",tblTransactions[Source Account],$D35,tblTransactions[Transaction Status],"Completed")+SUMIFS(tblTransactions[Amount],tblTransactions[Transaction Type],"Income",tblTransactions[Source Account],$D35,tblTransactions[Transaction Status],"Reconciled")+SUMIFS(tblTransactions[Amount],tblTransactions[Transaction Type],"Transfer",tblTransactions[Destination Type],"Account",tblTransactions[Destination Name],$D35,tblTransactions[Transaction Status],"Completed")+SUMIFS(tblTransactions[Amount],tblTransactions[Transaction Type],"Transfer",tblTransactions[Destination Type],"Account",tblTransactions[Destination Name],$D35,tblTransactions[Transaction Status],"Reconciled")+SUMIFS(tblTransactions[Amount],tblTransactions[Transaction Type],"Adjustment",tblTransactions[Source Account],$D35,tblTransactions[Transaction Status],"Completed",tblTransactions[Amount],"&gt;0")+SUMIFS(tblTransactions[Amount],tblTransactions[Transaction Type],"Adjustment",tblTransactions[Source Account],$D35,tblTransactions[Transaction Status],"Reconciled",tblTransactions[Amount],"&gt;0"),0))</f>
      </c>
      <c r="G35" s="1">
        <f>IF($D35="","",IFERROR(SUMIFS(tblTransactions[Amount],tblTransactions[Transaction Type],"Expense",tblTransactions[Source Account],$D35,tblTransactions[Transaction Status],"Completed")+SUMIFS(tblTransactions[Amount],tblTransactions[Transaction Type],"Expense",tblTransactions[Source Account],$D35,tblTransactions[Transaction Status],"Reconciled")+SUMIFS(tblTransactions[Amount],tblTransactions[Transaction Type],"Transfer",tblTransactions[Source Account],$D35,tblTransactions[Transaction Status],"Completed")+SUMIFS(tblTransactions[Amount],tblTransactions[Transaction Type],"Transfer",tblTransactions[Source Account],$D35,tblTransactions[Transaction Status],"Reconciled")-SUMIFS(tblTransactions[Amount],tblTransactions[Transaction Type],"Adjustment",tblTransactions[Source Account],$D35,tblTransactions[Transaction Status],"Completed",tblTransactions[Amount],"&lt;0")-SUMIFS(tblTransactions[Amount],tblTransactions[Transaction Type],"Adjustment",tblTransactions[Source Account],$D35,tblTransactions[Transaction Status],"Reconciled",tblTransactions[Amount],"&lt;0"),0))</f>
      </c>
      <c r="H35" s="1">
        <f>IF($D35="","",$E35+$F35-$G35)</f>
      </c>
      <c r="I35" s="4">
        <f>IF($D35="","",IFERROR(LOOKUP(2,1/(((tblTransactions[Source Account]=$D35)+((tblTransactions[Transaction Type]="Transfer")*(tblTransactions[Destination Type]="Account")*(tblTransactions[Destination Name]=$D35)))*((tblTransactions[Transaction Status]="Completed")+(tblTransactions[Transaction Status]="Reconciled"))),tblTransactions[Transaction Date]),""))</f>
      </c>
      <c r="J35" s="1">
        <f>IF($D35="","",IFERROR(INDEX(tblAccounts[Account Type],ROW()-1),""))</f>
      </c>
      <c r="K35" s="1">
        <f>IF($D35="","",IFERROR(INDEX(tblAccounts[Include in Dashboard],ROW()-1),""))</f>
      </c>
      <c r="L35" s="1">
        <f>IF($D35="","",IFERROR(INDEX(tblAccounts[Status],ROW()-1),""))</f>
      </c>
    </row>
    <row r="36">
      <c r="A36" s="1" t="s">
        <v>253</v>
      </c>
      <c r="B36" s="1">
        <f>IFERROR(SUMIFS(tblAssets[Appreciation Amount],tblAssets[Status],"Active"),0)</f>
      </c>
      <c r="D36" s="1">
        <f>IFERROR(IF(INDEX(tblAccounts[Account Name],ROW()-1)="","",INDEX(tblAccounts[Account Name],ROW()-1)),"")</f>
      </c>
      <c r="E36" s="1">
        <f>IF($D36="","",IFERROR(INDEX(tblAccounts[Opening Balance],ROW()-1),0))</f>
      </c>
      <c r="F36" s="1">
        <f>IF($D36="","",IFERROR(SUMIFS(tblTransactions[Amount],tblTransactions[Transaction Type],"Income",tblTransactions[Source Account],$D36,tblTransactions[Transaction Status],"Completed")+SUMIFS(tblTransactions[Amount],tblTransactions[Transaction Type],"Income",tblTransactions[Source Account],$D36,tblTransactions[Transaction Status],"Reconciled")+SUMIFS(tblTransactions[Amount],tblTransactions[Transaction Type],"Transfer",tblTransactions[Destination Type],"Account",tblTransactions[Destination Name],$D36,tblTransactions[Transaction Status],"Completed")+SUMIFS(tblTransactions[Amount],tblTransactions[Transaction Type],"Transfer",tblTransactions[Destination Type],"Account",tblTransactions[Destination Name],$D36,tblTransactions[Transaction Status],"Reconciled")+SUMIFS(tblTransactions[Amount],tblTransactions[Transaction Type],"Adjustment",tblTransactions[Source Account],$D36,tblTransactions[Transaction Status],"Completed",tblTransactions[Amount],"&gt;0")+SUMIFS(tblTransactions[Amount],tblTransactions[Transaction Type],"Adjustment",tblTransactions[Source Account],$D36,tblTransactions[Transaction Status],"Reconciled",tblTransactions[Amount],"&gt;0"),0))</f>
      </c>
      <c r="G36" s="1">
        <f>IF($D36="","",IFERROR(SUMIFS(tblTransactions[Amount],tblTransactions[Transaction Type],"Expense",tblTransactions[Source Account],$D36,tblTransactions[Transaction Status],"Completed")+SUMIFS(tblTransactions[Amount],tblTransactions[Transaction Type],"Expense",tblTransactions[Source Account],$D36,tblTransactions[Transaction Status],"Reconciled")+SUMIFS(tblTransactions[Amount],tblTransactions[Transaction Type],"Transfer",tblTransactions[Source Account],$D36,tblTransactions[Transaction Status],"Completed")+SUMIFS(tblTransactions[Amount],tblTransactions[Transaction Type],"Transfer",tblTransactions[Source Account],$D36,tblTransactions[Transaction Status],"Reconciled")-SUMIFS(tblTransactions[Amount],tblTransactions[Transaction Type],"Adjustment",tblTransactions[Source Account],$D36,tblTransactions[Transaction Status],"Completed",tblTransactions[Amount],"&lt;0")-SUMIFS(tblTransactions[Amount],tblTransactions[Transaction Type],"Adjustment",tblTransactions[Source Account],$D36,tblTransactions[Transaction Status],"Reconciled",tblTransactions[Amount],"&lt;0"),0))</f>
      </c>
      <c r="H36" s="1">
        <f>IF($D36="","",$E36+$F36-$G36)</f>
      </c>
      <c r="I36" s="4">
        <f>IF($D36="","",IFERROR(LOOKUP(2,1/(((tblTransactions[Source Account]=$D36)+((tblTransactions[Transaction Type]="Transfer")*(tblTransactions[Destination Type]="Account")*(tblTransactions[Destination Name]=$D36)))*((tblTransactions[Transaction Status]="Completed")+(tblTransactions[Transaction Status]="Reconciled"))),tblTransactions[Transaction Date]),""))</f>
      </c>
      <c r="J36" s="1">
        <f>IF($D36="","",IFERROR(INDEX(tblAccounts[Account Type],ROW()-1),""))</f>
      </c>
      <c r="K36" s="1">
        <f>IF($D36="","",IFERROR(INDEX(tblAccounts[Include in Dashboard],ROW()-1),""))</f>
      </c>
      <c r="L36" s="1">
        <f>IF($D36="","",IFERROR(INDEX(tblAccounts[Status],ROW()-1),""))</f>
      </c>
    </row>
    <row r="37">
      <c r="A37" s="1" t="s">
        <v>254</v>
      </c>
      <c r="B37" s="1">
        <f>IFERROR($B$36/$B$34,0)</f>
      </c>
      <c r="D37" s="1">
        <f>IFERROR(IF(INDEX(tblAccounts[Account Name],ROW()-1)="","",INDEX(tblAccounts[Account Name],ROW()-1)),"")</f>
      </c>
      <c r="E37" s="1">
        <f>IF($D37="","",IFERROR(INDEX(tblAccounts[Opening Balance],ROW()-1),0))</f>
      </c>
      <c r="F37" s="1">
        <f>IF($D37="","",IFERROR(SUMIFS(tblTransactions[Amount],tblTransactions[Transaction Type],"Income",tblTransactions[Source Account],$D37,tblTransactions[Transaction Status],"Completed")+SUMIFS(tblTransactions[Amount],tblTransactions[Transaction Type],"Income",tblTransactions[Source Account],$D37,tblTransactions[Transaction Status],"Reconciled")+SUMIFS(tblTransactions[Amount],tblTransactions[Transaction Type],"Transfer",tblTransactions[Destination Type],"Account",tblTransactions[Destination Name],$D37,tblTransactions[Transaction Status],"Completed")+SUMIFS(tblTransactions[Amount],tblTransactions[Transaction Type],"Transfer",tblTransactions[Destination Type],"Account",tblTransactions[Destination Name],$D37,tblTransactions[Transaction Status],"Reconciled")+SUMIFS(tblTransactions[Amount],tblTransactions[Transaction Type],"Adjustment",tblTransactions[Source Account],$D37,tblTransactions[Transaction Status],"Completed",tblTransactions[Amount],"&gt;0")+SUMIFS(tblTransactions[Amount],tblTransactions[Transaction Type],"Adjustment",tblTransactions[Source Account],$D37,tblTransactions[Transaction Status],"Reconciled",tblTransactions[Amount],"&gt;0"),0))</f>
      </c>
      <c r="G37" s="1">
        <f>IF($D37="","",IFERROR(SUMIFS(tblTransactions[Amount],tblTransactions[Transaction Type],"Expense",tblTransactions[Source Account],$D37,tblTransactions[Transaction Status],"Completed")+SUMIFS(tblTransactions[Amount],tblTransactions[Transaction Type],"Expense",tblTransactions[Source Account],$D37,tblTransactions[Transaction Status],"Reconciled")+SUMIFS(tblTransactions[Amount],tblTransactions[Transaction Type],"Transfer",tblTransactions[Source Account],$D37,tblTransactions[Transaction Status],"Completed")+SUMIFS(tblTransactions[Amount],tblTransactions[Transaction Type],"Transfer",tblTransactions[Source Account],$D37,tblTransactions[Transaction Status],"Reconciled")-SUMIFS(tblTransactions[Amount],tblTransactions[Transaction Type],"Adjustment",tblTransactions[Source Account],$D37,tblTransactions[Transaction Status],"Completed",tblTransactions[Amount],"&lt;0")-SUMIFS(tblTransactions[Amount],tblTransactions[Transaction Type],"Adjustment",tblTransactions[Source Account],$D37,tblTransactions[Transaction Status],"Reconciled",tblTransactions[Amount],"&lt;0"),0))</f>
      </c>
      <c r="H37" s="1">
        <f>IF($D37="","",$E37+$F37-$G37)</f>
      </c>
      <c r="I37" s="4">
        <f>IF($D37="","",IFERROR(LOOKUP(2,1/(((tblTransactions[Source Account]=$D37)+((tblTransactions[Transaction Type]="Transfer")*(tblTransactions[Destination Type]="Account")*(tblTransactions[Destination Name]=$D37)))*((tblTransactions[Transaction Status]="Completed")+(tblTransactions[Transaction Status]="Reconciled"))),tblTransactions[Transaction Date]),""))</f>
      </c>
      <c r="J37" s="1">
        <f>IF($D37="","",IFERROR(INDEX(tblAccounts[Account Type],ROW()-1),""))</f>
      </c>
      <c r="K37" s="1">
        <f>IF($D37="","",IFERROR(INDEX(tblAccounts[Include in Dashboard],ROW()-1),""))</f>
      </c>
      <c r="L37" s="1">
        <f>IF($D37="","",IFERROR(INDEX(tblAccounts[Status],ROW()-1),""))</f>
      </c>
    </row>
    <row r="38">
      <c r="A38" s="1" t="s">
        <v>255</v>
      </c>
      <c r="B38" s="1">
        <f>COUNTIFS(tblAssets[Status],"Active")</f>
      </c>
      <c r="D38" s="1">
        <f>IFERROR(IF(INDEX(tblAccounts[Account Name],ROW()-1)="","",INDEX(tblAccounts[Account Name],ROW()-1)),"")</f>
      </c>
      <c r="E38" s="1">
        <f>IF($D38="","",IFERROR(INDEX(tblAccounts[Opening Balance],ROW()-1),0))</f>
      </c>
      <c r="F38" s="1">
        <f>IF($D38="","",IFERROR(SUMIFS(tblTransactions[Amount],tblTransactions[Transaction Type],"Income",tblTransactions[Source Account],$D38,tblTransactions[Transaction Status],"Completed")+SUMIFS(tblTransactions[Amount],tblTransactions[Transaction Type],"Income",tblTransactions[Source Account],$D38,tblTransactions[Transaction Status],"Reconciled")+SUMIFS(tblTransactions[Amount],tblTransactions[Transaction Type],"Transfer",tblTransactions[Destination Type],"Account",tblTransactions[Destination Name],$D38,tblTransactions[Transaction Status],"Completed")+SUMIFS(tblTransactions[Amount],tblTransactions[Transaction Type],"Transfer",tblTransactions[Destination Type],"Account",tblTransactions[Destination Name],$D38,tblTransactions[Transaction Status],"Reconciled")+SUMIFS(tblTransactions[Amount],tblTransactions[Transaction Type],"Adjustment",tblTransactions[Source Account],$D38,tblTransactions[Transaction Status],"Completed",tblTransactions[Amount],"&gt;0")+SUMIFS(tblTransactions[Amount],tblTransactions[Transaction Type],"Adjustment",tblTransactions[Source Account],$D38,tblTransactions[Transaction Status],"Reconciled",tblTransactions[Amount],"&gt;0"),0))</f>
      </c>
      <c r="G38" s="1">
        <f>IF($D38="","",IFERROR(SUMIFS(tblTransactions[Amount],tblTransactions[Transaction Type],"Expense",tblTransactions[Source Account],$D38,tblTransactions[Transaction Status],"Completed")+SUMIFS(tblTransactions[Amount],tblTransactions[Transaction Type],"Expense",tblTransactions[Source Account],$D38,tblTransactions[Transaction Status],"Reconciled")+SUMIFS(tblTransactions[Amount],tblTransactions[Transaction Type],"Transfer",tblTransactions[Source Account],$D38,tblTransactions[Transaction Status],"Completed")+SUMIFS(tblTransactions[Amount],tblTransactions[Transaction Type],"Transfer",tblTransactions[Source Account],$D38,tblTransactions[Transaction Status],"Reconciled")-SUMIFS(tblTransactions[Amount],tblTransactions[Transaction Type],"Adjustment",tblTransactions[Source Account],$D38,tblTransactions[Transaction Status],"Completed",tblTransactions[Amount],"&lt;0")-SUMIFS(tblTransactions[Amount],tblTransactions[Transaction Type],"Adjustment",tblTransactions[Source Account],$D38,tblTransactions[Transaction Status],"Reconciled",tblTransactions[Amount],"&lt;0"),0))</f>
      </c>
      <c r="H38" s="1">
        <f>IF($D38="","",$E38+$F38-$G38)</f>
      </c>
      <c r="I38" s="4">
        <f>IF($D38="","",IFERROR(LOOKUP(2,1/(((tblTransactions[Source Account]=$D38)+((tblTransactions[Transaction Type]="Transfer")*(tblTransactions[Destination Type]="Account")*(tblTransactions[Destination Name]=$D38)))*((tblTransactions[Transaction Status]="Completed")+(tblTransactions[Transaction Status]="Reconciled"))),tblTransactions[Transaction Date]),""))</f>
      </c>
      <c r="J38" s="1">
        <f>IF($D38="","",IFERROR(INDEX(tblAccounts[Account Type],ROW()-1),""))</f>
      </c>
      <c r="K38" s="1">
        <f>IF($D38="","",IFERROR(INDEX(tblAccounts[Include in Dashboard],ROW()-1),""))</f>
      </c>
      <c r="L38" s="1">
        <f>IF($D38="","",IFERROR(INDEX(tblAccounts[Status],ROW()-1),""))</f>
      </c>
    </row>
    <row r="39">
      <c r="D39" s="1">
        <f>IFERROR(IF(INDEX(tblAccounts[Account Name],ROW()-1)="","",INDEX(tblAccounts[Account Name],ROW()-1)),"")</f>
      </c>
      <c r="E39" s="1">
        <f>IF($D39="","",IFERROR(INDEX(tblAccounts[Opening Balance],ROW()-1),0))</f>
      </c>
      <c r="F39" s="1">
        <f>IF($D39="","",IFERROR(SUMIFS(tblTransactions[Amount],tblTransactions[Transaction Type],"Income",tblTransactions[Source Account],$D39,tblTransactions[Transaction Status],"Completed")+SUMIFS(tblTransactions[Amount],tblTransactions[Transaction Type],"Income",tblTransactions[Source Account],$D39,tblTransactions[Transaction Status],"Reconciled")+SUMIFS(tblTransactions[Amount],tblTransactions[Transaction Type],"Transfer",tblTransactions[Destination Type],"Account",tblTransactions[Destination Name],$D39,tblTransactions[Transaction Status],"Completed")+SUMIFS(tblTransactions[Amount],tblTransactions[Transaction Type],"Transfer",tblTransactions[Destination Type],"Account",tblTransactions[Destination Name],$D39,tblTransactions[Transaction Status],"Reconciled")+SUMIFS(tblTransactions[Amount],tblTransactions[Transaction Type],"Adjustment",tblTransactions[Source Account],$D39,tblTransactions[Transaction Status],"Completed",tblTransactions[Amount],"&gt;0")+SUMIFS(tblTransactions[Amount],tblTransactions[Transaction Type],"Adjustment",tblTransactions[Source Account],$D39,tblTransactions[Transaction Status],"Reconciled",tblTransactions[Amount],"&gt;0"),0))</f>
      </c>
      <c r="G39" s="1">
        <f>IF($D39="","",IFERROR(SUMIFS(tblTransactions[Amount],tblTransactions[Transaction Type],"Expense",tblTransactions[Source Account],$D39,tblTransactions[Transaction Status],"Completed")+SUMIFS(tblTransactions[Amount],tblTransactions[Transaction Type],"Expense",tblTransactions[Source Account],$D39,tblTransactions[Transaction Status],"Reconciled")+SUMIFS(tblTransactions[Amount],tblTransactions[Transaction Type],"Transfer",tblTransactions[Source Account],$D39,tblTransactions[Transaction Status],"Completed")+SUMIFS(tblTransactions[Amount],tblTransactions[Transaction Type],"Transfer",tblTransactions[Source Account],$D39,tblTransactions[Transaction Status],"Reconciled")-SUMIFS(tblTransactions[Amount],tblTransactions[Transaction Type],"Adjustment",tblTransactions[Source Account],$D39,tblTransactions[Transaction Status],"Completed",tblTransactions[Amount],"&lt;0")-SUMIFS(tblTransactions[Amount],tblTransactions[Transaction Type],"Adjustment",tblTransactions[Source Account],$D39,tblTransactions[Transaction Status],"Reconciled",tblTransactions[Amount],"&lt;0"),0))</f>
      </c>
      <c r="H39" s="1">
        <f>IF($D39="","",$E39+$F39-$G39)</f>
      </c>
      <c r="I39" s="4">
        <f>IF($D39="","",IFERROR(LOOKUP(2,1/(((tblTransactions[Source Account]=$D39)+((tblTransactions[Transaction Type]="Transfer")*(tblTransactions[Destination Type]="Account")*(tblTransactions[Destination Name]=$D39)))*((tblTransactions[Transaction Status]="Completed")+(tblTransactions[Transaction Status]="Reconciled"))),tblTransactions[Transaction Date]),""))</f>
      </c>
      <c r="J39" s="1">
        <f>IF($D39="","",IFERROR(INDEX(tblAccounts[Account Type],ROW()-1),""))</f>
      </c>
      <c r="K39" s="1">
        <f>IF($D39="","",IFERROR(INDEX(tblAccounts[Include in Dashboard],ROW()-1),""))</f>
      </c>
      <c r="L39" s="1">
        <f>IF($D39="","",IFERROR(INDEX(tblAccounts[Status],ROW()-1),""))</f>
      </c>
    </row>
    <row r="40">
      <c r="A40" s="1" t="s">
        <v>256</v>
      </c>
      <c r="D40" s="1">
        <f>IFERROR(IF(INDEX(tblAccounts[Account Name],ROW()-1)="","",INDEX(tblAccounts[Account Name],ROW()-1)),"")</f>
      </c>
      <c r="E40" s="1">
        <f>IF($D40="","",IFERROR(INDEX(tblAccounts[Opening Balance],ROW()-1),0))</f>
      </c>
      <c r="F40" s="1">
        <f>IF($D40="","",IFERROR(SUMIFS(tblTransactions[Amount],tblTransactions[Transaction Type],"Income",tblTransactions[Source Account],$D40,tblTransactions[Transaction Status],"Completed")+SUMIFS(tblTransactions[Amount],tblTransactions[Transaction Type],"Income",tblTransactions[Source Account],$D40,tblTransactions[Transaction Status],"Reconciled")+SUMIFS(tblTransactions[Amount],tblTransactions[Transaction Type],"Transfer",tblTransactions[Destination Type],"Account",tblTransactions[Destination Name],$D40,tblTransactions[Transaction Status],"Completed")+SUMIFS(tblTransactions[Amount],tblTransactions[Transaction Type],"Transfer",tblTransactions[Destination Type],"Account",tblTransactions[Destination Name],$D40,tblTransactions[Transaction Status],"Reconciled")+SUMIFS(tblTransactions[Amount],tblTransactions[Transaction Type],"Adjustment",tblTransactions[Source Account],$D40,tblTransactions[Transaction Status],"Completed",tblTransactions[Amount],"&gt;0")+SUMIFS(tblTransactions[Amount],tblTransactions[Transaction Type],"Adjustment",tblTransactions[Source Account],$D40,tblTransactions[Transaction Status],"Reconciled",tblTransactions[Amount],"&gt;0"),0))</f>
      </c>
      <c r="G40" s="1">
        <f>IF($D40="","",IFERROR(SUMIFS(tblTransactions[Amount],tblTransactions[Transaction Type],"Expense",tblTransactions[Source Account],$D40,tblTransactions[Transaction Status],"Completed")+SUMIFS(tblTransactions[Amount],tblTransactions[Transaction Type],"Expense",tblTransactions[Source Account],$D40,tblTransactions[Transaction Status],"Reconciled")+SUMIFS(tblTransactions[Amount],tblTransactions[Transaction Type],"Transfer",tblTransactions[Source Account],$D40,tblTransactions[Transaction Status],"Completed")+SUMIFS(tblTransactions[Amount],tblTransactions[Transaction Type],"Transfer",tblTransactions[Source Account],$D40,tblTransactions[Transaction Status],"Reconciled")-SUMIFS(tblTransactions[Amount],tblTransactions[Transaction Type],"Adjustment",tblTransactions[Source Account],$D40,tblTransactions[Transaction Status],"Completed",tblTransactions[Amount],"&lt;0")-SUMIFS(tblTransactions[Amount],tblTransactions[Transaction Type],"Adjustment",tblTransactions[Source Account],$D40,tblTransactions[Transaction Status],"Reconciled",tblTransactions[Amount],"&lt;0"),0))</f>
      </c>
      <c r="H40" s="1">
        <f>IF($D40="","",$E40+$F40-$G40)</f>
      </c>
      <c r="I40" s="4">
        <f>IF($D40="","",IFERROR(LOOKUP(2,1/(((tblTransactions[Source Account]=$D40)+((tblTransactions[Transaction Type]="Transfer")*(tblTransactions[Destination Type]="Account")*(tblTransactions[Destination Name]=$D40)))*((tblTransactions[Transaction Status]="Completed")+(tblTransactions[Transaction Status]="Reconciled"))),tblTransactions[Transaction Date]),""))</f>
      </c>
      <c r="J40" s="1">
        <f>IF($D40="","",IFERROR(INDEX(tblAccounts[Account Type],ROW()-1),""))</f>
      </c>
      <c r="K40" s="1">
        <f>IF($D40="","",IFERROR(INDEX(tblAccounts[Include in Dashboard],ROW()-1),""))</f>
      </c>
      <c r="L40" s="1">
        <f>IF($D40="","",IFERROR(INDEX(tblAccounts[Status],ROW()-1),""))</f>
      </c>
    </row>
    <row r="41">
      <c r="A41" s="1" t="s">
        <v>257</v>
      </c>
      <c r="B41" s="1">
        <f>IFERROR(SUMIFS(tblLiabilities[Original Amount],tblLiabilities[Status],"Active"),0)</f>
      </c>
      <c r="D41" s="1">
        <f>IFERROR(IF(INDEX(tblAccounts[Account Name],ROW()-1)="","",INDEX(tblAccounts[Account Name],ROW()-1)),"")</f>
      </c>
      <c r="E41" s="1">
        <f>IF($D41="","",IFERROR(INDEX(tblAccounts[Opening Balance],ROW()-1),0))</f>
      </c>
      <c r="F41" s="1">
        <f>IF($D41="","",IFERROR(SUMIFS(tblTransactions[Amount],tblTransactions[Transaction Type],"Income",tblTransactions[Source Account],$D41,tblTransactions[Transaction Status],"Completed")+SUMIFS(tblTransactions[Amount],tblTransactions[Transaction Type],"Income",tblTransactions[Source Account],$D41,tblTransactions[Transaction Status],"Reconciled")+SUMIFS(tblTransactions[Amount],tblTransactions[Transaction Type],"Transfer",tblTransactions[Destination Type],"Account",tblTransactions[Destination Name],$D41,tblTransactions[Transaction Status],"Completed")+SUMIFS(tblTransactions[Amount],tblTransactions[Transaction Type],"Transfer",tblTransactions[Destination Type],"Account",tblTransactions[Destination Name],$D41,tblTransactions[Transaction Status],"Reconciled")+SUMIFS(tblTransactions[Amount],tblTransactions[Transaction Type],"Adjustment",tblTransactions[Source Account],$D41,tblTransactions[Transaction Status],"Completed",tblTransactions[Amount],"&gt;0")+SUMIFS(tblTransactions[Amount],tblTransactions[Transaction Type],"Adjustment",tblTransactions[Source Account],$D41,tblTransactions[Transaction Status],"Reconciled",tblTransactions[Amount],"&gt;0"),0))</f>
      </c>
      <c r="G41" s="1">
        <f>IF($D41="","",IFERROR(SUMIFS(tblTransactions[Amount],tblTransactions[Transaction Type],"Expense",tblTransactions[Source Account],$D41,tblTransactions[Transaction Status],"Completed")+SUMIFS(tblTransactions[Amount],tblTransactions[Transaction Type],"Expense",tblTransactions[Source Account],$D41,tblTransactions[Transaction Status],"Reconciled")+SUMIFS(tblTransactions[Amount],tblTransactions[Transaction Type],"Transfer",tblTransactions[Source Account],$D41,tblTransactions[Transaction Status],"Completed")+SUMIFS(tblTransactions[Amount],tblTransactions[Transaction Type],"Transfer",tblTransactions[Source Account],$D41,tblTransactions[Transaction Status],"Reconciled")-SUMIFS(tblTransactions[Amount],tblTransactions[Transaction Type],"Adjustment",tblTransactions[Source Account],$D41,tblTransactions[Transaction Status],"Completed",tblTransactions[Amount],"&lt;0")-SUMIFS(tblTransactions[Amount],tblTransactions[Transaction Type],"Adjustment",tblTransactions[Source Account],$D41,tblTransactions[Transaction Status],"Reconciled",tblTransactions[Amount],"&lt;0"),0))</f>
      </c>
      <c r="H41" s="1">
        <f>IF($D41="","",$E41+$F41-$G41)</f>
      </c>
      <c r="I41" s="4">
        <f>IF($D41="","",IFERROR(LOOKUP(2,1/(((tblTransactions[Source Account]=$D41)+((tblTransactions[Transaction Type]="Transfer")*(tblTransactions[Destination Type]="Account")*(tblTransactions[Destination Name]=$D41)))*((tblTransactions[Transaction Status]="Completed")+(tblTransactions[Transaction Status]="Reconciled"))),tblTransactions[Transaction Date]),""))</f>
      </c>
      <c r="J41" s="1">
        <f>IF($D41="","",IFERROR(INDEX(tblAccounts[Account Type],ROW()-1),""))</f>
      </c>
      <c r="K41" s="1">
        <f>IF($D41="","",IFERROR(INDEX(tblAccounts[Include in Dashboard],ROW()-1),""))</f>
      </c>
      <c r="L41" s="1">
        <f>IF($D41="","",IFERROR(INDEX(tblAccounts[Status],ROW()-1),""))</f>
      </c>
    </row>
    <row r="42">
      <c r="A42" s="1" t="s">
        <v>258</v>
      </c>
      <c r="B42" s="1">
        <f>IFERROR(SUMIFS(tblLiabilities[Outstanding Balance],tblLiabilities[Status],"Active"),0)</f>
      </c>
      <c r="D42" s="1">
        <f>IFERROR(IF(INDEX(tblAccounts[Account Name],ROW()-1)="","",INDEX(tblAccounts[Account Name],ROW()-1)),"")</f>
      </c>
      <c r="E42" s="1">
        <f>IF($D42="","",IFERROR(INDEX(tblAccounts[Opening Balance],ROW()-1),0))</f>
      </c>
      <c r="F42" s="1">
        <f>IF($D42="","",IFERROR(SUMIFS(tblTransactions[Amount],tblTransactions[Transaction Type],"Income",tblTransactions[Source Account],$D42,tblTransactions[Transaction Status],"Completed")+SUMIFS(tblTransactions[Amount],tblTransactions[Transaction Type],"Income",tblTransactions[Source Account],$D42,tblTransactions[Transaction Status],"Reconciled")+SUMIFS(tblTransactions[Amount],tblTransactions[Transaction Type],"Transfer",tblTransactions[Destination Type],"Account",tblTransactions[Destination Name],$D42,tblTransactions[Transaction Status],"Completed")+SUMIFS(tblTransactions[Amount],tblTransactions[Transaction Type],"Transfer",tblTransactions[Destination Type],"Account",tblTransactions[Destination Name],$D42,tblTransactions[Transaction Status],"Reconciled")+SUMIFS(tblTransactions[Amount],tblTransactions[Transaction Type],"Adjustment",tblTransactions[Source Account],$D42,tblTransactions[Transaction Status],"Completed",tblTransactions[Amount],"&gt;0")+SUMIFS(tblTransactions[Amount],tblTransactions[Transaction Type],"Adjustment",tblTransactions[Source Account],$D42,tblTransactions[Transaction Status],"Reconciled",tblTransactions[Amount],"&gt;0"),0))</f>
      </c>
      <c r="G42" s="1">
        <f>IF($D42="","",IFERROR(SUMIFS(tblTransactions[Amount],tblTransactions[Transaction Type],"Expense",tblTransactions[Source Account],$D42,tblTransactions[Transaction Status],"Completed")+SUMIFS(tblTransactions[Amount],tblTransactions[Transaction Type],"Expense",tblTransactions[Source Account],$D42,tblTransactions[Transaction Status],"Reconciled")+SUMIFS(tblTransactions[Amount],tblTransactions[Transaction Type],"Transfer",tblTransactions[Source Account],$D42,tblTransactions[Transaction Status],"Completed")+SUMIFS(tblTransactions[Amount],tblTransactions[Transaction Type],"Transfer",tblTransactions[Source Account],$D42,tblTransactions[Transaction Status],"Reconciled")-SUMIFS(tblTransactions[Amount],tblTransactions[Transaction Type],"Adjustment",tblTransactions[Source Account],$D42,tblTransactions[Transaction Status],"Completed",tblTransactions[Amount],"&lt;0")-SUMIFS(tblTransactions[Amount],tblTransactions[Transaction Type],"Adjustment",tblTransactions[Source Account],$D42,tblTransactions[Transaction Status],"Reconciled",tblTransactions[Amount],"&lt;0"),0))</f>
      </c>
      <c r="H42" s="1">
        <f>IF($D42="","",$E42+$F42-$G42)</f>
      </c>
      <c r="I42" s="4">
        <f>IF($D42="","",IFERROR(LOOKUP(2,1/(((tblTransactions[Source Account]=$D42)+((tblTransactions[Transaction Type]="Transfer")*(tblTransactions[Destination Type]="Account")*(tblTransactions[Destination Name]=$D42)))*((tblTransactions[Transaction Status]="Completed")+(tblTransactions[Transaction Status]="Reconciled"))),tblTransactions[Transaction Date]),""))</f>
      </c>
      <c r="J42" s="1">
        <f>IF($D42="","",IFERROR(INDEX(tblAccounts[Account Type],ROW()-1),""))</f>
      </c>
      <c r="K42" s="1">
        <f>IF($D42="","",IFERROR(INDEX(tblAccounts[Include in Dashboard],ROW()-1),""))</f>
      </c>
      <c r="L42" s="1">
        <f>IF($D42="","",IFERROR(INDEX(tblAccounts[Status],ROW()-1),""))</f>
      </c>
    </row>
    <row r="43">
      <c r="A43" s="1" t="s">
        <v>259</v>
      </c>
      <c r="B43" s="1">
        <f>IFERROR(SUMPRODUCT((tblLiabilities[Status]="Active")*(tblLiabilities[EMI Amount])*((tblLiabilities[EMI Frequency]="Monthly")*1+(tblLiabilities[EMI Frequency]="Quarterly")*(1/3)+(tblLiabilities[EMI Frequency]="Half-Yearly")*(1/6)+(tblLiabilities[EMI Frequency]="Yearly")*(1/12))),0)</f>
      </c>
      <c r="D43" s="1">
        <f>IFERROR(IF(INDEX(tblAccounts[Account Name],ROW()-1)="","",INDEX(tblAccounts[Account Name],ROW()-1)),"")</f>
      </c>
      <c r="E43" s="1">
        <f>IF($D43="","",IFERROR(INDEX(tblAccounts[Opening Balance],ROW()-1),0))</f>
      </c>
      <c r="F43" s="1">
        <f>IF($D43="","",IFERROR(SUMIFS(tblTransactions[Amount],tblTransactions[Transaction Type],"Income",tblTransactions[Source Account],$D43,tblTransactions[Transaction Status],"Completed")+SUMIFS(tblTransactions[Amount],tblTransactions[Transaction Type],"Income",tblTransactions[Source Account],$D43,tblTransactions[Transaction Status],"Reconciled")+SUMIFS(tblTransactions[Amount],tblTransactions[Transaction Type],"Transfer",tblTransactions[Destination Type],"Account",tblTransactions[Destination Name],$D43,tblTransactions[Transaction Status],"Completed")+SUMIFS(tblTransactions[Amount],tblTransactions[Transaction Type],"Transfer",tblTransactions[Destination Type],"Account",tblTransactions[Destination Name],$D43,tblTransactions[Transaction Status],"Reconciled")+SUMIFS(tblTransactions[Amount],tblTransactions[Transaction Type],"Adjustment",tblTransactions[Source Account],$D43,tblTransactions[Transaction Status],"Completed",tblTransactions[Amount],"&gt;0")+SUMIFS(tblTransactions[Amount],tblTransactions[Transaction Type],"Adjustment",tblTransactions[Source Account],$D43,tblTransactions[Transaction Status],"Reconciled",tblTransactions[Amount],"&gt;0"),0))</f>
      </c>
      <c r="G43" s="1">
        <f>IF($D43="","",IFERROR(SUMIFS(tblTransactions[Amount],tblTransactions[Transaction Type],"Expense",tblTransactions[Source Account],$D43,tblTransactions[Transaction Status],"Completed")+SUMIFS(tblTransactions[Amount],tblTransactions[Transaction Type],"Expense",tblTransactions[Source Account],$D43,tblTransactions[Transaction Status],"Reconciled")+SUMIFS(tblTransactions[Amount],tblTransactions[Transaction Type],"Transfer",tblTransactions[Source Account],$D43,tblTransactions[Transaction Status],"Completed")+SUMIFS(tblTransactions[Amount],tblTransactions[Transaction Type],"Transfer",tblTransactions[Source Account],$D43,tblTransactions[Transaction Status],"Reconciled")-SUMIFS(tblTransactions[Amount],tblTransactions[Transaction Type],"Adjustment",tblTransactions[Source Account],$D43,tblTransactions[Transaction Status],"Completed",tblTransactions[Amount],"&lt;0")-SUMIFS(tblTransactions[Amount],tblTransactions[Transaction Type],"Adjustment",tblTransactions[Source Account],$D43,tblTransactions[Transaction Status],"Reconciled",tblTransactions[Amount],"&lt;0"),0))</f>
      </c>
      <c r="H43" s="1">
        <f>IF($D43="","",$E43+$F43-$G43)</f>
      </c>
      <c r="I43" s="4">
        <f>IF($D43="","",IFERROR(LOOKUP(2,1/(((tblTransactions[Source Account]=$D43)+((tblTransactions[Transaction Type]="Transfer")*(tblTransactions[Destination Type]="Account")*(tblTransactions[Destination Name]=$D43)))*((tblTransactions[Transaction Status]="Completed")+(tblTransactions[Transaction Status]="Reconciled"))),tblTransactions[Transaction Date]),""))</f>
      </c>
      <c r="J43" s="1">
        <f>IF($D43="","",IFERROR(INDEX(tblAccounts[Account Type],ROW()-1),""))</f>
      </c>
      <c r="K43" s="1">
        <f>IF($D43="","",IFERROR(INDEX(tblAccounts[Include in Dashboard],ROW()-1),""))</f>
      </c>
      <c r="L43" s="1">
        <f>IF($D43="","",IFERROR(INDEX(tblAccounts[Status],ROW()-1),""))</f>
      </c>
    </row>
    <row r="44">
      <c r="A44" s="1" t="s">
        <v>260</v>
      </c>
      <c r="B44" s="1">
        <f>IFERROR(SUMPRODUCT((tblLiabilities[Status]="Active")*(tblLiabilities[Outstanding Balance])*(tblLiabilities[Interest Rate]))/$B$42,0)</f>
      </c>
      <c r="D44" s="1">
        <f>IFERROR(IF(INDEX(tblAccounts[Account Name],ROW()-1)="","",INDEX(tblAccounts[Account Name],ROW()-1)),"")</f>
      </c>
      <c r="E44" s="1">
        <f>IF($D44="","",IFERROR(INDEX(tblAccounts[Opening Balance],ROW()-1),0))</f>
      </c>
      <c r="F44" s="1">
        <f>IF($D44="","",IFERROR(SUMIFS(tblTransactions[Amount],tblTransactions[Transaction Type],"Income",tblTransactions[Source Account],$D44,tblTransactions[Transaction Status],"Completed")+SUMIFS(tblTransactions[Amount],tblTransactions[Transaction Type],"Income",tblTransactions[Source Account],$D44,tblTransactions[Transaction Status],"Reconciled")+SUMIFS(tblTransactions[Amount],tblTransactions[Transaction Type],"Transfer",tblTransactions[Destination Type],"Account",tblTransactions[Destination Name],$D44,tblTransactions[Transaction Status],"Completed")+SUMIFS(tblTransactions[Amount],tblTransactions[Transaction Type],"Transfer",tblTransactions[Destination Type],"Account",tblTransactions[Destination Name],$D44,tblTransactions[Transaction Status],"Reconciled")+SUMIFS(tblTransactions[Amount],tblTransactions[Transaction Type],"Adjustment",tblTransactions[Source Account],$D44,tblTransactions[Transaction Status],"Completed",tblTransactions[Amount],"&gt;0")+SUMIFS(tblTransactions[Amount],tblTransactions[Transaction Type],"Adjustment",tblTransactions[Source Account],$D44,tblTransactions[Transaction Status],"Reconciled",tblTransactions[Amount],"&gt;0"),0))</f>
      </c>
      <c r="G44" s="1">
        <f>IF($D44="","",IFERROR(SUMIFS(tblTransactions[Amount],tblTransactions[Transaction Type],"Expense",tblTransactions[Source Account],$D44,tblTransactions[Transaction Status],"Completed")+SUMIFS(tblTransactions[Amount],tblTransactions[Transaction Type],"Expense",tblTransactions[Source Account],$D44,tblTransactions[Transaction Status],"Reconciled")+SUMIFS(tblTransactions[Amount],tblTransactions[Transaction Type],"Transfer",tblTransactions[Source Account],$D44,tblTransactions[Transaction Status],"Completed")+SUMIFS(tblTransactions[Amount],tblTransactions[Transaction Type],"Transfer",tblTransactions[Source Account],$D44,tblTransactions[Transaction Status],"Reconciled")-SUMIFS(tblTransactions[Amount],tblTransactions[Transaction Type],"Adjustment",tblTransactions[Source Account],$D44,tblTransactions[Transaction Status],"Completed",tblTransactions[Amount],"&lt;0")-SUMIFS(tblTransactions[Amount],tblTransactions[Transaction Type],"Adjustment",tblTransactions[Source Account],$D44,tblTransactions[Transaction Status],"Reconciled",tblTransactions[Amount],"&lt;0"),0))</f>
      </c>
      <c r="H44" s="1">
        <f>IF($D44="","",$E44+$F44-$G44)</f>
      </c>
      <c r="I44" s="4">
        <f>IF($D44="","",IFERROR(LOOKUP(2,1/(((tblTransactions[Source Account]=$D44)+((tblTransactions[Transaction Type]="Transfer")*(tblTransactions[Destination Type]="Account")*(tblTransactions[Destination Name]=$D44)))*((tblTransactions[Transaction Status]="Completed")+(tblTransactions[Transaction Status]="Reconciled"))),tblTransactions[Transaction Date]),""))</f>
      </c>
      <c r="J44" s="1">
        <f>IF($D44="","",IFERROR(INDEX(tblAccounts[Account Type],ROW()-1),""))</f>
      </c>
      <c r="K44" s="1">
        <f>IF($D44="","",IFERROR(INDEX(tblAccounts[Include in Dashboard],ROW()-1),""))</f>
      </c>
      <c r="L44" s="1">
        <f>IF($D44="","",IFERROR(INDEX(tblAccounts[Status],ROW()-1),""))</f>
      </c>
    </row>
    <row r="45">
      <c r="A45" s="1" t="s">
        <v>261</v>
      </c>
      <c r="B45" s="1">
        <f>COUNTIFS(tblLiabilities[Status],"Active")</f>
      </c>
      <c r="D45" s="1">
        <f>IFERROR(IF(INDEX(tblAccounts[Account Name],ROW()-1)="","",INDEX(tblAccounts[Account Name],ROW()-1)),"")</f>
      </c>
      <c r="E45" s="1">
        <f>IF($D45="","",IFERROR(INDEX(tblAccounts[Opening Balance],ROW()-1),0))</f>
      </c>
      <c r="F45" s="1">
        <f>IF($D45="","",IFERROR(SUMIFS(tblTransactions[Amount],tblTransactions[Transaction Type],"Income",tblTransactions[Source Account],$D45,tblTransactions[Transaction Status],"Completed")+SUMIFS(tblTransactions[Amount],tblTransactions[Transaction Type],"Income",tblTransactions[Source Account],$D45,tblTransactions[Transaction Status],"Reconciled")+SUMIFS(tblTransactions[Amount],tblTransactions[Transaction Type],"Transfer",tblTransactions[Destination Type],"Account",tblTransactions[Destination Name],$D45,tblTransactions[Transaction Status],"Completed")+SUMIFS(tblTransactions[Amount],tblTransactions[Transaction Type],"Transfer",tblTransactions[Destination Type],"Account",tblTransactions[Destination Name],$D45,tblTransactions[Transaction Status],"Reconciled")+SUMIFS(tblTransactions[Amount],tblTransactions[Transaction Type],"Adjustment",tblTransactions[Source Account],$D45,tblTransactions[Transaction Status],"Completed",tblTransactions[Amount],"&gt;0")+SUMIFS(tblTransactions[Amount],tblTransactions[Transaction Type],"Adjustment",tblTransactions[Source Account],$D45,tblTransactions[Transaction Status],"Reconciled",tblTransactions[Amount],"&gt;0"),0))</f>
      </c>
      <c r="G45" s="1">
        <f>IF($D45="","",IFERROR(SUMIFS(tblTransactions[Amount],tblTransactions[Transaction Type],"Expense",tblTransactions[Source Account],$D45,tblTransactions[Transaction Status],"Completed")+SUMIFS(tblTransactions[Amount],tblTransactions[Transaction Type],"Expense",tblTransactions[Source Account],$D45,tblTransactions[Transaction Status],"Reconciled")+SUMIFS(tblTransactions[Amount],tblTransactions[Transaction Type],"Transfer",tblTransactions[Source Account],$D45,tblTransactions[Transaction Status],"Completed")+SUMIFS(tblTransactions[Amount],tblTransactions[Transaction Type],"Transfer",tblTransactions[Source Account],$D45,tblTransactions[Transaction Status],"Reconciled")-SUMIFS(tblTransactions[Amount],tblTransactions[Transaction Type],"Adjustment",tblTransactions[Source Account],$D45,tblTransactions[Transaction Status],"Completed",tblTransactions[Amount],"&lt;0")-SUMIFS(tblTransactions[Amount],tblTransactions[Transaction Type],"Adjustment",tblTransactions[Source Account],$D45,tblTransactions[Transaction Status],"Reconciled",tblTransactions[Amount],"&lt;0"),0))</f>
      </c>
      <c r="H45" s="1">
        <f>IF($D45="","",$E45+$F45-$G45)</f>
      </c>
      <c r="I45" s="4">
        <f>IF($D45="","",IFERROR(LOOKUP(2,1/(((tblTransactions[Source Account]=$D45)+((tblTransactions[Transaction Type]="Transfer")*(tblTransactions[Destination Type]="Account")*(tblTransactions[Destination Name]=$D45)))*((tblTransactions[Transaction Status]="Completed")+(tblTransactions[Transaction Status]="Reconciled"))),tblTransactions[Transaction Date]),""))</f>
      </c>
      <c r="J45" s="1">
        <f>IF($D45="","",IFERROR(INDEX(tblAccounts[Account Type],ROW()-1),""))</f>
      </c>
      <c r="K45" s="1">
        <f>IF($D45="","",IFERROR(INDEX(tblAccounts[Include in Dashboard],ROW()-1),""))</f>
      </c>
      <c r="L45" s="1">
        <f>IF($D45="","",IFERROR(INDEX(tblAccounts[Status],ROW()-1),""))</f>
      </c>
    </row>
    <row r="46">
      <c r="D46" s="1">
        <f>IFERROR(IF(INDEX(tblAccounts[Account Name],ROW()-1)="","",INDEX(tblAccounts[Account Name],ROW()-1)),"")</f>
      </c>
      <c r="E46" s="1">
        <f>IF($D46="","",IFERROR(INDEX(tblAccounts[Opening Balance],ROW()-1),0))</f>
      </c>
      <c r="F46" s="1">
        <f>IF($D46="","",IFERROR(SUMIFS(tblTransactions[Amount],tblTransactions[Transaction Type],"Income",tblTransactions[Source Account],$D46,tblTransactions[Transaction Status],"Completed")+SUMIFS(tblTransactions[Amount],tblTransactions[Transaction Type],"Income",tblTransactions[Source Account],$D46,tblTransactions[Transaction Status],"Reconciled")+SUMIFS(tblTransactions[Amount],tblTransactions[Transaction Type],"Transfer",tblTransactions[Destination Type],"Account",tblTransactions[Destination Name],$D46,tblTransactions[Transaction Status],"Completed")+SUMIFS(tblTransactions[Amount],tblTransactions[Transaction Type],"Transfer",tblTransactions[Destination Type],"Account",tblTransactions[Destination Name],$D46,tblTransactions[Transaction Status],"Reconciled")+SUMIFS(tblTransactions[Amount],tblTransactions[Transaction Type],"Adjustment",tblTransactions[Source Account],$D46,tblTransactions[Transaction Status],"Completed",tblTransactions[Amount],"&gt;0")+SUMIFS(tblTransactions[Amount],tblTransactions[Transaction Type],"Adjustment",tblTransactions[Source Account],$D46,tblTransactions[Transaction Status],"Reconciled",tblTransactions[Amount],"&gt;0"),0))</f>
      </c>
      <c r="G46" s="1">
        <f>IF($D46="","",IFERROR(SUMIFS(tblTransactions[Amount],tblTransactions[Transaction Type],"Expense",tblTransactions[Source Account],$D46,tblTransactions[Transaction Status],"Completed")+SUMIFS(tblTransactions[Amount],tblTransactions[Transaction Type],"Expense",tblTransactions[Source Account],$D46,tblTransactions[Transaction Status],"Reconciled")+SUMIFS(tblTransactions[Amount],tblTransactions[Transaction Type],"Transfer",tblTransactions[Source Account],$D46,tblTransactions[Transaction Status],"Completed")+SUMIFS(tblTransactions[Amount],tblTransactions[Transaction Type],"Transfer",tblTransactions[Source Account],$D46,tblTransactions[Transaction Status],"Reconciled")-SUMIFS(tblTransactions[Amount],tblTransactions[Transaction Type],"Adjustment",tblTransactions[Source Account],$D46,tblTransactions[Transaction Status],"Completed",tblTransactions[Amount],"&lt;0")-SUMIFS(tblTransactions[Amount],tblTransactions[Transaction Type],"Adjustment",tblTransactions[Source Account],$D46,tblTransactions[Transaction Status],"Reconciled",tblTransactions[Amount],"&lt;0"),0))</f>
      </c>
      <c r="H46" s="1">
        <f>IF($D46="","",$E46+$F46-$G46)</f>
      </c>
      <c r="I46" s="4">
        <f>IF($D46="","",IFERROR(LOOKUP(2,1/(((tblTransactions[Source Account]=$D46)+((tblTransactions[Transaction Type]="Transfer")*(tblTransactions[Destination Type]="Account")*(tblTransactions[Destination Name]=$D46)))*((tblTransactions[Transaction Status]="Completed")+(tblTransactions[Transaction Status]="Reconciled"))),tblTransactions[Transaction Date]),""))</f>
      </c>
      <c r="J46" s="1">
        <f>IF($D46="","",IFERROR(INDEX(tblAccounts[Account Type],ROW()-1),""))</f>
      </c>
      <c r="K46" s="1">
        <f>IF($D46="","",IFERROR(INDEX(tblAccounts[Include in Dashboard],ROW()-1),""))</f>
      </c>
      <c r="L46" s="1">
        <f>IF($D46="","",IFERROR(INDEX(tblAccounts[Status],ROW()-1),""))</f>
      </c>
    </row>
    <row r="47">
      <c r="A47" s="1" t="s">
        <v>262</v>
      </c>
      <c r="D47" s="1">
        <f>IFERROR(IF(INDEX(tblAccounts[Account Name],ROW()-1)="","",INDEX(tblAccounts[Account Name],ROW()-1)),"")</f>
      </c>
      <c r="E47" s="1">
        <f>IF($D47="","",IFERROR(INDEX(tblAccounts[Opening Balance],ROW()-1),0))</f>
      </c>
      <c r="F47" s="1">
        <f>IF($D47="","",IFERROR(SUMIFS(tblTransactions[Amount],tblTransactions[Transaction Type],"Income",tblTransactions[Source Account],$D47,tblTransactions[Transaction Status],"Completed")+SUMIFS(tblTransactions[Amount],tblTransactions[Transaction Type],"Income",tblTransactions[Source Account],$D47,tblTransactions[Transaction Status],"Reconciled")+SUMIFS(tblTransactions[Amount],tblTransactions[Transaction Type],"Transfer",tblTransactions[Destination Type],"Account",tblTransactions[Destination Name],$D47,tblTransactions[Transaction Status],"Completed")+SUMIFS(tblTransactions[Amount],tblTransactions[Transaction Type],"Transfer",tblTransactions[Destination Type],"Account",tblTransactions[Destination Name],$D47,tblTransactions[Transaction Status],"Reconciled")+SUMIFS(tblTransactions[Amount],tblTransactions[Transaction Type],"Adjustment",tblTransactions[Source Account],$D47,tblTransactions[Transaction Status],"Completed",tblTransactions[Amount],"&gt;0")+SUMIFS(tblTransactions[Amount],tblTransactions[Transaction Type],"Adjustment",tblTransactions[Source Account],$D47,tblTransactions[Transaction Status],"Reconciled",tblTransactions[Amount],"&gt;0"),0))</f>
      </c>
      <c r="G47" s="1">
        <f>IF($D47="","",IFERROR(SUMIFS(tblTransactions[Amount],tblTransactions[Transaction Type],"Expense",tblTransactions[Source Account],$D47,tblTransactions[Transaction Status],"Completed")+SUMIFS(tblTransactions[Amount],tblTransactions[Transaction Type],"Expense",tblTransactions[Source Account],$D47,tblTransactions[Transaction Status],"Reconciled")+SUMIFS(tblTransactions[Amount],tblTransactions[Transaction Type],"Transfer",tblTransactions[Source Account],$D47,tblTransactions[Transaction Status],"Completed")+SUMIFS(tblTransactions[Amount],tblTransactions[Transaction Type],"Transfer",tblTransactions[Source Account],$D47,tblTransactions[Transaction Status],"Reconciled")-SUMIFS(tblTransactions[Amount],tblTransactions[Transaction Type],"Adjustment",tblTransactions[Source Account],$D47,tblTransactions[Transaction Status],"Completed",tblTransactions[Amount],"&lt;0")-SUMIFS(tblTransactions[Amount],tblTransactions[Transaction Type],"Adjustment",tblTransactions[Source Account],$D47,tblTransactions[Transaction Status],"Reconciled",tblTransactions[Amount],"&lt;0"),0))</f>
      </c>
      <c r="H47" s="1">
        <f>IF($D47="","",$E47+$F47-$G47)</f>
      </c>
      <c r="I47" s="4">
        <f>IF($D47="","",IFERROR(LOOKUP(2,1/(((tblTransactions[Source Account]=$D47)+((tblTransactions[Transaction Type]="Transfer")*(tblTransactions[Destination Type]="Account")*(tblTransactions[Destination Name]=$D47)))*((tblTransactions[Transaction Status]="Completed")+(tblTransactions[Transaction Status]="Reconciled"))),tblTransactions[Transaction Date]),""))</f>
      </c>
      <c r="J47" s="1">
        <f>IF($D47="","",IFERROR(INDEX(tblAccounts[Account Type],ROW()-1),""))</f>
      </c>
      <c r="K47" s="1">
        <f>IF($D47="","",IFERROR(INDEX(tblAccounts[Include in Dashboard],ROW()-1),""))</f>
      </c>
      <c r="L47" s="1">
        <f>IF($D47="","",IFERROR(INDEX(tblAccounts[Status],ROW()-1),""))</f>
      </c>
    </row>
    <row r="48">
      <c r="A48" s="1" t="s">
        <v>263</v>
      </c>
      <c r="B48" s="1">
        <f>$B$4+$B$35-$B$42</f>
      </c>
      <c r="D48" s="1">
        <f>IFERROR(IF(INDEX(tblAccounts[Account Name],ROW()-1)="","",INDEX(tblAccounts[Account Name],ROW()-1)),"")</f>
      </c>
      <c r="E48" s="1">
        <f>IF($D48="","",IFERROR(INDEX(tblAccounts[Opening Balance],ROW()-1),0))</f>
      </c>
      <c r="F48" s="1">
        <f>IF($D48="","",IFERROR(SUMIFS(tblTransactions[Amount],tblTransactions[Transaction Type],"Income",tblTransactions[Source Account],$D48,tblTransactions[Transaction Status],"Completed")+SUMIFS(tblTransactions[Amount],tblTransactions[Transaction Type],"Income",tblTransactions[Source Account],$D48,tblTransactions[Transaction Status],"Reconciled")+SUMIFS(tblTransactions[Amount],tblTransactions[Transaction Type],"Transfer",tblTransactions[Destination Type],"Account",tblTransactions[Destination Name],$D48,tblTransactions[Transaction Status],"Completed")+SUMIFS(tblTransactions[Amount],tblTransactions[Transaction Type],"Transfer",tblTransactions[Destination Type],"Account",tblTransactions[Destination Name],$D48,tblTransactions[Transaction Status],"Reconciled")+SUMIFS(tblTransactions[Amount],tblTransactions[Transaction Type],"Adjustment",tblTransactions[Source Account],$D48,tblTransactions[Transaction Status],"Completed",tblTransactions[Amount],"&gt;0")+SUMIFS(tblTransactions[Amount],tblTransactions[Transaction Type],"Adjustment",tblTransactions[Source Account],$D48,tblTransactions[Transaction Status],"Reconciled",tblTransactions[Amount],"&gt;0"),0))</f>
      </c>
      <c r="G48" s="1">
        <f>IF($D48="","",IFERROR(SUMIFS(tblTransactions[Amount],tblTransactions[Transaction Type],"Expense",tblTransactions[Source Account],$D48,tblTransactions[Transaction Status],"Completed")+SUMIFS(tblTransactions[Amount],tblTransactions[Transaction Type],"Expense",tblTransactions[Source Account],$D48,tblTransactions[Transaction Status],"Reconciled")+SUMIFS(tblTransactions[Amount],tblTransactions[Transaction Type],"Transfer",tblTransactions[Source Account],$D48,tblTransactions[Transaction Status],"Completed")+SUMIFS(tblTransactions[Amount],tblTransactions[Transaction Type],"Transfer",tblTransactions[Source Account],$D48,tblTransactions[Transaction Status],"Reconciled")-SUMIFS(tblTransactions[Amount],tblTransactions[Transaction Type],"Adjustment",tblTransactions[Source Account],$D48,tblTransactions[Transaction Status],"Completed",tblTransactions[Amount],"&lt;0")-SUMIFS(tblTransactions[Amount],tblTransactions[Transaction Type],"Adjustment",tblTransactions[Source Account],$D48,tblTransactions[Transaction Status],"Reconciled",tblTransactions[Amount],"&lt;0"),0))</f>
      </c>
      <c r="H48" s="1">
        <f>IF($D48="","",$E48+$F48-$G48)</f>
      </c>
      <c r="I48" s="4">
        <f>IF($D48="","",IFERROR(LOOKUP(2,1/(((tblTransactions[Source Account]=$D48)+((tblTransactions[Transaction Type]="Transfer")*(tblTransactions[Destination Type]="Account")*(tblTransactions[Destination Name]=$D48)))*((tblTransactions[Transaction Status]="Completed")+(tblTransactions[Transaction Status]="Reconciled"))),tblTransactions[Transaction Date]),""))</f>
      </c>
      <c r="J48" s="1">
        <f>IF($D48="","",IFERROR(INDEX(tblAccounts[Account Type],ROW()-1),""))</f>
      </c>
      <c r="K48" s="1">
        <f>IF($D48="","",IFERROR(INDEX(tblAccounts[Include in Dashboard],ROW()-1),""))</f>
      </c>
      <c r="L48" s="1">
        <f>IF($D48="","",IFERROR(INDEX(tblAccounts[Status],ROW()-1),""))</f>
      </c>
    </row>
    <row r="49">
      <c r="A49" s="1" t="s">
        <v>264</v>
      </c>
      <c r="B49" s="1">
        <f>0</f>
      </c>
      <c r="D49" s="1">
        <f>IFERROR(IF(INDEX(tblAccounts[Account Name],ROW()-1)="","",INDEX(tblAccounts[Account Name],ROW()-1)),"")</f>
      </c>
      <c r="E49" s="1">
        <f>IF($D49="","",IFERROR(INDEX(tblAccounts[Opening Balance],ROW()-1),0))</f>
      </c>
      <c r="F49" s="1">
        <f>IF($D49="","",IFERROR(SUMIFS(tblTransactions[Amount],tblTransactions[Transaction Type],"Income",tblTransactions[Source Account],$D49,tblTransactions[Transaction Status],"Completed")+SUMIFS(tblTransactions[Amount],tblTransactions[Transaction Type],"Income",tblTransactions[Source Account],$D49,tblTransactions[Transaction Status],"Reconciled")+SUMIFS(tblTransactions[Amount],tblTransactions[Transaction Type],"Transfer",tblTransactions[Destination Type],"Account",tblTransactions[Destination Name],$D49,tblTransactions[Transaction Status],"Completed")+SUMIFS(tblTransactions[Amount],tblTransactions[Transaction Type],"Transfer",tblTransactions[Destination Type],"Account",tblTransactions[Destination Name],$D49,tblTransactions[Transaction Status],"Reconciled")+SUMIFS(tblTransactions[Amount],tblTransactions[Transaction Type],"Adjustment",tblTransactions[Source Account],$D49,tblTransactions[Transaction Status],"Completed",tblTransactions[Amount],"&gt;0")+SUMIFS(tblTransactions[Amount],tblTransactions[Transaction Type],"Adjustment",tblTransactions[Source Account],$D49,tblTransactions[Transaction Status],"Reconciled",tblTransactions[Amount],"&gt;0"),0))</f>
      </c>
      <c r="G49" s="1">
        <f>IF($D49="","",IFERROR(SUMIFS(tblTransactions[Amount],tblTransactions[Transaction Type],"Expense",tblTransactions[Source Account],$D49,tblTransactions[Transaction Status],"Completed")+SUMIFS(tblTransactions[Amount],tblTransactions[Transaction Type],"Expense",tblTransactions[Source Account],$D49,tblTransactions[Transaction Status],"Reconciled")+SUMIFS(tblTransactions[Amount],tblTransactions[Transaction Type],"Transfer",tblTransactions[Source Account],$D49,tblTransactions[Transaction Status],"Completed")+SUMIFS(tblTransactions[Amount],tblTransactions[Transaction Type],"Transfer",tblTransactions[Source Account],$D49,tblTransactions[Transaction Status],"Reconciled")-SUMIFS(tblTransactions[Amount],tblTransactions[Transaction Type],"Adjustment",tblTransactions[Source Account],$D49,tblTransactions[Transaction Status],"Completed",tblTransactions[Amount],"&lt;0")-SUMIFS(tblTransactions[Amount],tblTransactions[Transaction Type],"Adjustment",tblTransactions[Source Account],$D49,tblTransactions[Transaction Status],"Reconciled",tblTransactions[Amount],"&lt;0"),0))</f>
      </c>
      <c r="H49" s="1">
        <f>IF($D49="","",$E49+$F49-$G49)</f>
      </c>
      <c r="I49" s="4">
        <f>IF($D49="","",IFERROR(LOOKUP(2,1/(((tblTransactions[Source Account]=$D49)+((tblTransactions[Transaction Type]="Transfer")*(tblTransactions[Destination Type]="Account")*(tblTransactions[Destination Name]=$D49)))*((tblTransactions[Transaction Status]="Completed")+(tblTransactions[Transaction Status]="Reconciled"))),tblTransactions[Transaction Date]),""))</f>
      </c>
      <c r="J49" s="1">
        <f>IF($D49="","",IFERROR(INDEX(tblAccounts[Account Type],ROW()-1),""))</f>
      </c>
      <c r="K49" s="1">
        <f>IF($D49="","",IFERROR(INDEX(tblAccounts[Include in Dashboard],ROW()-1),""))</f>
      </c>
      <c r="L49" s="1">
        <f>IF($D49="","",IFERROR(INDEX(tblAccounts[Status],ROW()-1),""))</f>
      </c>
    </row>
    <row r="50">
      <c r="A50" s="1" t="s">
        <v>265</v>
      </c>
      <c r="B50" s="1">
        <f>$B$35</f>
      </c>
      <c r="D50" s="1">
        <f>IFERROR(IF(INDEX(tblAccounts[Account Name],ROW()-1)="","",INDEX(tblAccounts[Account Name],ROW()-1)),"")</f>
      </c>
      <c r="E50" s="1">
        <f>IF($D50="","",IFERROR(INDEX(tblAccounts[Opening Balance],ROW()-1),0))</f>
      </c>
      <c r="F50" s="1">
        <f>IF($D50="","",IFERROR(SUMIFS(tblTransactions[Amount],tblTransactions[Transaction Type],"Income",tblTransactions[Source Account],$D50,tblTransactions[Transaction Status],"Completed")+SUMIFS(tblTransactions[Amount],tblTransactions[Transaction Type],"Income",tblTransactions[Source Account],$D50,tblTransactions[Transaction Status],"Reconciled")+SUMIFS(tblTransactions[Amount],tblTransactions[Transaction Type],"Transfer",tblTransactions[Destination Type],"Account",tblTransactions[Destination Name],$D50,tblTransactions[Transaction Status],"Completed")+SUMIFS(tblTransactions[Amount],tblTransactions[Transaction Type],"Transfer",tblTransactions[Destination Type],"Account",tblTransactions[Destination Name],$D50,tblTransactions[Transaction Status],"Reconciled")+SUMIFS(tblTransactions[Amount],tblTransactions[Transaction Type],"Adjustment",tblTransactions[Source Account],$D50,tblTransactions[Transaction Status],"Completed",tblTransactions[Amount],"&gt;0")+SUMIFS(tblTransactions[Amount],tblTransactions[Transaction Type],"Adjustment",tblTransactions[Source Account],$D50,tblTransactions[Transaction Status],"Reconciled",tblTransactions[Amount],"&gt;0"),0))</f>
      </c>
      <c r="G50" s="1">
        <f>IF($D50="","",IFERROR(SUMIFS(tblTransactions[Amount],tblTransactions[Transaction Type],"Expense",tblTransactions[Source Account],$D50,tblTransactions[Transaction Status],"Completed")+SUMIFS(tblTransactions[Amount],tblTransactions[Transaction Type],"Expense",tblTransactions[Source Account],$D50,tblTransactions[Transaction Status],"Reconciled")+SUMIFS(tblTransactions[Amount],tblTransactions[Transaction Type],"Transfer",tblTransactions[Source Account],$D50,tblTransactions[Transaction Status],"Completed")+SUMIFS(tblTransactions[Amount],tblTransactions[Transaction Type],"Transfer",tblTransactions[Source Account],$D50,tblTransactions[Transaction Status],"Reconciled")-SUMIFS(tblTransactions[Amount],tblTransactions[Transaction Type],"Adjustment",tblTransactions[Source Account],$D50,tblTransactions[Transaction Status],"Completed",tblTransactions[Amount],"&lt;0")-SUMIFS(tblTransactions[Amount],tblTransactions[Transaction Type],"Adjustment",tblTransactions[Source Account],$D50,tblTransactions[Transaction Status],"Reconciled",tblTransactions[Amount],"&lt;0"),0))</f>
      </c>
      <c r="H50" s="1">
        <f>IF($D50="","",$E50+$F50-$G50)</f>
      </c>
      <c r="I50" s="4">
        <f>IF($D50="","",IFERROR(LOOKUP(2,1/(((tblTransactions[Source Account]=$D50)+((tblTransactions[Transaction Type]="Transfer")*(tblTransactions[Destination Type]="Account")*(tblTransactions[Destination Name]=$D50)))*((tblTransactions[Transaction Status]="Completed")+(tblTransactions[Transaction Status]="Reconciled"))),tblTransactions[Transaction Date]),""))</f>
      </c>
      <c r="J50" s="1">
        <f>IF($D50="","",IFERROR(INDEX(tblAccounts[Account Type],ROW()-1),""))</f>
      </c>
      <c r="K50" s="1">
        <f>IF($D50="","",IFERROR(INDEX(tblAccounts[Include in Dashboard],ROW()-1),""))</f>
      </c>
      <c r="L50" s="1">
        <f>IF($D50="","",IFERROR(INDEX(tblAccounts[Status],ROW()-1),""))</f>
      </c>
    </row>
    <row r="51">
      <c r="D51" s="1">
        <f>IFERROR(IF(INDEX(tblAccounts[Account Name],ROW()-1)="","",INDEX(tblAccounts[Account Name],ROW()-1)),"")</f>
      </c>
      <c r="E51" s="1">
        <f>IF($D51="","",IFERROR(INDEX(tblAccounts[Opening Balance],ROW()-1),0))</f>
      </c>
      <c r="F51" s="1">
        <f>IF($D51="","",IFERROR(SUMIFS(tblTransactions[Amount],tblTransactions[Transaction Type],"Income",tblTransactions[Source Account],$D51,tblTransactions[Transaction Status],"Completed")+SUMIFS(tblTransactions[Amount],tblTransactions[Transaction Type],"Income",tblTransactions[Source Account],$D51,tblTransactions[Transaction Status],"Reconciled")+SUMIFS(tblTransactions[Amount],tblTransactions[Transaction Type],"Transfer",tblTransactions[Destination Type],"Account",tblTransactions[Destination Name],$D51,tblTransactions[Transaction Status],"Completed")+SUMIFS(tblTransactions[Amount],tblTransactions[Transaction Type],"Transfer",tblTransactions[Destination Type],"Account",tblTransactions[Destination Name],$D51,tblTransactions[Transaction Status],"Reconciled")+SUMIFS(tblTransactions[Amount],tblTransactions[Transaction Type],"Adjustment",tblTransactions[Source Account],$D51,tblTransactions[Transaction Status],"Completed",tblTransactions[Amount],"&gt;0")+SUMIFS(tblTransactions[Amount],tblTransactions[Transaction Type],"Adjustment",tblTransactions[Source Account],$D51,tblTransactions[Transaction Status],"Reconciled",tblTransactions[Amount],"&gt;0"),0))</f>
      </c>
      <c r="G51" s="1">
        <f>IF($D51="","",IFERROR(SUMIFS(tblTransactions[Amount],tblTransactions[Transaction Type],"Expense",tblTransactions[Source Account],$D51,tblTransactions[Transaction Status],"Completed")+SUMIFS(tblTransactions[Amount],tblTransactions[Transaction Type],"Expense",tblTransactions[Source Account],$D51,tblTransactions[Transaction Status],"Reconciled")+SUMIFS(tblTransactions[Amount],tblTransactions[Transaction Type],"Transfer",tblTransactions[Source Account],$D51,tblTransactions[Transaction Status],"Completed")+SUMIFS(tblTransactions[Amount],tblTransactions[Transaction Type],"Transfer",tblTransactions[Source Account],$D51,tblTransactions[Transaction Status],"Reconciled")-SUMIFS(tblTransactions[Amount],tblTransactions[Transaction Type],"Adjustment",tblTransactions[Source Account],$D51,tblTransactions[Transaction Status],"Completed",tblTransactions[Amount],"&lt;0")-SUMIFS(tblTransactions[Amount],tblTransactions[Transaction Type],"Adjustment",tblTransactions[Source Account],$D51,tblTransactions[Transaction Status],"Reconciled",tblTransactions[Amount],"&lt;0"),0))</f>
      </c>
      <c r="H51" s="1">
        <f>IF($D51="","",$E51+$F51-$G51)</f>
      </c>
      <c r="I51" s="4">
        <f>IF($D51="","",IFERROR(LOOKUP(2,1/(((tblTransactions[Source Account]=$D51)+((tblTransactions[Transaction Type]="Transfer")*(tblTransactions[Destination Type]="Account")*(tblTransactions[Destination Name]=$D51)))*((tblTransactions[Transaction Status]="Completed")+(tblTransactions[Transaction Status]="Reconciled"))),tblTransactions[Transaction Date]),""))</f>
      </c>
      <c r="J51" s="1">
        <f>IF($D51="","",IFERROR(INDEX(tblAccounts[Account Type],ROW()-1),""))</f>
      </c>
      <c r="K51" s="1">
        <f>IF($D51="","",IFERROR(INDEX(tblAccounts[Include in Dashboard],ROW()-1),""))</f>
      </c>
      <c r="L51" s="1">
        <f>IF($D51="","",IFERROR(INDEX(tblAccounts[Status],ROW()-1),""))</f>
      </c>
    </row>
    <row r="52">
      <c r="A52" s="1" t="s">
        <v>266</v>
      </c>
      <c r="D52" s="1">
        <f>IFERROR(IF(INDEX(tblAccounts[Account Name],ROW()-1)="","",INDEX(tblAccounts[Account Name],ROW()-1)),"")</f>
      </c>
      <c r="E52" s="1">
        <f>IF($D52="","",IFERROR(INDEX(tblAccounts[Opening Balance],ROW()-1),0))</f>
      </c>
      <c r="F52" s="1">
        <f>IF($D52="","",IFERROR(SUMIFS(tblTransactions[Amount],tblTransactions[Transaction Type],"Income",tblTransactions[Source Account],$D52,tblTransactions[Transaction Status],"Completed")+SUMIFS(tblTransactions[Amount],tblTransactions[Transaction Type],"Income",tblTransactions[Source Account],$D52,tblTransactions[Transaction Status],"Reconciled")+SUMIFS(tblTransactions[Amount],tblTransactions[Transaction Type],"Transfer",tblTransactions[Destination Type],"Account",tblTransactions[Destination Name],$D52,tblTransactions[Transaction Status],"Completed")+SUMIFS(tblTransactions[Amount],tblTransactions[Transaction Type],"Transfer",tblTransactions[Destination Type],"Account",tblTransactions[Destination Name],$D52,tblTransactions[Transaction Status],"Reconciled")+SUMIFS(tblTransactions[Amount],tblTransactions[Transaction Type],"Adjustment",tblTransactions[Source Account],$D52,tblTransactions[Transaction Status],"Completed",tblTransactions[Amount],"&gt;0")+SUMIFS(tblTransactions[Amount],tblTransactions[Transaction Type],"Adjustment",tblTransactions[Source Account],$D52,tblTransactions[Transaction Status],"Reconciled",tblTransactions[Amount],"&gt;0"),0))</f>
      </c>
      <c r="G52" s="1">
        <f>IF($D52="","",IFERROR(SUMIFS(tblTransactions[Amount],tblTransactions[Transaction Type],"Expense",tblTransactions[Source Account],$D52,tblTransactions[Transaction Status],"Completed")+SUMIFS(tblTransactions[Amount],tblTransactions[Transaction Type],"Expense",tblTransactions[Source Account],$D52,tblTransactions[Transaction Status],"Reconciled")+SUMIFS(tblTransactions[Amount],tblTransactions[Transaction Type],"Transfer",tblTransactions[Source Account],$D52,tblTransactions[Transaction Status],"Completed")+SUMIFS(tblTransactions[Amount],tblTransactions[Transaction Type],"Transfer",tblTransactions[Source Account],$D52,tblTransactions[Transaction Status],"Reconciled")-SUMIFS(tblTransactions[Amount],tblTransactions[Transaction Type],"Adjustment",tblTransactions[Source Account],$D52,tblTransactions[Transaction Status],"Completed",tblTransactions[Amount],"&lt;0")-SUMIFS(tblTransactions[Amount],tblTransactions[Transaction Type],"Adjustment",tblTransactions[Source Account],$D52,tblTransactions[Transaction Status],"Reconciled",tblTransactions[Amount],"&lt;0"),0))</f>
      </c>
      <c r="H52" s="1">
        <f>IF($D52="","",$E52+$F52-$G52)</f>
      </c>
      <c r="I52" s="4">
        <f>IF($D52="","",IFERROR(LOOKUP(2,1/(((tblTransactions[Source Account]=$D52)+((tblTransactions[Transaction Type]="Transfer")*(tblTransactions[Destination Type]="Account")*(tblTransactions[Destination Name]=$D52)))*((tblTransactions[Transaction Status]="Completed")+(tblTransactions[Transaction Status]="Reconciled"))),tblTransactions[Transaction Date]),""))</f>
      </c>
      <c r="J52" s="1">
        <f>IF($D52="","",IFERROR(INDEX(tblAccounts[Account Type],ROW()-1),""))</f>
      </c>
      <c r="K52" s="1">
        <f>IF($D52="","",IFERROR(INDEX(tblAccounts[Include in Dashboard],ROW()-1),""))</f>
      </c>
      <c r="L52" s="1">
        <f>IF($D52="","",IFERROR(INDEX(tblAccounts[Status],ROW()-1),""))</f>
      </c>
    </row>
    <row r="53">
      <c r="A53" s="1" t="s">
        <v>267</v>
      </c>
      <c r="B53" s="1">
        <f>IFERROR(SUMIFS(tblGoals[Target Amount],tblGoals[Goal Status],"Active")+SUMIFS(tblGoals[Target Amount],tblGoals[Goal Status],"Completed"),0)</f>
      </c>
      <c r="D53" s="1">
        <f>IFERROR(IF(INDEX(tblAccounts[Account Name],ROW()-1)="","",INDEX(tblAccounts[Account Name],ROW()-1)),"")</f>
      </c>
      <c r="E53" s="1">
        <f>IF($D53="","",IFERROR(INDEX(tblAccounts[Opening Balance],ROW()-1),0))</f>
      </c>
      <c r="F53" s="1">
        <f>IF($D53="","",IFERROR(SUMIFS(tblTransactions[Amount],tblTransactions[Transaction Type],"Income",tblTransactions[Source Account],$D53,tblTransactions[Transaction Status],"Completed")+SUMIFS(tblTransactions[Amount],tblTransactions[Transaction Type],"Income",tblTransactions[Source Account],$D53,tblTransactions[Transaction Status],"Reconciled")+SUMIFS(tblTransactions[Amount],tblTransactions[Transaction Type],"Transfer",tblTransactions[Destination Type],"Account",tblTransactions[Destination Name],$D53,tblTransactions[Transaction Status],"Completed")+SUMIFS(tblTransactions[Amount],tblTransactions[Transaction Type],"Transfer",tblTransactions[Destination Type],"Account",tblTransactions[Destination Name],$D53,tblTransactions[Transaction Status],"Reconciled")+SUMIFS(tblTransactions[Amount],tblTransactions[Transaction Type],"Adjustment",tblTransactions[Source Account],$D53,tblTransactions[Transaction Status],"Completed",tblTransactions[Amount],"&gt;0")+SUMIFS(tblTransactions[Amount],tblTransactions[Transaction Type],"Adjustment",tblTransactions[Source Account],$D53,tblTransactions[Transaction Status],"Reconciled",tblTransactions[Amount],"&gt;0"),0))</f>
      </c>
      <c r="G53" s="1">
        <f>IF($D53="","",IFERROR(SUMIFS(tblTransactions[Amount],tblTransactions[Transaction Type],"Expense",tblTransactions[Source Account],$D53,tblTransactions[Transaction Status],"Completed")+SUMIFS(tblTransactions[Amount],tblTransactions[Transaction Type],"Expense",tblTransactions[Source Account],$D53,tblTransactions[Transaction Status],"Reconciled")+SUMIFS(tblTransactions[Amount],tblTransactions[Transaction Type],"Transfer",tblTransactions[Source Account],$D53,tblTransactions[Transaction Status],"Completed")+SUMIFS(tblTransactions[Amount],tblTransactions[Transaction Type],"Transfer",tblTransactions[Source Account],$D53,tblTransactions[Transaction Status],"Reconciled")-SUMIFS(tblTransactions[Amount],tblTransactions[Transaction Type],"Adjustment",tblTransactions[Source Account],$D53,tblTransactions[Transaction Status],"Completed",tblTransactions[Amount],"&lt;0")-SUMIFS(tblTransactions[Amount],tblTransactions[Transaction Type],"Adjustment",tblTransactions[Source Account],$D53,tblTransactions[Transaction Status],"Reconciled",tblTransactions[Amount],"&lt;0"),0))</f>
      </c>
      <c r="H53" s="1">
        <f>IF($D53="","",$E53+$F53-$G53)</f>
      </c>
      <c r="I53" s="4">
        <f>IF($D53="","",IFERROR(LOOKUP(2,1/(((tblTransactions[Source Account]=$D53)+((tblTransactions[Transaction Type]="Transfer")*(tblTransactions[Destination Type]="Account")*(tblTransactions[Destination Name]=$D53)))*((tblTransactions[Transaction Status]="Completed")+(tblTransactions[Transaction Status]="Reconciled"))),tblTransactions[Transaction Date]),""))</f>
      </c>
      <c r="J53" s="1">
        <f>IF($D53="","",IFERROR(INDEX(tblAccounts[Account Type],ROW()-1),""))</f>
      </c>
      <c r="K53" s="1">
        <f>IF($D53="","",IFERROR(INDEX(tblAccounts[Include in Dashboard],ROW()-1),""))</f>
      </c>
      <c r="L53" s="1">
        <f>IF($D53="","",IFERROR(INDEX(tblAccounts[Status],ROW()-1),""))</f>
      </c>
    </row>
    <row r="54">
      <c r="A54" s="1" t="s">
        <v>268</v>
      </c>
      <c r="B54" s="1">
        <f>IFERROR(SUMIFS(tblGoals[Current Saved Amount],tblGoals[Goal Status],"Active")+SUMIFS(tblGoals[Current Saved Amount],tblGoals[Goal Status],"Completed"),0)</f>
      </c>
      <c r="D54" s="1">
        <f>IFERROR(IF(INDEX(tblAccounts[Account Name],ROW()-1)="","",INDEX(tblAccounts[Account Name],ROW()-1)),"")</f>
      </c>
      <c r="E54" s="1">
        <f>IF($D54="","",IFERROR(INDEX(tblAccounts[Opening Balance],ROW()-1),0))</f>
      </c>
      <c r="F54" s="1">
        <f>IF($D54="","",IFERROR(SUMIFS(tblTransactions[Amount],tblTransactions[Transaction Type],"Income",tblTransactions[Source Account],$D54,tblTransactions[Transaction Status],"Completed")+SUMIFS(tblTransactions[Amount],tblTransactions[Transaction Type],"Income",tblTransactions[Source Account],$D54,tblTransactions[Transaction Status],"Reconciled")+SUMIFS(tblTransactions[Amount],tblTransactions[Transaction Type],"Transfer",tblTransactions[Destination Type],"Account",tblTransactions[Destination Name],$D54,tblTransactions[Transaction Status],"Completed")+SUMIFS(tblTransactions[Amount],tblTransactions[Transaction Type],"Transfer",tblTransactions[Destination Type],"Account",tblTransactions[Destination Name],$D54,tblTransactions[Transaction Status],"Reconciled")+SUMIFS(tblTransactions[Amount],tblTransactions[Transaction Type],"Adjustment",tblTransactions[Source Account],$D54,tblTransactions[Transaction Status],"Completed",tblTransactions[Amount],"&gt;0")+SUMIFS(tblTransactions[Amount],tblTransactions[Transaction Type],"Adjustment",tblTransactions[Source Account],$D54,tblTransactions[Transaction Status],"Reconciled",tblTransactions[Amount],"&gt;0"),0))</f>
      </c>
      <c r="G54" s="1">
        <f>IF($D54="","",IFERROR(SUMIFS(tblTransactions[Amount],tblTransactions[Transaction Type],"Expense",tblTransactions[Source Account],$D54,tblTransactions[Transaction Status],"Completed")+SUMIFS(tblTransactions[Amount],tblTransactions[Transaction Type],"Expense",tblTransactions[Source Account],$D54,tblTransactions[Transaction Status],"Reconciled")+SUMIFS(tblTransactions[Amount],tblTransactions[Transaction Type],"Transfer",tblTransactions[Source Account],$D54,tblTransactions[Transaction Status],"Completed")+SUMIFS(tblTransactions[Amount],tblTransactions[Transaction Type],"Transfer",tblTransactions[Source Account],$D54,tblTransactions[Transaction Status],"Reconciled")-SUMIFS(tblTransactions[Amount],tblTransactions[Transaction Type],"Adjustment",tblTransactions[Source Account],$D54,tblTransactions[Transaction Status],"Completed",tblTransactions[Amount],"&lt;0")-SUMIFS(tblTransactions[Amount],tblTransactions[Transaction Type],"Adjustment",tblTransactions[Source Account],$D54,tblTransactions[Transaction Status],"Reconciled",tblTransactions[Amount],"&lt;0"),0))</f>
      </c>
      <c r="H54" s="1">
        <f>IF($D54="","",$E54+$F54-$G54)</f>
      </c>
      <c r="I54" s="4">
        <f>IF($D54="","",IFERROR(LOOKUP(2,1/(((tblTransactions[Source Account]=$D54)+((tblTransactions[Transaction Type]="Transfer")*(tblTransactions[Destination Type]="Account")*(tblTransactions[Destination Name]=$D54)))*((tblTransactions[Transaction Status]="Completed")+(tblTransactions[Transaction Status]="Reconciled"))),tblTransactions[Transaction Date]),""))</f>
      </c>
      <c r="J54" s="1">
        <f>IF($D54="","",IFERROR(INDEX(tblAccounts[Account Type],ROW()-1),""))</f>
      </c>
      <c r="K54" s="1">
        <f>IF($D54="","",IFERROR(INDEX(tblAccounts[Include in Dashboard],ROW()-1),""))</f>
      </c>
      <c r="L54" s="1">
        <f>IF($D54="","",IFERROR(INDEX(tblAccounts[Status],ROW()-1),""))</f>
      </c>
    </row>
    <row r="55">
      <c r="A55" s="1" t="s">
        <v>269</v>
      </c>
      <c r="B55" s="1">
        <f>IFERROR(SUMIFS(tblGoals[Remaining Amount],tblGoals[Goal Status],"Active"),0)</f>
      </c>
      <c r="D55" s="1">
        <f>IFERROR(IF(INDEX(tblAccounts[Account Name],ROW()-1)="","",INDEX(tblAccounts[Account Name],ROW()-1)),"")</f>
      </c>
      <c r="E55" s="1">
        <f>IF($D55="","",IFERROR(INDEX(tblAccounts[Opening Balance],ROW()-1),0))</f>
      </c>
      <c r="F55" s="1">
        <f>IF($D55="","",IFERROR(SUMIFS(tblTransactions[Amount],tblTransactions[Transaction Type],"Income",tblTransactions[Source Account],$D55,tblTransactions[Transaction Status],"Completed")+SUMIFS(tblTransactions[Amount],tblTransactions[Transaction Type],"Income",tblTransactions[Source Account],$D55,tblTransactions[Transaction Status],"Reconciled")+SUMIFS(tblTransactions[Amount],tblTransactions[Transaction Type],"Transfer",tblTransactions[Destination Type],"Account",tblTransactions[Destination Name],$D55,tblTransactions[Transaction Status],"Completed")+SUMIFS(tblTransactions[Amount],tblTransactions[Transaction Type],"Transfer",tblTransactions[Destination Type],"Account",tblTransactions[Destination Name],$D55,tblTransactions[Transaction Status],"Reconciled")+SUMIFS(tblTransactions[Amount],tblTransactions[Transaction Type],"Adjustment",tblTransactions[Source Account],$D55,tblTransactions[Transaction Status],"Completed",tblTransactions[Amount],"&gt;0")+SUMIFS(tblTransactions[Amount],tblTransactions[Transaction Type],"Adjustment",tblTransactions[Source Account],$D55,tblTransactions[Transaction Status],"Reconciled",tblTransactions[Amount],"&gt;0"),0))</f>
      </c>
      <c r="G55" s="1">
        <f>IF($D55="","",IFERROR(SUMIFS(tblTransactions[Amount],tblTransactions[Transaction Type],"Expense",tblTransactions[Source Account],$D55,tblTransactions[Transaction Status],"Completed")+SUMIFS(tblTransactions[Amount],tblTransactions[Transaction Type],"Expense",tblTransactions[Source Account],$D55,tblTransactions[Transaction Status],"Reconciled")+SUMIFS(tblTransactions[Amount],tblTransactions[Transaction Type],"Transfer",tblTransactions[Source Account],$D55,tblTransactions[Transaction Status],"Completed")+SUMIFS(tblTransactions[Amount],tblTransactions[Transaction Type],"Transfer",tblTransactions[Source Account],$D55,tblTransactions[Transaction Status],"Reconciled")-SUMIFS(tblTransactions[Amount],tblTransactions[Transaction Type],"Adjustment",tblTransactions[Source Account],$D55,tblTransactions[Transaction Status],"Completed",tblTransactions[Amount],"&lt;0")-SUMIFS(tblTransactions[Amount],tblTransactions[Transaction Type],"Adjustment",tblTransactions[Source Account],$D55,tblTransactions[Transaction Status],"Reconciled",tblTransactions[Amount],"&lt;0"),0))</f>
      </c>
      <c r="H55" s="1">
        <f>IF($D55="","",$E55+$F55-$G55)</f>
      </c>
      <c r="I55" s="4">
        <f>IF($D55="","",IFERROR(LOOKUP(2,1/(((tblTransactions[Source Account]=$D55)+((tblTransactions[Transaction Type]="Transfer")*(tblTransactions[Destination Type]="Account")*(tblTransactions[Destination Name]=$D55)))*((tblTransactions[Transaction Status]="Completed")+(tblTransactions[Transaction Status]="Reconciled"))),tblTransactions[Transaction Date]),""))</f>
      </c>
      <c r="J55" s="1">
        <f>IF($D55="","",IFERROR(INDEX(tblAccounts[Account Type],ROW()-1),""))</f>
      </c>
      <c r="K55" s="1">
        <f>IF($D55="","",IFERROR(INDEX(tblAccounts[Include in Dashboard],ROW()-1),""))</f>
      </c>
      <c r="L55" s="1">
        <f>IF($D55="","",IFERROR(INDEX(tblAccounts[Status],ROW()-1),""))</f>
      </c>
    </row>
    <row r="56">
      <c r="A56" s="1" t="s">
        <v>270</v>
      </c>
      <c r="B56" s="1">
        <f>COUNTIFS(tblGoals[Goal Status],"Active")</f>
      </c>
      <c r="D56" s="1">
        <f>IFERROR(IF(INDEX(tblAccounts[Account Name],ROW()-1)="","",INDEX(tblAccounts[Account Name],ROW()-1)),"")</f>
      </c>
      <c r="E56" s="1">
        <f>IF($D56="","",IFERROR(INDEX(tblAccounts[Opening Balance],ROW()-1),0))</f>
      </c>
      <c r="F56" s="1">
        <f>IF($D56="","",IFERROR(SUMIFS(tblTransactions[Amount],tblTransactions[Transaction Type],"Income",tblTransactions[Source Account],$D56,tblTransactions[Transaction Status],"Completed")+SUMIFS(tblTransactions[Amount],tblTransactions[Transaction Type],"Income",tblTransactions[Source Account],$D56,tblTransactions[Transaction Status],"Reconciled")+SUMIFS(tblTransactions[Amount],tblTransactions[Transaction Type],"Transfer",tblTransactions[Destination Type],"Account",tblTransactions[Destination Name],$D56,tblTransactions[Transaction Status],"Completed")+SUMIFS(tblTransactions[Amount],tblTransactions[Transaction Type],"Transfer",tblTransactions[Destination Type],"Account",tblTransactions[Destination Name],$D56,tblTransactions[Transaction Status],"Reconciled")+SUMIFS(tblTransactions[Amount],tblTransactions[Transaction Type],"Adjustment",tblTransactions[Source Account],$D56,tblTransactions[Transaction Status],"Completed",tblTransactions[Amount],"&gt;0")+SUMIFS(tblTransactions[Amount],tblTransactions[Transaction Type],"Adjustment",tblTransactions[Source Account],$D56,tblTransactions[Transaction Status],"Reconciled",tblTransactions[Amount],"&gt;0"),0))</f>
      </c>
      <c r="G56" s="1">
        <f>IF($D56="","",IFERROR(SUMIFS(tblTransactions[Amount],tblTransactions[Transaction Type],"Expense",tblTransactions[Source Account],$D56,tblTransactions[Transaction Status],"Completed")+SUMIFS(tblTransactions[Amount],tblTransactions[Transaction Type],"Expense",tblTransactions[Source Account],$D56,tblTransactions[Transaction Status],"Reconciled")+SUMIFS(tblTransactions[Amount],tblTransactions[Transaction Type],"Transfer",tblTransactions[Source Account],$D56,tblTransactions[Transaction Status],"Completed")+SUMIFS(tblTransactions[Amount],tblTransactions[Transaction Type],"Transfer",tblTransactions[Source Account],$D56,tblTransactions[Transaction Status],"Reconciled")-SUMIFS(tblTransactions[Amount],tblTransactions[Transaction Type],"Adjustment",tblTransactions[Source Account],$D56,tblTransactions[Transaction Status],"Completed",tblTransactions[Amount],"&lt;0")-SUMIFS(tblTransactions[Amount],tblTransactions[Transaction Type],"Adjustment",tblTransactions[Source Account],$D56,tblTransactions[Transaction Status],"Reconciled",tblTransactions[Amount],"&lt;0"),0))</f>
      </c>
      <c r="H56" s="1">
        <f>IF($D56="","",$E56+$F56-$G56)</f>
      </c>
      <c r="I56" s="4">
        <f>IF($D56="","",IFERROR(LOOKUP(2,1/(((tblTransactions[Source Account]=$D56)+((tblTransactions[Transaction Type]="Transfer")*(tblTransactions[Destination Type]="Account")*(tblTransactions[Destination Name]=$D56)))*((tblTransactions[Transaction Status]="Completed")+(tblTransactions[Transaction Status]="Reconciled"))),tblTransactions[Transaction Date]),""))</f>
      </c>
      <c r="J56" s="1">
        <f>IF($D56="","",IFERROR(INDEX(tblAccounts[Account Type],ROW()-1),""))</f>
      </c>
      <c r="K56" s="1">
        <f>IF($D56="","",IFERROR(INDEX(tblAccounts[Include in Dashboard],ROW()-1),""))</f>
      </c>
      <c r="L56" s="1">
        <f>IF($D56="","",IFERROR(INDEX(tblAccounts[Status],ROW()-1),""))</f>
      </c>
    </row>
    <row r="57">
      <c r="A57" s="1" t="s">
        <v>271</v>
      </c>
      <c r="B57" s="1">
        <f>COUNTIFS(tblGoals[Goal Status],"Completed")</f>
      </c>
      <c r="D57" s="1">
        <f>IFERROR(IF(INDEX(tblAccounts[Account Name],ROW()-1)="","",INDEX(tblAccounts[Account Name],ROW()-1)),"")</f>
      </c>
      <c r="E57" s="1">
        <f>IF($D57="","",IFERROR(INDEX(tblAccounts[Opening Balance],ROW()-1),0))</f>
      </c>
      <c r="F57" s="1">
        <f>IF($D57="","",IFERROR(SUMIFS(tblTransactions[Amount],tblTransactions[Transaction Type],"Income",tblTransactions[Source Account],$D57,tblTransactions[Transaction Status],"Completed")+SUMIFS(tblTransactions[Amount],tblTransactions[Transaction Type],"Income",tblTransactions[Source Account],$D57,tblTransactions[Transaction Status],"Reconciled")+SUMIFS(tblTransactions[Amount],tblTransactions[Transaction Type],"Transfer",tblTransactions[Destination Type],"Account",tblTransactions[Destination Name],$D57,tblTransactions[Transaction Status],"Completed")+SUMIFS(tblTransactions[Amount],tblTransactions[Transaction Type],"Transfer",tblTransactions[Destination Type],"Account",tblTransactions[Destination Name],$D57,tblTransactions[Transaction Status],"Reconciled")+SUMIFS(tblTransactions[Amount],tblTransactions[Transaction Type],"Adjustment",tblTransactions[Source Account],$D57,tblTransactions[Transaction Status],"Completed",tblTransactions[Amount],"&gt;0")+SUMIFS(tblTransactions[Amount],tblTransactions[Transaction Type],"Adjustment",tblTransactions[Source Account],$D57,tblTransactions[Transaction Status],"Reconciled",tblTransactions[Amount],"&gt;0"),0))</f>
      </c>
      <c r="G57" s="1">
        <f>IF($D57="","",IFERROR(SUMIFS(tblTransactions[Amount],tblTransactions[Transaction Type],"Expense",tblTransactions[Source Account],$D57,tblTransactions[Transaction Status],"Completed")+SUMIFS(tblTransactions[Amount],tblTransactions[Transaction Type],"Expense",tblTransactions[Source Account],$D57,tblTransactions[Transaction Status],"Reconciled")+SUMIFS(tblTransactions[Amount],tblTransactions[Transaction Type],"Transfer",tblTransactions[Source Account],$D57,tblTransactions[Transaction Status],"Completed")+SUMIFS(tblTransactions[Amount],tblTransactions[Transaction Type],"Transfer",tblTransactions[Source Account],$D57,tblTransactions[Transaction Status],"Reconciled")-SUMIFS(tblTransactions[Amount],tblTransactions[Transaction Type],"Adjustment",tblTransactions[Source Account],$D57,tblTransactions[Transaction Status],"Completed",tblTransactions[Amount],"&lt;0")-SUMIFS(tblTransactions[Amount],tblTransactions[Transaction Type],"Adjustment",tblTransactions[Source Account],$D57,tblTransactions[Transaction Status],"Reconciled",tblTransactions[Amount],"&lt;0"),0))</f>
      </c>
      <c r="H57" s="1">
        <f>IF($D57="","",$E57+$F57-$G57)</f>
      </c>
      <c r="I57" s="4">
        <f>IF($D57="","",IFERROR(LOOKUP(2,1/(((tblTransactions[Source Account]=$D57)+((tblTransactions[Transaction Type]="Transfer")*(tblTransactions[Destination Type]="Account")*(tblTransactions[Destination Name]=$D57)))*((tblTransactions[Transaction Status]="Completed")+(tblTransactions[Transaction Status]="Reconciled"))),tblTransactions[Transaction Date]),""))</f>
      </c>
      <c r="J57" s="1">
        <f>IF($D57="","",IFERROR(INDEX(tblAccounts[Account Type],ROW()-1),""))</f>
      </c>
      <c r="K57" s="1">
        <f>IF($D57="","",IFERROR(INDEX(tblAccounts[Include in Dashboard],ROW()-1),""))</f>
      </c>
      <c r="L57" s="1">
        <f>IF($D57="","",IFERROR(INDEX(tblAccounts[Status],ROW()-1),""))</f>
      </c>
    </row>
    <row r="58">
      <c r="A58" s="1" t="s">
        <v>272</v>
      </c>
      <c r="B58" s="1">
        <f>IFERROR($B$54/$B$53,0)</f>
      </c>
      <c r="D58" s="1">
        <f>IFERROR(IF(INDEX(tblAccounts[Account Name],ROW()-1)="","",INDEX(tblAccounts[Account Name],ROW()-1)),"")</f>
      </c>
      <c r="E58" s="1">
        <f>IF($D58="","",IFERROR(INDEX(tblAccounts[Opening Balance],ROW()-1),0))</f>
      </c>
      <c r="F58" s="1">
        <f>IF($D58="","",IFERROR(SUMIFS(tblTransactions[Amount],tblTransactions[Transaction Type],"Income",tblTransactions[Source Account],$D58,tblTransactions[Transaction Status],"Completed")+SUMIFS(tblTransactions[Amount],tblTransactions[Transaction Type],"Income",tblTransactions[Source Account],$D58,tblTransactions[Transaction Status],"Reconciled")+SUMIFS(tblTransactions[Amount],tblTransactions[Transaction Type],"Transfer",tblTransactions[Destination Type],"Account",tblTransactions[Destination Name],$D58,tblTransactions[Transaction Status],"Completed")+SUMIFS(tblTransactions[Amount],tblTransactions[Transaction Type],"Transfer",tblTransactions[Destination Type],"Account",tblTransactions[Destination Name],$D58,tblTransactions[Transaction Status],"Reconciled")+SUMIFS(tblTransactions[Amount],tblTransactions[Transaction Type],"Adjustment",tblTransactions[Source Account],$D58,tblTransactions[Transaction Status],"Completed",tblTransactions[Amount],"&gt;0")+SUMIFS(tblTransactions[Amount],tblTransactions[Transaction Type],"Adjustment",tblTransactions[Source Account],$D58,tblTransactions[Transaction Status],"Reconciled",tblTransactions[Amount],"&gt;0"),0))</f>
      </c>
      <c r="G58" s="1">
        <f>IF($D58="","",IFERROR(SUMIFS(tblTransactions[Amount],tblTransactions[Transaction Type],"Expense",tblTransactions[Source Account],$D58,tblTransactions[Transaction Status],"Completed")+SUMIFS(tblTransactions[Amount],tblTransactions[Transaction Type],"Expense",tblTransactions[Source Account],$D58,tblTransactions[Transaction Status],"Reconciled")+SUMIFS(tblTransactions[Amount],tblTransactions[Transaction Type],"Transfer",tblTransactions[Source Account],$D58,tblTransactions[Transaction Status],"Completed")+SUMIFS(tblTransactions[Amount],tblTransactions[Transaction Type],"Transfer",tblTransactions[Source Account],$D58,tblTransactions[Transaction Status],"Reconciled")-SUMIFS(tblTransactions[Amount],tblTransactions[Transaction Type],"Adjustment",tblTransactions[Source Account],$D58,tblTransactions[Transaction Status],"Completed",tblTransactions[Amount],"&lt;0")-SUMIFS(tblTransactions[Amount],tblTransactions[Transaction Type],"Adjustment",tblTransactions[Source Account],$D58,tblTransactions[Transaction Status],"Reconciled",tblTransactions[Amount],"&lt;0"),0))</f>
      </c>
      <c r="H58" s="1">
        <f>IF($D58="","",$E58+$F58-$G58)</f>
      </c>
      <c r="I58" s="4">
        <f>IF($D58="","",IFERROR(LOOKUP(2,1/(((tblTransactions[Source Account]=$D58)+((tblTransactions[Transaction Type]="Transfer")*(tblTransactions[Destination Type]="Account")*(tblTransactions[Destination Name]=$D58)))*((tblTransactions[Transaction Status]="Completed")+(tblTransactions[Transaction Status]="Reconciled"))),tblTransactions[Transaction Date]),""))</f>
      </c>
      <c r="J58" s="1">
        <f>IF($D58="","",IFERROR(INDEX(tblAccounts[Account Type],ROW()-1),""))</f>
      </c>
      <c r="K58" s="1">
        <f>IF($D58="","",IFERROR(INDEX(tblAccounts[Include in Dashboard],ROW()-1),""))</f>
      </c>
      <c r="L58" s="1">
        <f>IF($D58="","",IFERROR(INDEX(tblAccounts[Status],ROW()-1),""))</f>
      </c>
    </row>
    <row r="59">
      <c r="D59" s="1">
        <f>IFERROR(IF(INDEX(tblAccounts[Account Name],ROW()-1)="","",INDEX(tblAccounts[Account Name],ROW()-1)),"")</f>
      </c>
      <c r="E59" s="1">
        <f>IF($D59="","",IFERROR(INDEX(tblAccounts[Opening Balance],ROW()-1),0))</f>
      </c>
      <c r="F59" s="1">
        <f>IF($D59="","",IFERROR(SUMIFS(tblTransactions[Amount],tblTransactions[Transaction Type],"Income",tblTransactions[Source Account],$D59,tblTransactions[Transaction Status],"Completed")+SUMIFS(tblTransactions[Amount],tblTransactions[Transaction Type],"Income",tblTransactions[Source Account],$D59,tblTransactions[Transaction Status],"Reconciled")+SUMIFS(tblTransactions[Amount],tblTransactions[Transaction Type],"Transfer",tblTransactions[Destination Type],"Account",tblTransactions[Destination Name],$D59,tblTransactions[Transaction Status],"Completed")+SUMIFS(tblTransactions[Amount],tblTransactions[Transaction Type],"Transfer",tblTransactions[Destination Type],"Account",tblTransactions[Destination Name],$D59,tblTransactions[Transaction Status],"Reconciled")+SUMIFS(tblTransactions[Amount],tblTransactions[Transaction Type],"Adjustment",tblTransactions[Source Account],$D59,tblTransactions[Transaction Status],"Completed",tblTransactions[Amount],"&gt;0")+SUMIFS(tblTransactions[Amount],tblTransactions[Transaction Type],"Adjustment",tblTransactions[Source Account],$D59,tblTransactions[Transaction Status],"Reconciled",tblTransactions[Amount],"&gt;0"),0))</f>
      </c>
      <c r="G59" s="1">
        <f>IF($D59="","",IFERROR(SUMIFS(tblTransactions[Amount],tblTransactions[Transaction Type],"Expense",tblTransactions[Source Account],$D59,tblTransactions[Transaction Status],"Completed")+SUMIFS(tblTransactions[Amount],tblTransactions[Transaction Type],"Expense",tblTransactions[Source Account],$D59,tblTransactions[Transaction Status],"Reconciled")+SUMIFS(tblTransactions[Amount],tblTransactions[Transaction Type],"Transfer",tblTransactions[Source Account],$D59,tblTransactions[Transaction Status],"Completed")+SUMIFS(tblTransactions[Amount],tblTransactions[Transaction Type],"Transfer",tblTransactions[Source Account],$D59,tblTransactions[Transaction Status],"Reconciled")-SUMIFS(tblTransactions[Amount],tblTransactions[Transaction Type],"Adjustment",tblTransactions[Source Account],$D59,tblTransactions[Transaction Status],"Completed",tblTransactions[Amount],"&lt;0")-SUMIFS(tblTransactions[Amount],tblTransactions[Transaction Type],"Adjustment",tblTransactions[Source Account],$D59,tblTransactions[Transaction Status],"Reconciled",tblTransactions[Amount],"&lt;0"),0))</f>
      </c>
      <c r="H59" s="1">
        <f>IF($D59="","",$E59+$F59-$G59)</f>
      </c>
      <c r="I59" s="4">
        <f>IF($D59="","",IFERROR(LOOKUP(2,1/(((tblTransactions[Source Account]=$D59)+((tblTransactions[Transaction Type]="Transfer")*(tblTransactions[Destination Type]="Account")*(tblTransactions[Destination Name]=$D59)))*((tblTransactions[Transaction Status]="Completed")+(tblTransactions[Transaction Status]="Reconciled"))),tblTransactions[Transaction Date]),""))</f>
      </c>
      <c r="J59" s="1">
        <f>IF($D59="","",IFERROR(INDEX(tblAccounts[Account Type],ROW()-1),""))</f>
      </c>
      <c r="K59" s="1">
        <f>IF($D59="","",IFERROR(INDEX(tblAccounts[Include in Dashboard],ROW()-1),""))</f>
      </c>
      <c r="L59" s="1">
        <f>IF($D59="","",IFERROR(INDEX(tblAccounts[Status],ROW()-1),""))</f>
      </c>
    </row>
    <row r="60">
      <c r="A60" s="1" t="s">
        <v>273</v>
      </c>
      <c r="D60" s="1">
        <f>IFERROR(IF(INDEX(tblAccounts[Account Name],ROW()-1)="","",INDEX(tblAccounts[Account Name],ROW()-1)),"")</f>
      </c>
      <c r="E60" s="1">
        <f>IF($D60="","",IFERROR(INDEX(tblAccounts[Opening Balance],ROW()-1),0))</f>
      </c>
      <c r="F60" s="1">
        <f>IF($D60="","",IFERROR(SUMIFS(tblTransactions[Amount],tblTransactions[Transaction Type],"Income",tblTransactions[Source Account],$D60,tblTransactions[Transaction Status],"Completed")+SUMIFS(tblTransactions[Amount],tblTransactions[Transaction Type],"Income",tblTransactions[Source Account],$D60,tblTransactions[Transaction Status],"Reconciled")+SUMIFS(tblTransactions[Amount],tblTransactions[Transaction Type],"Transfer",tblTransactions[Destination Type],"Account",tblTransactions[Destination Name],$D60,tblTransactions[Transaction Status],"Completed")+SUMIFS(tblTransactions[Amount],tblTransactions[Transaction Type],"Transfer",tblTransactions[Destination Type],"Account",tblTransactions[Destination Name],$D60,tblTransactions[Transaction Status],"Reconciled")+SUMIFS(tblTransactions[Amount],tblTransactions[Transaction Type],"Adjustment",tblTransactions[Source Account],$D60,tblTransactions[Transaction Status],"Completed",tblTransactions[Amount],"&gt;0")+SUMIFS(tblTransactions[Amount],tblTransactions[Transaction Type],"Adjustment",tblTransactions[Source Account],$D60,tblTransactions[Transaction Status],"Reconciled",tblTransactions[Amount],"&gt;0"),0))</f>
      </c>
      <c r="G60" s="1">
        <f>IF($D60="","",IFERROR(SUMIFS(tblTransactions[Amount],tblTransactions[Transaction Type],"Expense",tblTransactions[Source Account],$D60,tblTransactions[Transaction Status],"Completed")+SUMIFS(tblTransactions[Amount],tblTransactions[Transaction Type],"Expense",tblTransactions[Source Account],$D60,tblTransactions[Transaction Status],"Reconciled")+SUMIFS(tblTransactions[Amount],tblTransactions[Transaction Type],"Transfer",tblTransactions[Source Account],$D60,tblTransactions[Transaction Status],"Completed")+SUMIFS(tblTransactions[Amount],tblTransactions[Transaction Type],"Transfer",tblTransactions[Source Account],$D60,tblTransactions[Transaction Status],"Reconciled")-SUMIFS(tblTransactions[Amount],tblTransactions[Transaction Type],"Adjustment",tblTransactions[Source Account],$D60,tblTransactions[Transaction Status],"Completed",tblTransactions[Amount],"&lt;0")-SUMIFS(tblTransactions[Amount],tblTransactions[Transaction Type],"Adjustment",tblTransactions[Source Account],$D60,tblTransactions[Transaction Status],"Reconciled",tblTransactions[Amount],"&lt;0"),0))</f>
      </c>
      <c r="H60" s="1">
        <f>IF($D60="","",$E60+$F60-$G60)</f>
      </c>
      <c r="I60" s="4">
        <f>IF($D60="","",IFERROR(LOOKUP(2,1/(((tblTransactions[Source Account]=$D60)+((tblTransactions[Transaction Type]="Transfer")*(tblTransactions[Destination Type]="Account")*(tblTransactions[Destination Name]=$D60)))*((tblTransactions[Transaction Status]="Completed")+(tblTransactions[Transaction Status]="Reconciled"))),tblTransactions[Transaction Date]),""))</f>
      </c>
      <c r="J60" s="1">
        <f>IF($D60="","",IFERROR(INDEX(tblAccounts[Account Type],ROW()-1),""))</f>
      </c>
      <c r="K60" s="1">
        <f>IF($D60="","",IFERROR(INDEX(tblAccounts[Include in Dashboard],ROW()-1),""))</f>
      </c>
      <c r="L60" s="1">
        <f>IF($D60="","",IFERROR(INDEX(tblAccounts[Status],ROW()-1),""))</f>
      </c>
    </row>
    <row r="61">
      <c r="A61" s="1" t="s">
        <v>95</v>
      </c>
      <c r="B61" s="1">
        <f>$B$16</f>
      </c>
      <c r="D61" s="1">
        <f>IFERROR(IF(INDEX(tblAccounts[Account Name],ROW()-1)="","",INDEX(tblAccounts[Account Name],ROW()-1)),"")</f>
      </c>
      <c r="E61" s="1">
        <f>IF($D61="","",IFERROR(INDEX(tblAccounts[Opening Balance],ROW()-1),0))</f>
      </c>
      <c r="F61" s="1">
        <f>IF($D61="","",IFERROR(SUMIFS(tblTransactions[Amount],tblTransactions[Transaction Type],"Income",tblTransactions[Source Account],$D61,tblTransactions[Transaction Status],"Completed")+SUMIFS(tblTransactions[Amount],tblTransactions[Transaction Type],"Income",tblTransactions[Source Account],$D61,tblTransactions[Transaction Status],"Reconciled")+SUMIFS(tblTransactions[Amount],tblTransactions[Transaction Type],"Transfer",tblTransactions[Destination Type],"Account",tblTransactions[Destination Name],$D61,tblTransactions[Transaction Status],"Completed")+SUMIFS(tblTransactions[Amount],tblTransactions[Transaction Type],"Transfer",tblTransactions[Destination Type],"Account",tblTransactions[Destination Name],$D61,tblTransactions[Transaction Status],"Reconciled")+SUMIFS(tblTransactions[Amount],tblTransactions[Transaction Type],"Adjustment",tblTransactions[Source Account],$D61,tblTransactions[Transaction Status],"Completed",tblTransactions[Amount],"&gt;0")+SUMIFS(tblTransactions[Amount],tblTransactions[Transaction Type],"Adjustment",tblTransactions[Source Account],$D61,tblTransactions[Transaction Status],"Reconciled",tblTransactions[Amount],"&gt;0"),0))</f>
      </c>
      <c r="G61" s="1">
        <f>IF($D61="","",IFERROR(SUMIFS(tblTransactions[Amount],tblTransactions[Transaction Type],"Expense",tblTransactions[Source Account],$D61,tblTransactions[Transaction Status],"Completed")+SUMIFS(tblTransactions[Amount],tblTransactions[Transaction Type],"Expense",tblTransactions[Source Account],$D61,tblTransactions[Transaction Status],"Reconciled")+SUMIFS(tblTransactions[Amount],tblTransactions[Transaction Type],"Transfer",tblTransactions[Source Account],$D61,tblTransactions[Transaction Status],"Completed")+SUMIFS(tblTransactions[Amount],tblTransactions[Transaction Type],"Transfer",tblTransactions[Source Account],$D61,tblTransactions[Transaction Status],"Reconciled")-SUMIFS(tblTransactions[Amount],tblTransactions[Transaction Type],"Adjustment",tblTransactions[Source Account],$D61,tblTransactions[Transaction Status],"Completed",tblTransactions[Amount],"&lt;0")-SUMIFS(tblTransactions[Amount],tblTransactions[Transaction Type],"Adjustment",tblTransactions[Source Account],$D61,tblTransactions[Transaction Status],"Reconciled",tblTransactions[Amount],"&lt;0"),0))</f>
      </c>
      <c r="H61" s="1">
        <f>IF($D61="","",$E61+$F61-$G61)</f>
      </c>
      <c r="I61" s="4">
        <f>IF($D61="","",IFERROR(LOOKUP(2,1/(((tblTransactions[Source Account]=$D61)+((tblTransactions[Transaction Type]="Transfer")*(tblTransactions[Destination Type]="Account")*(tblTransactions[Destination Name]=$D61)))*((tblTransactions[Transaction Status]="Completed")+(tblTransactions[Transaction Status]="Reconciled"))),tblTransactions[Transaction Date]),""))</f>
      </c>
      <c r="J61" s="1">
        <f>IF($D61="","",IFERROR(INDEX(tblAccounts[Account Type],ROW()-1),""))</f>
      </c>
      <c r="K61" s="1">
        <f>IF($D61="","",IFERROR(INDEX(tblAccounts[Include in Dashboard],ROW()-1),""))</f>
      </c>
      <c r="L61" s="1">
        <f>IF($D61="","",IFERROR(INDEX(tblAccounts[Status],ROW()-1),""))</f>
      </c>
    </row>
    <row r="62">
      <c r="A62" s="1" t="s">
        <v>274</v>
      </c>
      <c r="B62" s="1">
        <f>$B$22</f>
      </c>
      <c r="D62" s="1">
        <f>IFERROR(IF(INDEX(tblAccounts[Account Name],ROW()-1)="","",INDEX(tblAccounts[Account Name],ROW()-1)),"")</f>
      </c>
      <c r="E62" s="1">
        <f>IF($D62="","",IFERROR(INDEX(tblAccounts[Opening Balance],ROW()-1),0))</f>
      </c>
      <c r="F62" s="1">
        <f>IF($D62="","",IFERROR(SUMIFS(tblTransactions[Amount],tblTransactions[Transaction Type],"Income",tblTransactions[Source Account],$D62,tblTransactions[Transaction Status],"Completed")+SUMIFS(tblTransactions[Amount],tblTransactions[Transaction Type],"Income",tblTransactions[Source Account],$D62,tblTransactions[Transaction Status],"Reconciled")+SUMIFS(tblTransactions[Amount],tblTransactions[Transaction Type],"Transfer",tblTransactions[Destination Type],"Account",tblTransactions[Destination Name],$D62,tblTransactions[Transaction Status],"Completed")+SUMIFS(tblTransactions[Amount],tblTransactions[Transaction Type],"Transfer",tblTransactions[Destination Type],"Account",tblTransactions[Destination Name],$D62,tblTransactions[Transaction Status],"Reconciled")+SUMIFS(tblTransactions[Amount],tblTransactions[Transaction Type],"Adjustment",tblTransactions[Source Account],$D62,tblTransactions[Transaction Status],"Completed",tblTransactions[Amount],"&gt;0")+SUMIFS(tblTransactions[Amount],tblTransactions[Transaction Type],"Adjustment",tblTransactions[Source Account],$D62,tblTransactions[Transaction Status],"Reconciled",tblTransactions[Amount],"&gt;0"),0))</f>
      </c>
      <c r="G62" s="1">
        <f>IF($D62="","",IFERROR(SUMIFS(tblTransactions[Amount],tblTransactions[Transaction Type],"Expense",tblTransactions[Source Account],$D62,tblTransactions[Transaction Status],"Completed")+SUMIFS(tblTransactions[Amount],tblTransactions[Transaction Type],"Expense",tblTransactions[Source Account],$D62,tblTransactions[Transaction Status],"Reconciled")+SUMIFS(tblTransactions[Amount],tblTransactions[Transaction Type],"Transfer",tblTransactions[Source Account],$D62,tblTransactions[Transaction Status],"Completed")+SUMIFS(tblTransactions[Amount],tblTransactions[Transaction Type],"Transfer",tblTransactions[Source Account],$D62,tblTransactions[Transaction Status],"Reconciled")-SUMIFS(tblTransactions[Amount],tblTransactions[Transaction Type],"Adjustment",tblTransactions[Source Account],$D62,tblTransactions[Transaction Status],"Completed",tblTransactions[Amount],"&lt;0")-SUMIFS(tblTransactions[Amount],tblTransactions[Transaction Type],"Adjustment",tblTransactions[Source Account],$D62,tblTransactions[Transaction Status],"Reconciled",tblTransactions[Amount],"&lt;0"),0))</f>
      </c>
      <c r="H62" s="1">
        <f>IF($D62="","",$E62+$F62-$G62)</f>
      </c>
      <c r="I62" s="4">
        <f>IF($D62="","",IFERROR(LOOKUP(2,1/(((tblTransactions[Source Account]=$D62)+((tblTransactions[Transaction Type]="Transfer")*(tblTransactions[Destination Type]="Account")*(tblTransactions[Destination Name]=$D62)))*((tblTransactions[Transaction Status]="Completed")+(tblTransactions[Transaction Status]="Reconciled"))),tblTransactions[Transaction Date]),""))</f>
      </c>
      <c r="J62" s="1">
        <f>IF($D62="","",IFERROR(INDEX(tblAccounts[Account Type],ROW()-1),""))</f>
      </c>
      <c r="K62" s="1">
        <f>IF($D62="","",IFERROR(INDEX(tblAccounts[Include in Dashboard],ROW()-1),""))</f>
      </c>
      <c r="L62" s="1">
        <f>IF($D62="","",IFERROR(INDEX(tblAccounts[Status],ROW()-1),""))</f>
      </c>
    </row>
    <row r="63">
      <c r="A63" s="1" t="s">
        <v>275</v>
      </c>
      <c r="B63" s="1">
        <f>$B$29</f>
      </c>
      <c r="D63" s="1">
        <f>IFERROR(IF(INDEX(tblAccounts[Account Name],ROW()-1)="","",INDEX(tblAccounts[Account Name],ROW()-1)),"")</f>
      </c>
      <c r="E63" s="1">
        <f>IF($D63="","",IFERROR(INDEX(tblAccounts[Opening Balance],ROW()-1),0))</f>
      </c>
      <c r="F63" s="1">
        <f>IF($D63="","",IFERROR(SUMIFS(tblTransactions[Amount],tblTransactions[Transaction Type],"Income",tblTransactions[Source Account],$D63,tblTransactions[Transaction Status],"Completed")+SUMIFS(tblTransactions[Amount],tblTransactions[Transaction Type],"Income",tblTransactions[Source Account],$D63,tblTransactions[Transaction Status],"Reconciled")+SUMIFS(tblTransactions[Amount],tblTransactions[Transaction Type],"Transfer",tblTransactions[Destination Type],"Account",tblTransactions[Destination Name],$D63,tblTransactions[Transaction Status],"Completed")+SUMIFS(tblTransactions[Amount],tblTransactions[Transaction Type],"Transfer",tblTransactions[Destination Type],"Account",tblTransactions[Destination Name],$D63,tblTransactions[Transaction Status],"Reconciled")+SUMIFS(tblTransactions[Amount],tblTransactions[Transaction Type],"Adjustment",tblTransactions[Source Account],$D63,tblTransactions[Transaction Status],"Completed",tblTransactions[Amount],"&gt;0")+SUMIFS(tblTransactions[Amount],tblTransactions[Transaction Type],"Adjustment",tblTransactions[Source Account],$D63,tblTransactions[Transaction Status],"Reconciled",tblTransactions[Amount],"&gt;0"),0))</f>
      </c>
      <c r="G63" s="1">
        <f>IF($D63="","",IFERROR(SUMIFS(tblTransactions[Amount],tblTransactions[Transaction Type],"Expense",tblTransactions[Source Account],$D63,tblTransactions[Transaction Status],"Completed")+SUMIFS(tblTransactions[Amount],tblTransactions[Transaction Type],"Expense",tblTransactions[Source Account],$D63,tblTransactions[Transaction Status],"Reconciled")+SUMIFS(tblTransactions[Amount],tblTransactions[Transaction Type],"Transfer",tblTransactions[Source Account],$D63,tblTransactions[Transaction Status],"Completed")+SUMIFS(tblTransactions[Amount],tblTransactions[Transaction Type],"Transfer",tblTransactions[Source Account],$D63,tblTransactions[Transaction Status],"Reconciled")-SUMIFS(tblTransactions[Amount],tblTransactions[Transaction Type],"Adjustment",tblTransactions[Source Account],$D63,tblTransactions[Transaction Status],"Completed",tblTransactions[Amount],"&lt;0")-SUMIFS(tblTransactions[Amount],tblTransactions[Transaction Type],"Adjustment",tblTransactions[Source Account],$D63,tblTransactions[Transaction Status],"Reconciled",tblTransactions[Amount],"&lt;0"),0))</f>
      </c>
      <c r="H63" s="1">
        <f>IF($D63="","",$E63+$F63-$G63)</f>
      </c>
      <c r="I63" s="4">
        <f>IF($D63="","",IFERROR(LOOKUP(2,1/(((tblTransactions[Source Account]=$D63)+((tblTransactions[Transaction Type]="Transfer")*(tblTransactions[Destination Type]="Account")*(tblTransactions[Destination Name]=$D63)))*((tblTransactions[Transaction Status]="Completed")+(tblTransactions[Transaction Status]="Reconciled"))),tblTransactions[Transaction Date]),""))</f>
      </c>
      <c r="J63" s="1">
        <f>IF($D63="","",IFERROR(INDEX(tblAccounts[Account Type],ROW()-1),""))</f>
      </c>
      <c r="K63" s="1">
        <f>IF($D63="","",IFERROR(INDEX(tblAccounts[Include in Dashboard],ROW()-1),""))</f>
      </c>
      <c r="L63" s="1">
        <f>IF($D63="","",IFERROR(INDEX(tblAccounts[Status],ROW()-1),""))</f>
      </c>
    </row>
    <row r="64">
      <c r="A64" s="1" t="s">
        <v>276</v>
      </c>
      <c r="B64" s="1">
        <f>$B$30</f>
      </c>
      <c r="D64" s="1">
        <f>IFERROR(IF(INDEX(tblAccounts[Account Name],ROW()-1)="","",INDEX(tblAccounts[Account Name],ROW()-1)),"")</f>
      </c>
      <c r="E64" s="1">
        <f>IF($D64="","",IFERROR(INDEX(tblAccounts[Opening Balance],ROW()-1),0))</f>
      </c>
      <c r="F64" s="1">
        <f>IF($D64="","",IFERROR(SUMIFS(tblTransactions[Amount],tblTransactions[Transaction Type],"Income",tblTransactions[Source Account],$D64,tblTransactions[Transaction Status],"Completed")+SUMIFS(tblTransactions[Amount],tblTransactions[Transaction Type],"Income",tblTransactions[Source Account],$D64,tblTransactions[Transaction Status],"Reconciled")+SUMIFS(tblTransactions[Amount],tblTransactions[Transaction Type],"Transfer",tblTransactions[Destination Type],"Account",tblTransactions[Destination Name],$D64,tblTransactions[Transaction Status],"Completed")+SUMIFS(tblTransactions[Amount],tblTransactions[Transaction Type],"Transfer",tblTransactions[Destination Type],"Account",tblTransactions[Destination Name],$D64,tblTransactions[Transaction Status],"Reconciled")+SUMIFS(tblTransactions[Amount],tblTransactions[Transaction Type],"Adjustment",tblTransactions[Source Account],$D64,tblTransactions[Transaction Status],"Completed",tblTransactions[Amount],"&gt;0")+SUMIFS(tblTransactions[Amount],tblTransactions[Transaction Type],"Adjustment",tblTransactions[Source Account],$D64,tblTransactions[Transaction Status],"Reconciled",tblTransactions[Amount],"&gt;0"),0))</f>
      </c>
      <c r="G64" s="1">
        <f>IF($D64="","",IFERROR(SUMIFS(tblTransactions[Amount],tblTransactions[Transaction Type],"Expense",tblTransactions[Source Account],$D64,tblTransactions[Transaction Status],"Completed")+SUMIFS(tblTransactions[Amount],tblTransactions[Transaction Type],"Expense",tblTransactions[Source Account],$D64,tblTransactions[Transaction Status],"Reconciled")+SUMIFS(tblTransactions[Amount],tblTransactions[Transaction Type],"Transfer",tblTransactions[Source Account],$D64,tblTransactions[Transaction Status],"Completed")+SUMIFS(tblTransactions[Amount],tblTransactions[Transaction Type],"Transfer",tblTransactions[Source Account],$D64,tblTransactions[Transaction Status],"Reconciled")-SUMIFS(tblTransactions[Amount],tblTransactions[Transaction Type],"Adjustment",tblTransactions[Source Account],$D64,tblTransactions[Transaction Status],"Completed",tblTransactions[Amount],"&lt;0")-SUMIFS(tblTransactions[Amount],tblTransactions[Transaction Type],"Adjustment",tblTransactions[Source Account],$D64,tblTransactions[Transaction Status],"Reconciled",tblTransactions[Amount],"&lt;0"),0))</f>
      </c>
      <c r="H64" s="1">
        <f>IF($D64="","",$E64+$F64-$G64)</f>
      </c>
      <c r="I64" s="4">
        <f>IF($D64="","",IFERROR(LOOKUP(2,1/(((tblTransactions[Source Account]=$D64)+((tblTransactions[Transaction Type]="Transfer")*(tblTransactions[Destination Type]="Account")*(tblTransactions[Destination Name]=$D64)))*((tblTransactions[Transaction Status]="Completed")+(tblTransactions[Transaction Status]="Reconciled"))),tblTransactions[Transaction Date]),""))</f>
      </c>
      <c r="J64" s="1">
        <f>IF($D64="","",IFERROR(INDEX(tblAccounts[Account Type],ROW()-1),""))</f>
      </c>
      <c r="K64" s="1">
        <f>IF($D64="","",IFERROR(INDEX(tblAccounts[Include in Dashboard],ROW()-1),""))</f>
      </c>
      <c r="L64" s="1">
        <f>IF($D64="","",IFERROR(INDEX(tblAccounts[Status],ROW()-1),""))</f>
      </c>
    </row>
    <row r="65">
      <c r="A65" s="1" t="s">
        <v>263</v>
      </c>
      <c r="B65" s="1">
        <f>$B$48</f>
      </c>
      <c r="D65" s="1">
        <f>IFERROR(IF(INDEX(tblAccounts[Account Name],ROW()-1)="","",INDEX(tblAccounts[Account Name],ROW()-1)),"")</f>
      </c>
      <c r="E65" s="1">
        <f>IF($D65="","",IFERROR(INDEX(tblAccounts[Opening Balance],ROW()-1),0))</f>
      </c>
      <c r="F65" s="1">
        <f>IF($D65="","",IFERROR(SUMIFS(tblTransactions[Amount],tblTransactions[Transaction Type],"Income",tblTransactions[Source Account],$D65,tblTransactions[Transaction Status],"Completed")+SUMIFS(tblTransactions[Amount],tblTransactions[Transaction Type],"Income",tblTransactions[Source Account],$D65,tblTransactions[Transaction Status],"Reconciled")+SUMIFS(tblTransactions[Amount],tblTransactions[Transaction Type],"Transfer",tblTransactions[Destination Type],"Account",tblTransactions[Destination Name],$D65,tblTransactions[Transaction Status],"Completed")+SUMIFS(tblTransactions[Amount],tblTransactions[Transaction Type],"Transfer",tblTransactions[Destination Type],"Account",tblTransactions[Destination Name],$D65,tblTransactions[Transaction Status],"Reconciled")+SUMIFS(tblTransactions[Amount],tblTransactions[Transaction Type],"Adjustment",tblTransactions[Source Account],$D65,tblTransactions[Transaction Status],"Completed",tblTransactions[Amount],"&gt;0")+SUMIFS(tblTransactions[Amount],tblTransactions[Transaction Type],"Adjustment",tblTransactions[Source Account],$D65,tblTransactions[Transaction Status],"Reconciled",tblTransactions[Amount],"&gt;0"),0))</f>
      </c>
      <c r="G65" s="1">
        <f>IF($D65="","",IFERROR(SUMIFS(tblTransactions[Amount],tblTransactions[Transaction Type],"Expense",tblTransactions[Source Account],$D65,tblTransactions[Transaction Status],"Completed")+SUMIFS(tblTransactions[Amount],tblTransactions[Transaction Type],"Expense",tblTransactions[Source Account],$D65,tblTransactions[Transaction Status],"Reconciled")+SUMIFS(tblTransactions[Amount],tblTransactions[Transaction Type],"Transfer",tblTransactions[Source Account],$D65,tblTransactions[Transaction Status],"Completed")+SUMIFS(tblTransactions[Amount],tblTransactions[Transaction Type],"Transfer",tblTransactions[Source Account],$D65,tblTransactions[Transaction Status],"Reconciled")-SUMIFS(tblTransactions[Amount],tblTransactions[Transaction Type],"Adjustment",tblTransactions[Source Account],$D65,tblTransactions[Transaction Status],"Completed",tblTransactions[Amount],"&lt;0")-SUMIFS(tblTransactions[Amount],tblTransactions[Transaction Type],"Adjustment",tblTransactions[Source Account],$D65,tblTransactions[Transaction Status],"Reconciled",tblTransactions[Amount],"&lt;0"),0))</f>
      </c>
      <c r="H65" s="1">
        <f>IF($D65="","",$E65+$F65-$G65)</f>
      </c>
      <c r="I65" s="4">
        <f>IF($D65="","",IFERROR(LOOKUP(2,1/(((tblTransactions[Source Account]=$D65)+((tblTransactions[Transaction Type]="Transfer")*(tblTransactions[Destination Type]="Account")*(tblTransactions[Destination Name]=$D65)))*((tblTransactions[Transaction Status]="Completed")+(tblTransactions[Transaction Status]="Reconciled"))),tblTransactions[Transaction Date]),""))</f>
      </c>
      <c r="J65" s="1">
        <f>IF($D65="","",IFERROR(INDEX(tblAccounts[Account Type],ROW()-1),""))</f>
      </c>
      <c r="K65" s="1">
        <f>IF($D65="","",IFERROR(INDEX(tblAccounts[Include in Dashboard],ROW()-1),""))</f>
      </c>
      <c r="L65" s="1">
        <f>IF($D65="","",IFERROR(INDEX(tblAccounts[Status],ROW()-1),""))</f>
      </c>
    </row>
    <row r="66">
      <c r="A66" s="1" t="s">
        <v>277</v>
      </c>
      <c r="B66" s="1">
        <f>IFERROR($B$43/$B$16,0)</f>
      </c>
      <c r="D66" s="1">
        <f>IFERROR(IF(INDEX(tblAccounts[Account Name],ROW()-1)="","",INDEX(tblAccounts[Account Name],ROW()-1)),"")</f>
      </c>
      <c r="E66" s="1">
        <f>IF($D66="","",IFERROR(INDEX(tblAccounts[Opening Balance],ROW()-1),0))</f>
      </c>
      <c r="F66" s="1">
        <f>IF($D66="","",IFERROR(SUMIFS(tblTransactions[Amount],tblTransactions[Transaction Type],"Income",tblTransactions[Source Account],$D66,tblTransactions[Transaction Status],"Completed")+SUMIFS(tblTransactions[Amount],tblTransactions[Transaction Type],"Income",tblTransactions[Source Account],$D66,tblTransactions[Transaction Status],"Reconciled")+SUMIFS(tblTransactions[Amount],tblTransactions[Transaction Type],"Transfer",tblTransactions[Destination Type],"Account",tblTransactions[Destination Name],$D66,tblTransactions[Transaction Status],"Completed")+SUMIFS(tblTransactions[Amount],tblTransactions[Transaction Type],"Transfer",tblTransactions[Destination Type],"Account",tblTransactions[Destination Name],$D66,tblTransactions[Transaction Status],"Reconciled")+SUMIFS(tblTransactions[Amount],tblTransactions[Transaction Type],"Adjustment",tblTransactions[Source Account],$D66,tblTransactions[Transaction Status],"Completed",tblTransactions[Amount],"&gt;0")+SUMIFS(tblTransactions[Amount],tblTransactions[Transaction Type],"Adjustment",tblTransactions[Source Account],$D66,tblTransactions[Transaction Status],"Reconciled",tblTransactions[Amount],"&gt;0"),0))</f>
      </c>
      <c r="G66" s="1">
        <f>IF($D66="","",IFERROR(SUMIFS(tblTransactions[Amount],tblTransactions[Transaction Type],"Expense",tblTransactions[Source Account],$D66,tblTransactions[Transaction Status],"Completed")+SUMIFS(tblTransactions[Amount],tblTransactions[Transaction Type],"Expense",tblTransactions[Source Account],$D66,tblTransactions[Transaction Status],"Reconciled")+SUMIFS(tblTransactions[Amount],tblTransactions[Transaction Type],"Transfer",tblTransactions[Source Account],$D66,tblTransactions[Transaction Status],"Completed")+SUMIFS(tblTransactions[Amount],tblTransactions[Transaction Type],"Transfer",tblTransactions[Source Account],$D66,tblTransactions[Transaction Status],"Reconciled")-SUMIFS(tblTransactions[Amount],tblTransactions[Transaction Type],"Adjustment",tblTransactions[Source Account],$D66,tblTransactions[Transaction Status],"Completed",tblTransactions[Amount],"&lt;0")-SUMIFS(tblTransactions[Amount],tblTransactions[Transaction Type],"Adjustment",tblTransactions[Source Account],$D66,tblTransactions[Transaction Status],"Reconciled",tblTransactions[Amount],"&lt;0"),0))</f>
      </c>
      <c r="H66" s="1">
        <f>IF($D66="","",$E66+$F66-$G66)</f>
      </c>
      <c r="I66" s="4">
        <f>IF($D66="","",IFERROR(LOOKUP(2,1/(((tblTransactions[Source Account]=$D66)+((tblTransactions[Transaction Type]="Transfer")*(tblTransactions[Destination Type]="Account")*(tblTransactions[Destination Name]=$D66)))*((tblTransactions[Transaction Status]="Completed")+(tblTransactions[Transaction Status]="Reconciled"))),tblTransactions[Transaction Date]),""))</f>
      </c>
      <c r="J66" s="1">
        <f>IF($D66="","",IFERROR(INDEX(tblAccounts[Account Type],ROW()-1),""))</f>
      </c>
      <c r="K66" s="1">
        <f>IF($D66="","",IFERROR(INDEX(tblAccounts[Include in Dashboard],ROW()-1),""))</f>
      </c>
      <c r="L66" s="1">
        <f>IF($D66="","",IFERROR(INDEX(tblAccounts[Status],ROW()-1),""))</f>
      </c>
    </row>
    <row r="67">
      <c r="A67" s="1" t="s">
        <v>278</v>
      </c>
      <c r="B67" s="1">
        <f>IFERROR($B$35/$B$48,0)</f>
      </c>
      <c r="D67" s="1">
        <f>IFERROR(IF(INDEX(tblAccounts[Account Name],ROW()-1)="","",INDEX(tblAccounts[Account Name],ROW()-1)),"")</f>
      </c>
      <c r="E67" s="1">
        <f>IF($D67="","",IFERROR(INDEX(tblAccounts[Opening Balance],ROW()-1),0))</f>
      </c>
      <c r="F67" s="1">
        <f>IF($D67="","",IFERROR(SUMIFS(tblTransactions[Amount],tblTransactions[Transaction Type],"Income",tblTransactions[Source Account],$D67,tblTransactions[Transaction Status],"Completed")+SUMIFS(tblTransactions[Amount],tblTransactions[Transaction Type],"Income",tblTransactions[Source Account],$D67,tblTransactions[Transaction Status],"Reconciled")+SUMIFS(tblTransactions[Amount],tblTransactions[Transaction Type],"Transfer",tblTransactions[Destination Type],"Account",tblTransactions[Destination Name],$D67,tblTransactions[Transaction Status],"Completed")+SUMIFS(tblTransactions[Amount],tblTransactions[Transaction Type],"Transfer",tblTransactions[Destination Type],"Account",tblTransactions[Destination Name],$D67,tblTransactions[Transaction Status],"Reconciled")+SUMIFS(tblTransactions[Amount],tblTransactions[Transaction Type],"Adjustment",tblTransactions[Source Account],$D67,tblTransactions[Transaction Status],"Completed",tblTransactions[Amount],"&gt;0")+SUMIFS(tblTransactions[Amount],tblTransactions[Transaction Type],"Adjustment",tblTransactions[Source Account],$D67,tblTransactions[Transaction Status],"Reconciled",tblTransactions[Amount],"&gt;0"),0))</f>
      </c>
      <c r="G67" s="1">
        <f>IF($D67="","",IFERROR(SUMIFS(tblTransactions[Amount],tblTransactions[Transaction Type],"Expense",tblTransactions[Source Account],$D67,tblTransactions[Transaction Status],"Completed")+SUMIFS(tblTransactions[Amount],tblTransactions[Transaction Type],"Expense",tblTransactions[Source Account],$D67,tblTransactions[Transaction Status],"Reconciled")+SUMIFS(tblTransactions[Amount],tblTransactions[Transaction Type],"Transfer",tblTransactions[Source Account],$D67,tblTransactions[Transaction Status],"Completed")+SUMIFS(tblTransactions[Amount],tblTransactions[Transaction Type],"Transfer",tblTransactions[Source Account],$D67,tblTransactions[Transaction Status],"Reconciled")-SUMIFS(tblTransactions[Amount],tblTransactions[Transaction Type],"Adjustment",tblTransactions[Source Account],$D67,tblTransactions[Transaction Status],"Completed",tblTransactions[Amount],"&lt;0")-SUMIFS(tblTransactions[Amount],tblTransactions[Transaction Type],"Adjustment",tblTransactions[Source Account],$D67,tblTransactions[Transaction Status],"Reconciled",tblTransactions[Amount],"&lt;0"),0))</f>
      </c>
      <c r="H67" s="1">
        <f>IF($D67="","",$E67+$F67-$G67)</f>
      </c>
      <c r="I67" s="4">
        <f>IF($D67="","",IFERROR(LOOKUP(2,1/(((tblTransactions[Source Account]=$D67)+((tblTransactions[Transaction Type]="Transfer")*(tblTransactions[Destination Type]="Account")*(tblTransactions[Destination Name]=$D67)))*((tblTransactions[Transaction Status]="Completed")+(tblTransactions[Transaction Status]="Reconciled"))),tblTransactions[Transaction Date]),""))</f>
      </c>
      <c r="J67" s="1">
        <f>IF($D67="","",IFERROR(INDEX(tblAccounts[Account Type],ROW()-1),""))</f>
      </c>
      <c r="K67" s="1">
        <f>IF($D67="","",IFERROR(INDEX(tblAccounts[Include in Dashboard],ROW()-1),""))</f>
      </c>
      <c r="L67" s="1">
        <f>IF($D67="","",IFERROR(INDEX(tblAccounts[Status],ROW()-1),""))</f>
      </c>
    </row>
    <row r="68">
      <c r="A68" s="1" t="s">
        <v>279</v>
      </c>
      <c r="B68" s="1">
        <f>IFERROR($B$42/($B$42+$B$35),0)</f>
      </c>
      <c r="D68" s="1">
        <f>IFERROR(IF(INDEX(tblAccounts[Account Name],ROW()-1)="","",INDEX(tblAccounts[Account Name],ROW()-1)),"")</f>
      </c>
      <c r="E68" s="1">
        <f>IF($D68="","",IFERROR(INDEX(tblAccounts[Opening Balance],ROW()-1),0))</f>
      </c>
      <c r="F68" s="1">
        <f>IF($D68="","",IFERROR(SUMIFS(tblTransactions[Amount],tblTransactions[Transaction Type],"Income",tblTransactions[Source Account],$D68,tblTransactions[Transaction Status],"Completed")+SUMIFS(tblTransactions[Amount],tblTransactions[Transaction Type],"Income",tblTransactions[Source Account],$D68,tblTransactions[Transaction Status],"Reconciled")+SUMIFS(tblTransactions[Amount],tblTransactions[Transaction Type],"Transfer",tblTransactions[Destination Type],"Account",tblTransactions[Destination Name],$D68,tblTransactions[Transaction Status],"Completed")+SUMIFS(tblTransactions[Amount],tblTransactions[Transaction Type],"Transfer",tblTransactions[Destination Type],"Account",tblTransactions[Destination Name],$D68,tblTransactions[Transaction Status],"Reconciled")+SUMIFS(tblTransactions[Amount],tblTransactions[Transaction Type],"Adjustment",tblTransactions[Source Account],$D68,tblTransactions[Transaction Status],"Completed",tblTransactions[Amount],"&gt;0")+SUMIFS(tblTransactions[Amount],tblTransactions[Transaction Type],"Adjustment",tblTransactions[Source Account],$D68,tblTransactions[Transaction Status],"Reconciled",tblTransactions[Amount],"&gt;0"),0))</f>
      </c>
      <c r="G68" s="1">
        <f>IF($D68="","",IFERROR(SUMIFS(tblTransactions[Amount],tblTransactions[Transaction Type],"Expense",tblTransactions[Source Account],$D68,tblTransactions[Transaction Status],"Completed")+SUMIFS(tblTransactions[Amount],tblTransactions[Transaction Type],"Expense",tblTransactions[Source Account],$D68,tblTransactions[Transaction Status],"Reconciled")+SUMIFS(tblTransactions[Amount],tblTransactions[Transaction Type],"Transfer",tblTransactions[Source Account],$D68,tblTransactions[Transaction Status],"Completed")+SUMIFS(tblTransactions[Amount],tblTransactions[Transaction Type],"Transfer",tblTransactions[Source Account],$D68,tblTransactions[Transaction Status],"Reconciled")-SUMIFS(tblTransactions[Amount],tblTransactions[Transaction Type],"Adjustment",tblTransactions[Source Account],$D68,tblTransactions[Transaction Status],"Completed",tblTransactions[Amount],"&lt;0")-SUMIFS(tblTransactions[Amount],tblTransactions[Transaction Type],"Adjustment",tblTransactions[Source Account],$D68,tblTransactions[Transaction Status],"Reconciled",tblTransactions[Amount],"&lt;0"),0))</f>
      </c>
      <c r="H68" s="1">
        <f>IF($D68="","",$E68+$F68-$G68)</f>
      </c>
      <c r="I68" s="4">
        <f>IF($D68="","",IFERROR(LOOKUP(2,1/(((tblTransactions[Source Account]=$D68)+((tblTransactions[Transaction Type]="Transfer")*(tblTransactions[Destination Type]="Account")*(tblTransactions[Destination Name]=$D68)))*((tblTransactions[Transaction Status]="Completed")+(tblTransactions[Transaction Status]="Reconciled"))),tblTransactions[Transaction Date]),""))</f>
      </c>
      <c r="J68" s="1">
        <f>IF($D68="","",IFERROR(INDEX(tblAccounts[Account Type],ROW()-1),""))</f>
      </c>
      <c r="K68" s="1">
        <f>IF($D68="","",IFERROR(INDEX(tblAccounts[Include in Dashboard],ROW()-1),""))</f>
      </c>
      <c r="L68" s="1">
        <f>IF($D68="","",IFERROR(INDEX(tblAccounts[Status],ROW()-1),""))</f>
      </c>
    </row>
    <row r="69">
      <c r="D69" s="1">
        <f>IFERROR(IF(INDEX(tblAccounts[Account Name],ROW()-1)="","",INDEX(tblAccounts[Account Name],ROW()-1)),"")</f>
      </c>
      <c r="E69" s="1">
        <f>IF($D69="","",IFERROR(INDEX(tblAccounts[Opening Balance],ROW()-1),0))</f>
      </c>
      <c r="F69" s="1">
        <f>IF($D69="","",IFERROR(SUMIFS(tblTransactions[Amount],tblTransactions[Transaction Type],"Income",tblTransactions[Source Account],$D69,tblTransactions[Transaction Status],"Completed")+SUMIFS(tblTransactions[Amount],tblTransactions[Transaction Type],"Income",tblTransactions[Source Account],$D69,tblTransactions[Transaction Status],"Reconciled")+SUMIFS(tblTransactions[Amount],tblTransactions[Transaction Type],"Transfer",tblTransactions[Destination Type],"Account",tblTransactions[Destination Name],$D69,tblTransactions[Transaction Status],"Completed")+SUMIFS(tblTransactions[Amount],tblTransactions[Transaction Type],"Transfer",tblTransactions[Destination Type],"Account",tblTransactions[Destination Name],$D69,tblTransactions[Transaction Status],"Reconciled")+SUMIFS(tblTransactions[Amount],tblTransactions[Transaction Type],"Adjustment",tblTransactions[Source Account],$D69,tblTransactions[Transaction Status],"Completed",tblTransactions[Amount],"&gt;0")+SUMIFS(tblTransactions[Amount],tblTransactions[Transaction Type],"Adjustment",tblTransactions[Source Account],$D69,tblTransactions[Transaction Status],"Reconciled",tblTransactions[Amount],"&gt;0"),0))</f>
      </c>
      <c r="G69" s="1">
        <f>IF($D69="","",IFERROR(SUMIFS(tblTransactions[Amount],tblTransactions[Transaction Type],"Expense",tblTransactions[Source Account],$D69,tblTransactions[Transaction Status],"Completed")+SUMIFS(tblTransactions[Amount],tblTransactions[Transaction Type],"Expense",tblTransactions[Source Account],$D69,tblTransactions[Transaction Status],"Reconciled")+SUMIFS(tblTransactions[Amount],tblTransactions[Transaction Type],"Transfer",tblTransactions[Source Account],$D69,tblTransactions[Transaction Status],"Completed")+SUMIFS(tblTransactions[Amount],tblTransactions[Transaction Type],"Transfer",tblTransactions[Source Account],$D69,tblTransactions[Transaction Status],"Reconciled")-SUMIFS(tblTransactions[Amount],tblTransactions[Transaction Type],"Adjustment",tblTransactions[Source Account],$D69,tblTransactions[Transaction Status],"Completed",tblTransactions[Amount],"&lt;0")-SUMIFS(tblTransactions[Amount],tblTransactions[Transaction Type],"Adjustment",tblTransactions[Source Account],$D69,tblTransactions[Transaction Status],"Reconciled",tblTransactions[Amount],"&lt;0"),0))</f>
      </c>
      <c r="H69" s="1">
        <f>IF($D69="","",$E69+$F69-$G69)</f>
      </c>
      <c r="I69" s="4">
        <f>IF($D69="","",IFERROR(LOOKUP(2,1/(((tblTransactions[Source Account]=$D69)+((tblTransactions[Transaction Type]="Transfer")*(tblTransactions[Destination Type]="Account")*(tblTransactions[Destination Name]=$D69)))*((tblTransactions[Transaction Status]="Completed")+(tblTransactions[Transaction Status]="Reconciled"))),tblTransactions[Transaction Date]),""))</f>
      </c>
      <c r="J69" s="1">
        <f>IF($D69="","",IFERROR(INDEX(tblAccounts[Account Type],ROW()-1),""))</f>
      </c>
      <c r="K69" s="1">
        <f>IF($D69="","",IFERROR(INDEX(tblAccounts[Include in Dashboard],ROW()-1),""))</f>
      </c>
      <c r="L69" s="1">
        <f>IF($D69="","",IFERROR(INDEX(tblAccounts[Status],ROW()-1),""))</f>
      </c>
    </row>
    <row r="70">
      <c r="D70" s="1">
        <f>IFERROR(IF(INDEX(tblAccounts[Account Name],ROW()-1)="","",INDEX(tblAccounts[Account Name],ROW()-1)),"")</f>
      </c>
      <c r="E70" s="1">
        <f>IF($D70="","",IFERROR(INDEX(tblAccounts[Opening Balance],ROW()-1),0))</f>
      </c>
      <c r="F70" s="1">
        <f>IF($D70="","",IFERROR(SUMIFS(tblTransactions[Amount],tblTransactions[Transaction Type],"Income",tblTransactions[Source Account],$D70,tblTransactions[Transaction Status],"Completed")+SUMIFS(tblTransactions[Amount],tblTransactions[Transaction Type],"Income",tblTransactions[Source Account],$D70,tblTransactions[Transaction Status],"Reconciled")+SUMIFS(tblTransactions[Amount],tblTransactions[Transaction Type],"Transfer",tblTransactions[Destination Type],"Account",tblTransactions[Destination Name],$D70,tblTransactions[Transaction Status],"Completed")+SUMIFS(tblTransactions[Amount],tblTransactions[Transaction Type],"Transfer",tblTransactions[Destination Type],"Account",tblTransactions[Destination Name],$D70,tblTransactions[Transaction Status],"Reconciled")+SUMIFS(tblTransactions[Amount],tblTransactions[Transaction Type],"Adjustment",tblTransactions[Source Account],$D70,tblTransactions[Transaction Status],"Completed",tblTransactions[Amount],"&gt;0")+SUMIFS(tblTransactions[Amount],tblTransactions[Transaction Type],"Adjustment",tblTransactions[Source Account],$D70,tblTransactions[Transaction Status],"Reconciled",tblTransactions[Amount],"&gt;0"),0))</f>
      </c>
      <c r="G70" s="1">
        <f>IF($D70="","",IFERROR(SUMIFS(tblTransactions[Amount],tblTransactions[Transaction Type],"Expense",tblTransactions[Source Account],$D70,tblTransactions[Transaction Status],"Completed")+SUMIFS(tblTransactions[Amount],tblTransactions[Transaction Type],"Expense",tblTransactions[Source Account],$D70,tblTransactions[Transaction Status],"Reconciled")+SUMIFS(tblTransactions[Amount],tblTransactions[Transaction Type],"Transfer",tblTransactions[Source Account],$D70,tblTransactions[Transaction Status],"Completed")+SUMIFS(tblTransactions[Amount],tblTransactions[Transaction Type],"Transfer",tblTransactions[Source Account],$D70,tblTransactions[Transaction Status],"Reconciled")-SUMIFS(tblTransactions[Amount],tblTransactions[Transaction Type],"Adjustment",tblTransactions[Source Account],$D70,tblTransactions[Transaction Status],"Completed",tblTransactions[Amount],"&lt;0")-SUMIFS(tblTransactions[Amount],tblTransactions[Transaction Type],"Adjustment",tblTransactions[Source Account],$D70,tblTransactions[Transaction Status],"Reconciled",tblTransactions[Amount],"&lt;0"),0))</f>
      </c>
      <c r="H70" s="1">
        <f>IF($D70="","",$E70+$F70-$G70)</f>
      </c>
      <c r="I70" s="4">
        <f>IF($D70="","",IFERROR(LOOKUP(2,1/(((tblTransactions[Source Account]=$D70)+((tblTransactions[Transaction Type]="Transfer")*(tblTransactions[Destination Type]="Account")*(tblTransactions[Destination Name]=$D70)))*((tblTransactions[Transaction Status]="Completed")+(tblTransactions[Transaction Status]="Reconciled"))),tblTransactions[Transaction Date]),""))</f>
      </c>
      <c r="J70" s="1">
        <f>IF($D70="","",IFERROR(INDEX(tblAccounts[Account Type],ROW()-1),""))</f>
      </c>
      <c r="K70" s="1">
        <f>IF($D70="","",IFERROR(INDEX(tblAccounts[Include in Dashboard],ROW()-1),""))</f>
      </c>
      <c r="L70" s="1">
        <f>IF($D70="","",IFERROR(INDEX(tblAccounts[Status],ROW()-1),""))</f>
      </c>
    </row>
    <row r="71">
      <c r="D71" s="1">
        <f>IFERROR(IF(INDEX(tblAccounts[Account Name],ROW()-1)="","",INDEX(tblAccounts[Account Name],ROW()-1)),"")</f>
      </c>
      <c r="E71" s="1">
        <f>IF($D71="","",IFERROR(INDEX(tblAccounts[Opening Balance],ROW()-1),0))</f>
      </c>
      <c r="F71" s="1">
        <f>IF($D71="","",IFERROR(SUMIFS(tblTransactions[Amount],tblTransactions[Transaction Type],"Income",tblTransactions[Source Account],$D71,tblTransactions[Transaction Status],"Completed")+SUMIFS(tblTransactions[Amount],tblTransactions[Transaction Type],"Income",tblTransactions[Source Account],$D71,tblTransactions[Transaction Status],"Reconciled")+SUMIFS(tblTransactions[Amount],tblTransactions[Transaction Type],"Transfer",tblTransactions[Destination Type],"Account",tblTransactions[Destination Name],$D71,tblTransactions[Transaction Status],"Completed")+SUMIFS(tblTransactions[Amount],tblTransactions[Transaction Type],"Transfer",tblTransactions[Destination Type],"Account",tblTransactions[Destination Name],$D71,tblTransactions[Transaction Status],"Reconciled")+SUMIFS(tblTransactions[Amount],tblTransactions[Transaction Type],"Adjustment",tblTransactions[Source Account],$D71,tblTransactions[Transaction Status],"Completed",tblTransactions[Amount],"&gt;0")+SUMIFS(tblTransactions[Amount],tblTransactions[Transaction Type],"Adjustment",tblTransactions[Source Account],$D71,tblTransactions[Transaction Status],"Reconciled",tblTransactions[Amount],"&gt;0"),0))</f>
      </c>
      <c r="G71" s="1">
        <f>IF($D71="","",IFERROR(SUMIFS(tblTransactions[Amount],tblTransactions[Transaction Type],"Expense",tblTransactions[Source Account],$D71,tblTransactions[Transaction Status],"Completed")+SUMIFS(tblTransactions[Amount],tblTransactions[Transaction Type],"Expense",tblTransactions[Source Account],$D71,tblTransactions[Transaction Status],"Reconciled")+SUMIFS(tblTransactions[Amount],tblTransactions[Transaction Type],"Transfer",tblTransactions[Source Account],$D71,tblTransactions[Transaction Status],"Completed")+SUMIFS(tblTransactions[Amount],tblTransactions[Transaction Type],"Transfer",tblTransactions[Source Account],$D71,tblTransactions[Transaction Status],"Reconciled")-SUMIFS(tblTransactions[Amount],tblTransactions[Transaction Type],"Adjustment",tblTransactions[Source Account],$D71,tblTransactions[Transaction Status],"Completed",tblTransactions[Amount],"&lt;0")-SUMIFS(tblTransactions[Amount],tblTransactions[Transaction Type],"Adjustment",tblTransactions[Source Account],$D71,tblTransactions[Transaction Status],"Reconciled",tblTransactions[Amount],"&lt;0"),0))</f>
      </c>
      <c r="H71" s="1">
        <f>IF($D71="","",$E71+$F71-$G71)</f>
      </c>
      <c r="I71" s="4">
        <f>IF($D71="","",IFERROR(LOOKUP(2,1/(((tblTransactions[Source Account]=$D71)+((tblTransactions[Transaction Type]="Transfer")*(tblTransactions[Destination Type]="Account")*(tblTransactions[Destination Name]=$D71)))*((tblTransactions[Transaction Status]="Completed")+(tblTransactions[Transaction Status]="Reconciled"))),tblTransactions[Transaction Date]),""))</f>
      </c>
      <c r="J71" s="1">
        <f>IF($D71="","",IFERROR(INDEX(tblAccounts[Account Type],ROW()-1),""))</f>
      </c>
      <c r="K71" s="1">
        <f>IF($D71="","",IFERROR(INDEX(tblAccounts[Include in Dashboard],ROW()-1),""))</f>
      </c>
      <c r="L71" s="1">
        <f>IF($D71="","",IFERROR(INDEX(tblAccounts[Status],ROW()-1),""))</f>
      </c>
    </row>
    <row r="72">
      <c r="D72" s="1">
        <f>IFERROR(IF(INDEX(tblAccounts[Account Name],ROW()-1)="","",INDEX(tblAccounts[Account Name],ROW()-1)),"")</f>
      </c>
      <c r="E72" s="1">
        <f>IF($D72="","",IFERROR(INDEX(tblAccounts[Opening Balance],ROW()-1),0))</f>
      </c>
      <c r="F72" s="1">
        <f>IF($D72="","",IFERROR(SUMIFS(tblTransactions[Amount],tblTransactions[Transaction Type],"Income",tblTransactions[Source Account],$D72,tblTransactions[Transaction Status],"Completed")+SUMIFS(tblTransactions[Amount],tblTransactions[Transaction Type],"Income",tblTransactions[Source Account],$D72,tblTransactions[Transaction Status],"Reconciled")+SUMIFS(tblTransactions[Amount],tblTransactions[Transaction Type],"Transfer",tblTransactions[Destination Type],"Account",tblTransactions[Destination Name],$D72,tblTransactions[Transaction Status],"Completed")+SUMIFS(tblTransactions[Amount],tblTransactions[Transaction Type],"Transfer",tblTransactions[Destination Type],"Account",tblTransactions[Destination Name],$D72,tblTransactions[Transaction Status],"Reconciled")+SUMIFS(tblTransactions[Amount],tblTransactions[Transaction Type],"Adjustment",tblTransactions[Source Account],$D72,tblTransactions[Transaction Status],"Completed",tblTransactions[Amount],"&gt;0")+SUMIFS(tblTransactions[Amount],tblTransactions[Transaction Type],"Adjustment",tblTransactions[Source Account],$D72,tblTransactions[Transaction Status],"Reconciled",tblTransactions[Amount],"&gt;0"),0))</f>
      </c>
      <c r="G72" s="1">
        <f>IF($D72="","",IFERROR(SUMIFS(tblTransactions[Amount],tblTransactions[Transaction Type],"Expense",tblTransactions[Source Account],$D72,tblTransactions[Transaction Status],"Completed")+SUMIFS(tblTransactions[Amount],tblTransactions[Transaction Type],"Expense",tblTransactions[Source Account],$D72,tblTransactions[Transaction Status],"Reconciled")+SUMIFS(tblTransactions[Amount],tblTransactions[Transaction Type],"Transfer",tblTransactions[Source Account],$D72,tblTransactions[Transaction Status],"Completed")+SUMIFS(tblTransactions[Amount],tblTransactions[Transaction Type],"Transfer",tblTransactions[Source Account],$D72,tblTransactions[Transaction Status],"Reconciled")-SUMIFS(tblTransactions[Amount],tblTransactions[Transaction Type],"Adjustment",tblTransactions[Source Account],$D72,tblTransactions[Transaction Status],"Completed",tblTransactions[Amount],"&lt;0")-SUMIFS(tblTransactions[Amount],tblTransactions[Transaction Type],"Adjustment",tblTransactions[Source Account],$D72,tblTransactions[Transaction Status],"Reconciled",tblTransactions[Amount],"&lt;0"),0))</f>
      </c>
      <c r="H72" s="1">
        <f>IF($D72="","",$E72+$F72-$G72)</f>
      </c>
      <c r="I72" s="4">
        <f>IF($D72="","",IFERROR(LOOKUP(2,1/(((tblTransactions[Source Account]=$D72)+((tblTransactions[Transaction Type]="Transfer")*(tblTransactions[Destination Type]="Account")*(tblTransactions[Destination Name]=$D72)))*((tblTransactions[Transaction Status]="Completed")+(tblTransactions[Transaction Status]="Reconciled"))),tblTransactions[Transaction Date]),""))</f>
      </c>
      <c r="J72" s="1">
        <f>IF($D72="","",IFERROR(INDEX(tblAccounts[Account Type],ROW()-1),""))</f>
      </c>
      <c r="K72" s="1">
        <f>IF($D72="","",IFERROR(INDEX(tblAccounts[Include in Dashboard],ROW()-1),""))</f>
      </c>
      <c r="L72" s="1">
        <f>IF($D72="","",IFERROR(INDEX(tblAccounts[Status],ROW()-1),""))</f>
      </c>
    </row>
    <row r="73">
      <c r="D73" s="1">
        <f>IFERROR(IF(INDEX(tblAccounts[Account Name],ROW()-1)="","",INDEX(tblAccounts[Account Name],ROW()-1)),"")</f>
      </c>
      <c r="E73" s="1">
        <f>IF($D73="","",IFERROR(INDEX(tblAccounts[Opening Balance],ROW()-1),0))</f>
      </c>
      <c r="F73" s="1">
        <f>IF($D73="","",IFERROR(SUMIFS(tblTransactions[Amount],tblTransactions[Transaction Type],"Income",tblTransactions[Source Account],$D73,tblTransactions[Transaction Status],"Completed")+SUMIFS(tblTransactions[Amount],tblTransactions[Transaction Type],"Income",tblTransactions[Source Account],$D73,tblTransactions[Transaction Status],"Reconciled")+SUMIFS(tblTransactions[Amount],tblTransactions[Transaction Type],"Transfer",tblTransactions[Destination Type],"Account",tblTransactions[Destination Name],$D73,tblTransactions[Transaction Status],"Completed")+SUMIFS(tblTransactions[Amount],tblTransactions[Transaction Type],"Transfer",tblTransactions[Destination Type],"Account",tblTransactions[Destination Name],$D73,tblTransactions[Transaction Status],"Reconciled")+SUMIFS(tblTransactions[Amount],tblTransactions[Transaction Type],"Adjustment",tblTransactions[Source Account],$D73,tblTransactions[Transaction Status],"Completed",tblTransactions[Amount],"&gt;0")+SUMIFS(tblTransactions[Amount],tblTransactions[Transaction Type],"Adjustment",tblTransactions[Source Account],$D73,tblTransactions[Transaction Status],"Reconciled",tblTransactions[Amount],"&gt;0"),0))</f>
      </c>
      <c r="G73" s="1">
        <f>IF($D73="","",IFERROR(SUMIFS(tblTransactions[Amount],tblTransactions[Transaction Type],"Expense",tblTransactions[Source Account],$D73,tblTransactions[Transaction Status],"Completed")+SUMIFS(tblTransactions[Amount],tblTransactions[Transaction Type],"Expense",tblTransactions[Source Account],$D73,tblTransactions[Transaction Status],"Reconciled")+SUMIFS(tblTransactions[Amount],tblTransactions[Transaction Type],"Transfer",tblTransactions[Source Account],$D73,tblTransactions[Transaction Status],"Completed")+SUMIFS(tblTransactions[Amount],tblTransactions[Transaction Type],"Transfer",tblTransactions[Source Account],$D73,tblTransactions[Transaction Status],"Reconciled")-SUMIFS(tblTransactions[Amount],tblTransactions[Transaction Type],"Adjustment",tblTransactions[Source Account],$D73,tblTransactions[Transaction Status],"Completed",tblTransactions[Amount],"&lt;0")-SUMIFS(tblTransactions[Amount],tblTransactions[Transaction Type],"Adjustment",tblTransactions[Source Account],$D73,tblTransactions[Transaction Status],"Reconciled",tblTransactions[Amount],"&lt;0"),0))</f>
      </c>
      <c r="H73" s="1">
        <f>IF($D73="","",$E73+$F73-$G73)</f>
      </c>
      <c r="I73" s="4">
        <f>IF($D73="","",IFERROR(LOOKUP(2,1/(((tblTransactions[Source Account]=$D73)+((tblTransactions[Transaction Type]="Transfer")*(tblTransactions[Destination Type]="Account")*(tblTransactions[Destination Name]=$D73)))*((tblTransactions[Transaction Status]="Completed")+(tblTransactions[Transaction Status]="Reconciled"))),tblTransactions[Transaction Date]),""))</f>
      </c>
      <c r="J73" s="1">
        <f>IF($D73="","",IFERROR(INDEX(tblAccounts[Account Type],ROW()-1),""))</f>
      </c>
      <c r="K73" s="1">
        <f>IF($D73="","",IFERROR(INDEX(tblAccounts[Include in Dashboard],ROW()-1),""))</f>
      </c>
      <c r="L73" s="1">
        <f>IF($D73="","",IFERROR(INDEX(tblAccounts[Status],ROW()-1),""))</f>
      </c>
    </row>
    <row r="74">
      <c r="D74" s="1">
        <f>IFERROR(IF(INDEX(tblAccounts[Account Name],ROW()-1)="","",INDEX(tblAccounts[Account Name],ROW()-1)),"")</f>
      </c>
      <c r="E74" s="1">
        <f>IF($D74="","",IFERROR(INDEX(tblAccounts[Opening Balance],ROW()-1),0))</f>
      </c>
      <c r="F74" s="1">
        <f>IF($D74="","",IFERROR(SUMIFS(tblTransactions[Amount],tblTransactions[Transaction Type],"Income",tblTransactions[Source Account],$D74,tblTransactions[Transaction Status],"Completed")+SUMIFS(tblTransactions[Amount],tblTransactions[Transaction Type],"Income",tblTransactions[Source Account],$D74,tblTransactions[Transaction Status],"Reconciled")+SUMIFS(tblTransactions[Amount],tblTransactions[Transaction Type],"Transfer",tblTransactions[Destination Type],"Account",tblTransactions[Destination Name],$D74,tblTransactions[Transaction Status],"Completed")+SUMIFS(tblTransactions[Amount],tblTransactions[Transaction Type],"Transfer",tblTransactions[Destination Type],"Account",tblTransactions[Destination Name],$D74,tblTransactions[Transaction Status],"Reconciled")+SUMIFS(tblTransactions[Amount],tblTransactions[Transaction Type],"Adjustment",tblTransactions[Source Account],$D74,tblTransactions[Transaction Status],"Completed",tblTransactions[Amount],"&gt;0")+SUMIFS(tblTransactions[Amount],tblTransactions[Transaction Type],"Adjustment",tblTransactions[Source Account],$D74,tblTransactions[Transaction Status],"Reconciled",tblTransactions[Amount],"&gt;0"),0))</f>
      </c>
      <c r="G74" s="1">
        <f>IF($D74="","",IFERROR(SUMIFS(tblTransactions[Amount],tblTransactions[Transaction Type],"Expense",tblTransactions[Source Account],$D74,tblTransactions[Transaction Status],"Completed")+SUMIFS(tblTransactions[Amount],tblTransactions[Transaction Type],"Expense",tblTransactions[Source Account],$D74,tblTransactions[Transaction Status],"Reconciled")+SUMIFS(tblTransactions[Amount],tblTransactions[Transaction Type],"Transfer",tblTransactions[Source Account],$D74,tblTransactions[Transaction Status],"Completed")+SUMIFS(tblTransactions[Amount],tblTransactions[Transaction Type],"Transfer",tblTransactions[Source Account],$D74,tblTransactions[Transaction Status],"Reconciled")-SUMIFS(tblTransactions[Amount],tblTransactions[Transaction Type],"Adjustment",tblTransactions[Source Account],$D74,tblTransactions[Transaction Status],"Completed",tblTransactions[Amount],"&lt;0")-SUMIFS(tblTransactions[Amount],tblTransactions[Transaction Type],"Adjustment",tblTransactions[Source Account],$D74,tblTransactions[Transaction Status],"Reconciled",tblTransactions[Amount],"&lt;0"),0))</f>
      </c>
      <c r="H74" s="1">
        <f>IF($D74="","",$E74+$F74-$G74)</f>
      </c>
      <c r="I74" s="4">
        <f>IF($D74="","",IFERROR(LOOKUP(2,1/(((tblTransactions[Source Account]=$D74)+((tblTransactions[Transaction Type]="Transfer")*(tblTransactions[Destination Type]="Account")*(tblTransactions[Destination Name]=$D74)))*((tblTransactions[Transaction Status]="Completed")+(tblTransactions[Transaction Status]="Reconciled"))),tblTransactions[Transaction Date]),""))</f>
      </c>
      <c r="J74" s="1">
        <f>IF($D74="","",IFERROR(INDEX(tblAccounts[Account Type],ROW()-1),""))</f>
      </c>
      <c r="K74" s="1">
        <f>IF($D74="","",IFERROR(INDEX(tblAccounts[Include in Dashboard],ROW()-1),""))</f>
      </c>
      <c r="L74" s="1">
        <f>IF($D74="","",IFERROR(INDEX(tblAccounts[Status],ROW()-1),""))</f>
      </c>
    </row>
    <row r="75">
      <c r="D75" s="1">
        <f>IFERROR(IF(INDEX(tblAccounts[Account Name],ROW()-1)="","",INDEX(tblAccounts[Account Name],ROW()-1)),"")</f>
      </c>
      <c r="E75" s="1">
        <f>IF($D75="","",IFERROR(INDEX(tblAccounts[Opening Balance],ROW()-1),0))</f>
      </c>
      <c r="F75" s="1">
        <f>IF($D75="","",IFERROR(SUMIFS(tblTransactions[Amount],tblTransactions[Transaction Type],"Income",tblTransactions[Source Account],$D75,tblTransactions[Transaction Status],"Completed")+SUMIFS(tblTransactions[Amount],tblTransactions[Transaction Type],"Income",tblTransactions[Source Account],$D75,tblTransactions[Transaction Status],"Reconciled")+SUMIFS(tblTransactions[Amount],tblTransactions[Transaction Type],"Transfer",tblTransactions[Destination Type],"Account",tblTransactions[Destination Name],$D75,tblTransactions[Transaction Status],"Completed")+SUMIFS(tblTransactions[Amount],tblTransactions[Transaction Type],"Transfer",tblTransactions[Destination Type],"Account",tblTransactions[Destination Name],$D75,tblTransactions[Transaction Status],"Reconciled")+SUMIFS(tblTransactions[Amount],tblTransactions[Transaction Type],"Adjustment",tblTransactions[Source Account],$D75,tblTransactions[Transaction Status],"Completed",tblTransactions[Amount],"&gt;0")+SUMIFS(tblTransactions[Amount],tblTransactions[Transaction Type],"Adjustment",tblTransactions[Source Account],$D75,tblTransactions[Transaction Status],"Reconciled",tblTransactions[Amount],"&gt;0"),0))</f>
      </c>
      <c r="G75" s="1">
        <f>IF($D75="","",IFERROR(SUMIFS(tblTransactions[Amount],tblTransactions[Transaction Type],"Expense",tblTransactions[Source Account],$D75,tblTransactions[Transaction Status],"Completed")+SUMIFS(tblTransactions[Amount],tblTransactions[Transaction Type],"Expense",tblTransactions[Source Account],$D75,tblTransactions[Transaction Status],"Reconciled")+SUMIFS(tblTransactions[Amount],tblTransactions[Transaction Type],"Transfer",tblTransactions[Source Account],$D75,tblTransactions[Transaction Status],"Completed")+SUMIFS(tblTransactions[Amount],tblTransactions[Transaction Type],"Transfer",tblTransactions[Source Account],$D75,tblTransactions[Transaction Status],"Reconciled")-SUMIFS(tblTransactions[Amount],tblTransactions[Transaction Type],"Adjustment",tblTransactions[Source Account],$D75,tblTransactions[Transaction Status],"Completed",tblTransactions[Amount],"&lt;0")-SUMIFS(tblTransactions[Amount],tblTransactions[Transaction Type],"Adjustment",tblTransactions[Source Account],$D75,tblTransactions[Transaction Status],"Reconciled",tblTransactions[Amount],"&lt;0"),0))</f>
      </c>
      <c r="H75" s="1">
        <f>IF($D75="","",$E75+$F75-$G75)</f>
      </c>
      <c r="I75" s="4">
        <f>IF($D75="","",IFERROR(LOOKUP(2,1/(((tblTransactions[Source Account]=$D75)+((tblTransactions[Transaction Type]="Transfer")*(tblTransactions[Destination Type]="Account")*(tblTransactions[Destination Name]=$D75)))*((tblTransactions[Transaction Status]="Completed")+(tblTransactions[Transaction Status]="Reconciled"))),tblTransactions[Transaction Date]),""))</f>
      </c>
      <c r="J75" s="1">
        <f>IF($D75="","",IFERROR(INDEX(tblAccounts[Account Type],ROW()-1),""))</f>
      </c>
      <c r="K75" s="1">
        <f>IF($D75="","",IFERROR(INDEX(tblAccounts[Include in Dashboard],ROW()-1),""))</f>
      </c>
      <c r="L75" s="1">
        <f>IF($D75="","",IFERROR(INDEX(tblAccounts[Status],ROW()-1),""))</f>
      </c>
    </row>
    <row r="76">
      <c r="D76" s="1">
        <f>IFERROR(IF(INDEX(tblAccounts[Account Name],ROW()-1)="","",INDEX(tblAccounts[Account Name],ROW()-1)),"")</f>
      </c>
      <c r="E76" s="1">
        <f>IF($D76="","",IFERROR(INDEX(tblAccounts[Opening Balance],ROW()-1),0))</f>
      </c>
      <c r="F76" s="1">
        <f>IF($D76="","",IFERROR(SUMIFS(tblTransactions[Amount],tblTransactions[Transaction Type],"Income",tblTransactions[Source Account],$D76,tblTransactions[Transaction Status],"Completed")+SUMIFS(tblTransactions[Amount],tblTransactions[Transaction Type],"Income",tblTransactions[Source Account],$D76,tblTransactions[Transaction Status],"Reconciled")+SUMIFS(tblTransactions[Amount],tblTransactions[Transaction Type],"Transfer",tblTransactions[Destination Type],"Account",tblTransactions[Destination Name],$D76,tblTransactions[Transaction Status],"Completed")+SUMIFS(tblTransactions[Amount],tblTransactions[Transaction Type],"Transfer",tblTransactions[Destination Type],"Account",tblTransactions[Destination Name],$D76,tblTransactions[Transaction Status],"Reconciled")+SUMIFS(tblTransactions[Amount],tblTransactions[Transaction Type],"Adjustment",tblTransactions[Source Account],$D76,tblTransactions[Transaction Status],"Completed",tblTransactions[Amount],"&gt;0")+SUMIFS(tblTransactions[Amount],tblTransactions[Transaction Type],"Adjustment",tblTransactions[Source Account],$D76,tblTransactions[Transaction Status],"Reconciled",tblTransactions[Amount],"&gt;0"),0))</f>
      </c>
      <c r="G76" s="1">
        <f>IF($D76="","",IFERROR(SUMIFS(tblTransactions[Amount],tblTransactions[Transaction Type],"Expense",tblTransactions[Source Account],$D76,tblTransactions[Transaction Status],"Completed")+SUMIFS(tblTransactions[Amount],tblTransactions[Transaction Type],"Expense",tblTransactions[Source Account],$D76,tblTransactions[Transaction Status],"Reconciled")+SUMIFS(tblTransactions[Amount],tblTransactions[Transaction Type],"Transfer",tblTransactions[Source Account],$D76,tblTransactions[Transaction Status],"Completed")+SUMIFS(tblTransactions[Amount],tblTransactions[Transaction Type],"Transfer",tblTransactions[Source Account],$D76,tblTransactions[Transaction Status],"Reconciled")-SUMIFS(tblTransactions[Amount],tblTransactions[Transaction Type],"Adjustment",tblTransactions[Source Account],$D76,tblTransactions[Transaction Status],"Completed",tblTransactions[Amount],"&lt;0")-SUMIFS(tblTransactions[Amount],tblTransactions[Transaction Type],"Adjustment",tblTransactions[Source Account],$D76,tblTransactions[Transaction Status],"Reconciled",tblTransactions[Amount],"&lt;0"),0))</f>
      </c>
      <c r="H76" s="1">
        <f>IF($D76="","",$E76+$F76-$G76)</f>
      </c>
      <c r="I76" s="4">
        <f>IF($D76="","",IFERROR(LOOKUP(2,1/(((tblTransactions[Source Account]=$D76)+((tblTransactions[Transaction Type]="Transfer")*(tblTransactions[Destination Type]="Account")*(tblTransactions[Destination Name]=$D76)))*((tblTransactions[Transaction Status]="Completed")+(tblTransactions[Transaction Status]="Reconciled"))),tblTransactions[Transaction Date]),""))</f>
      </c>
      <c r="J76" s="1">
        <f>IF($D76="","",IFERROR(INDEX(tblAccounts[Account Type],ROW()-1),""))</f>
      </c>
      <c r="K76" s="1">
        <f>IF($D76="","",IFERROR(INDEX(tblAccounts[Include in Dashboard],ROW()-1),""))</f>
      </c>
      <c r="L76" s="1">
        <f>IF($D76="","",IFERROR(INDEX(tblAccounts[Status],ROW()-1),""))</f>
      </c>
    </row>
    <row r="77">
      <c r="D77" s="1">
        <f>IFERROR(IF(INDEX(tblAccounts[Account Name],ROW()-1)="","",INDEX(tblAccounts[Account Name],ROW()-1)),"")</f>
      </c>
      <c r="E77" s="1">
        <f>IF($D77="","",IFERROR(INDEX(tblAccounts[Opening Balance],ROW()-1),0))</f>
      </c>
      <c r="F77" s="1">
        <f>IF($D77="","",IFERROR(SUMIFS(tblTransactions[Amount],tblTransactions[Transaction Type],"Income",tblTransactions[Source Account],$D77,tblTransactions[Transaction Status],"Completed")+SUMIFS(tblTransactions[Amount],tblTransactions[Transaction Type],"Income",tblTransactions[Source Account],$D77,tblTransactions[Transaction Status],"Reconciled")+SUMIFS(tblTransactions[Amount],tblTransactions[Transaction Type],"Transfer",tblTransactions[Destination Type],"Account",tblTransactions[Destination Name],$D77,tblTransactions[Transaction Status],"Completed")+SUMIFS(tblTransactions[Amount],tblTransactions[Transaction Type],"Transfer",tblTransactions[Destination Type],"Account",tblTransactions[Destination Name],$D77,tblTransactions[Transaction Status],"Reconciled")+SUMIFS(tblTransactions[Amount],tblTransactions[Transaction Type],"Adjustment",tblTransactions[Source Account],$D77,tblTransactions[Transaction Status],"Completed",tblTransactions[Amount],"&gt;0")+SUMIFS(tblTransactions[Amount],tblTransactions[Transaction Type],"Adjustment",tblTransactions[Source Account],$D77,tblTransactions[Transaction Status],"Reconciled",tblTransactions[Amount],"&gt;0"),0))</f>
      </c>
      <c r="G77" s="1">
        <f>IF($D77="","",IFERROR(SUMIFS(tblTransactions[Amount],tblTransactions[Transaction Type],"Expense",tblTransactions[Source Account],$D77,tblTransactions[Transaction Status],"Completed")+SUMIFS(tblTransactions[Amount],tblTransactions[Transaction Type],"Expense",tblTransactions[Source Account],$D77,tblTransactions[Transaction Status],"Reconciled")+SUMIFS(tblTransactions[Amount],tblTransactions[Transaction Type],"Transfer",tblTransactions[Source Account],$D77,tblTransactions[Transaction Status],"Completed")+SUMIFS(tblTransactions[Amount],tblTransactions[Transaction Type],"Transfer",tblTransactions[Source Account],$D77,tblTransactions[Transaction Status],"Reconciled")-SUMIFS(tblTransactions[Amount],tblTransactions[Transaction Type],"Adjustment",tblTransactions[Source Account],$D77,tblTransactions[Transaction Status],"Completed",tblTransactions[Amount],"&lt;0")-SUMIFS(tblTransactions[Amount],tblTransactions[Transaction Type],"Adjustment",tblTransactions[Source Account],$D77,tblTransactions[Transaction Status],"Reconciled",tblTransactions[Amount],"&lt;0"),0))</f>
      </c>
      <c r="H77" s="1">
        <f>IF($D77="","",$E77+$F77-$G77)</f>
      </c>
      <c r="I77" s="4">
        <f>IF($D77="","",IFERROR(LOOKUP(2,1/(((tblTransactions[Source Account]=$D77)+((tblTransactions[Transaction Type]="Transfer")*(tblTransactions[Destination Type]="Account")*(tblTransactions[Destination Name]=$D77)))*((tblTransactions[Transaction Status]="Completed")+(tblTransactions[Transaction Status]="Reconciled"))),tblTransactions[Transaction Date]),""))</f>
      </c>
      <c r="J77" s="1">
        <f>IF($D77="","",IFERROR(INDEX(tblAccounts[Account Type],ROW()-1),""))</f>
      </c>
      <c r="K77" s="1">
        <f>IF($D77="","",IFERROR(INDEX(tblAccounts[Include in Dashboard],ROW()-1),""))</f>
      </c>
      <c r="L77" s="1">
        <f>IF($D77="","",IFERROR(INDEX(tblAccounts[Status],ROW()-1),""))</f>
      </c>
    </row>
    <row r="78">
      <c r="D78" s="1">
        <f>IFERROR(IF(INDEX(tblAccounts[Account Name],ROW()-1)="","",INDEX(tblAccounts[Account Name],ROW()-1)),"")</f>
      </c>
      <c r="E78" s="1">
        <f>IF($D78="","",IFERROR(INDEX(tblAccounts[Opening Balance],ROW()-1),0))</f>
      </c>
      <c r="F78" s="1">
        <f>IF($D78="","",IFERROR(SUMIFS(tblTransactions[Amount],tblTransactions[Transaction Type],"Income",tblTransactions[Source Account],$D78,tblTransactions[Transaction Status],"Completed")+SUMIFS(tblTransactions[Amount],tblTransactions[Transaction Type],"Income",tblTransactions[Source Account],$D78,tblTransactions[Transaction Status],"Reconciled")+SUMIFS(tblTransactions[Amount],tblTransactions[Transaction Type],"Transfer",tblTransactions[Destination Type],"Account",tblTransactions[Destination Name],$D78,tblTransactions[Transaction Status],"Completed")+SUMIFS(tblTransactions[Amount],tblTransactions[Transaction Type],"Transfer",tblTransactions[Destination Type],"Account",tblTransactions[Destination Name],$D78,tblTransactions[Transaction Status],"Reconciled")+SUMIFS(tblTransactions[Amount],tblTransactions[Transaction Type],"Adjustment",tblTransactions[Source Account],$D78,tblTransactions[Transaction Status],"Completed",tblTransactions[Amount],"&gt;0")+SUMIFS(tblTransactions[Amount],tblTransactions[Transaction Type],"Adjustment",tblTransactions[Source Account],$D78,tblTransactions[Transaction Status],"Reconciled",tblTransactions[Amount],"&gt;0"),0))</f>
      </c>
      <c r="G78" s="1">
        <f>IF($D78="","",IFERROR(SUMIFS(tblTransactions[Amount],tblTransactions[Transaction Type],"Expense",tblTransactions[Source Account],$D78,tblTransactions[Transaction Status],"Completed")+SUMIFS(tblTransactions[Amount],tblTransactions[Transaction Type],"Expense",tblTransactions[Source Account],$D78,tblTransactions[Transaction Status],"Reconciled")+SUMIFS(tblTransactions[Amount],tblTransactions[Transaction Type],"Transfer",tblTransactions[Source Account],$D78,tblTransactions[Transaction Status],"Completed")+SUMIFS(tblTransactions[Amount],tblTransactions[Transaction Type],"Transfer",tblTransactions[Source Account],$D78,tblTransactions[Transaction Status],"Reconciled")-SUMIFS(tblTransactions[Amount],tblTransactions[Transaction Type],"Adjustment",tblTransactions[Source Account],$D78,tblTransactions[Transaction Status],"Completed",tblTransactions[Amount],"&lt;0")-SUMIFS(tblTransactions[Amount],tblTransactions[Transaction Type],"Adjustment",tblTransactions[Source Account],$D78,tblTransactions[Transaction Status],"Reconciled",tblTransactions[Amount],"&lt;0"),0))</f>
      </c>
      <c r="H78" s="1">
        <f>IF($D78="","",$E78+$F78-$G78)</f>
      </c>
      <c r="I78" s="4">
        <f>IF($D78="","",IFERROR(LOOKUP(2,1/(((tblTransactions[Source Account]=$D78)+((tblTransactions[Transaction Type]="Transfer")*(tblTransactions[Destination Type]="Account")*(tblTransactions[Destination Name]=$D78)))*((tblTransactions[Transaction Status]="Completed")+(tblTransactions[Transaction Status]="Reconciled"))),tblTransactions[Transaction Date]),""))</f>
      </c>
      <c r="J78" s="1">
        <f>IF($D78="","",IFERROR(INDEX(tblAccounts[Account Type],ROW()-1),""))</f>
      </c>
      <c r="K78" s="1">
        <f>IF($D78="","",IFERROR(INDEX(tblAccounts[Include in Dashboard],ROW()-1),""))</f>
      </c>
      <c r="L78" s="1">
        <f>IF($D78="","",IFERROR(INDEX(tblAccounts[Status],ROW()-1),""))</f>
      </c>
    </row>
    <row r="79">
      <c r="D79" s="1">
        <f>IFERROR(IF(INDEX(tblAccounts[Account Name],ROW()-1)="","",INDEX(tblAccounts[Account Name],ROW()-1)),"")</f>
      </c>
      <c r="E79" s="1">
        <f>IF($D79="","",IFERROR(INDEX(tblAccounts[Opening Balance],ROW()-1),0))</f>
      </c>
      <c r="F79" s="1">
        <f>IF($D79="","",IFERROR(SUMIFS(tblTransactions[Amount],tblTransactions[Transaction Type],"Income",tblTransactions[Source Account],$D79,tblTransactions[Transaction Status],"Completed")+SUMIFS(tblTransactions[Amount],tblTransactions[Transaction Type],"Income",tblTransactions[Source Account],$D79,tblTransactions[Transaction Status],"Reconciled")+SUMIFS(tblTransactions[Amount],tblTransactions[Transaction Type],"Transfer",tblTransactions[Destination Type],"Account",tblTransactions[Destination Name],$D79,tblTransactions[Transaction Status],"Completed")+SUMIFS(tblTransactions[Amount],tblTransactions[Transaction Type],"Transfer",tblTransactions[Destination Type],"Account",tblTransactions[Destination Name],$D79,tblTransactions[Transaction Status],"Reconciled")+SUMIFS(tblTransactions[Amount],tblTransactions[Transaction Type],"Adjustment",tblTransactions[Source Account],$D79,tblTransactions[Transaction Status],"Completed",tblTransactions[Amount],"&gt;0")+SUMIFS(tblTransactions[Amount],tblTransactions[Transaction Type],"Adjustment",tblTransactions[Source Account],$D79,tblTransactions[Transaction Status],"Reconciled",tblTransactions[Amount],"&gt;0"),0))</f>
      </c>
      <c r="G79" s="1">
        <f>IF($D79="","",IFERROR(SUMIFS(tblTransactions[Amount],tblTransactions[Transaction Type],"Expense",tblTransactions[Source Account],$D79,tblTransactions[Transaction Status],"Completed")+SUMIFS(tblTransactions[Amount],tblTransactions[Transaction Type],"Expense",tblTransactions[Source Account],$D79,tblTransactions[Transaction Status],"Reconciled")+SUMIFS(tblTransactions[Amount],tblTransactions[Transaction Type],"Transfer",tblTransactions[Source Account],$D79,tblTransactions[Transaction Status],"Completed")+SUMIFS(tblTransactions[Amount],tblTransactions[Transaction Type],"Transfer",tblTransactions[Source Account],$D79,tblTransactions[Transaction Status],"Reconciled")-SUMIFS(tblTransactions[Amount],tblTransactions[Transaction Type],"Adjustment",tblTransactions[Source Account],$D79,tblTransactions[Transaction Status],"Completed",tblTransactions[Amount],"&lt;0")-SUMIFS(tblTransactions[Amount],tblTransactions[Transaction Type],"Adjustment",tblTransactions[Source Account],$D79,tblTransactions[Transaction Status],"Reconciled",tblTransactions[Amount],"&lt;0"),0))</f>
      </c>
      <c r="H79" s="1">
        <f>IF($D79="","",$E79+$F79-$G79)</f>
      </c>
      <c r="I79" s="4">
        <f>IF($D79="","",IFERROR(LOOKUP(2,1/(((tblTransactions[Source Account]=$D79)+((tblTransactions[Transaction Type]="Transfer")*(tblTransactions[Destination Type]="Account")*(tblTransactions[Destination Name]=$D79)))*((tblTransactions[Transaction Status]="Completed")+(tblTransactions[Transaction Status]="Reconciled"))),tblTransactions[Transaction Date]),""))</f>
      </c>
      <c r="J79" s="1">
        <f>IF($D79="","",IFERROR(INDEX(tblAccounts[Account Type],ROW()-1),""))</f>
      </c>
      <c r="K79" s="1">
        <f>IF($D79="","",IFERROR(INDEX(tblAccounts[Include in Dashboard],ROW()-1),""))</f>
      </c>
      <c r="L79" s="1">
        <f>IF($D79="","",IFERROR(INDEX(tblAccounts[Status],ROW()-1),""))</f>
      </c>
    </row>
    <row r="80">
      <c r="D80" s="1">
        <f>IFERROR(IF(INDEX(tblAccounts[Account Name],ROW()-1)="","",INDEX(tblAccounts[Account Name],ROW()-1)),"")</f>
      </c>
      <c r="E80" s="1">
        <f>IF($D80="","",IFERROR(INDEX(tblAccounts[Opening Balance],ROW()-1),0))</f>
      </c>
      <c r="F80" s="1">
        <f>IF($D80="","",IFERROR(SUMIFS(tblTransactions[Amount],tblTransactions[Transaction Type],"Income",tblTransactions[Source Account],$D80,tblTransactions[Transaction Status],"Completed")+SUMIFS(tblTransactions[Amount],tblTransactions[Transaction Type],"Income",tblTransactions[Source Account],$D80,tblTransactions[Transaction Status],"Reconciled")+SUMIFS(tblTransactions[Amount],tblTransactions[Transaction Type],"Transfer",tblTransactions[Destination Type],"Account",tblTransactions[Destination Name],$D80,tblTransactions[Transaction Status],"Completed")+SUMIFS(tblTransactions[Amount],tblTransactions[Transaction Type],"Transfer",tblTransactions[Destination Type],"Account",tblTransactions[Destination Name],$D80,tblTransactions[Transaction Status],"Reconciled")+SUMIFS(tblTransactions[Amount],tblTransactions[Transaction Type],"Adjustment",tblTransactions[Source Account],$D80,tblTransactions[Transaction Status],"Completed",tblTransactions[Amount],"&gt;0")+SUMIFS(tblTransactions[Amount],tblTransactions[Transaction Type],"Adjustment",tblTransactions[Source Account],$D80,tblTransactions[Transaction Status],"Reconciled",tblTransactions[Amount],"&gt;0"),0))</f>
      </c>
      <c r="G80" s="1">
        <f>IF($D80="","",IFERROR(SUMIFS(tblTransactions[Amount],tblTransactions[Transaction Type],"Expense",tblTransactions[Source Account],$D80,tblTransactions[Transaction Status],"Completed")+SUMIFS(tblTransactions[Amount],tblTransactions[Transaction Type],"Expense",tblTransactions[Source Account],$D80,tblTransactions[Transaction Status],"Reconciled")+SUMIFS(tblTransactions[Amount],tblTransactions[Transaction Type],"Transfer",tblTransactions[Source Account],$D80,tblTransactions[Transaction Status],"Completed")+SUMIFS(tblTransactions[Amount],tblTransactions[Transaction Type],"Transfer",tblTransactions[Source Account],$D80,tblTransactions[Transaction Status],"Reconciled")-SUMIFS(tblTransactions[Amount],tblTransactions[Transaction Type],"Adjustment",tblTransactions[Source Account],$D80,tblTransactions[Transaction Status],"Completed",tblTransactions[Amount],"&lt;0")-SUMIFS(tblTransactions[Amount],tblTransactions[Transaction Type],"Adjustment",tblTransactions[Source Account],$D80,tblTransactions[Transaction Status],"Reconciled",tblTransactions[Amount],"&lt;0"),0))</f>
      </c>
      <c r="H80" s="1">
        <f>IF($D80="","",$E80+$F80-$G80)</f>
      </c>
      <c r="I80" s="4">
        <f>IF($D80="","",IFERROR(LOOKUP(2,1/(((tblTransactions[Source Account]=$D80)+((tblTransactions[Transaction Type]="Transfer")*(tblTransactions[Destination Type]="Account")*(tblTransactions[Destination Name]=$D80)))*((tblTransactions[Transaction Status]="Completed")+(tblTransactions[Transaction Status]="Reconciled"))),tblTransactions[Transaction Date]),""))</f>
      </c>
      <c r="J80" s="1">
        <f>IF($D80="","",IFERROR(INDEX(tblAccounts[Account Type],ROW()-1),""))</f>
      </c>
      <c r="K80" s="1">
        <f>IF($D80="","",IFERROR(INDEX(tblAccounts[Include in Dashboard],ROW()-1),""))</f>
      </c>
      <c r="L80" s="1">
        <f>IF($D80="","",IFERROR(INDEX(tblAccounts[Status],ROW()-1),""))</f>
      </c>
    </row>
    <row r="81">
      <c r="D81" s="1">
        <f>IFERROR(IF(INDEX(tblAccounts[Account Name],ROW()-1)="","",INDEX(tblAccounts[Account Name],ROW()-1)),"")</f>
      </c>
      <c r="E81" s="1">
        <f>IF($D81="","",IFERROR(INDEX(tblAccounts[Opening Balance],ROW()-1),0))</f>
      </c>
      <c r="F81" s="1">
        <f>IF($D81="","",IFERROR(SUMIFS(tblTransactions[Amount],tblTransactions[Transaction Type],"Income",tblTransactions[Source Account],$D81,tblTransactions[Transaction Status],"Completed")+SUMIFS(tblTransactions[Amount],tblTransactions[Transaction Type],"Income",tblTransactions[Source Account],$D81,tblTransactions[Transaction Status],"Reconciled")+SUMIFS(tblTransactions[Amount],tblTransactions[Transaction Type],"Transfer",tblTransactions[Destination Type],"Account",tblTransactions[Destination Name],$D81,tblTransactions[Transaction Status],"Completed")+SUMIFS(tblTransactions[Amount],tblTransactions[Transaction Type],"Transfer",tblTransactions[Destination Type],"Account",tblTransactions[Destination Name],$D81,tblTransactions[Transaction Status],"Reconciled")+SUMIFS(tblTransactions[Amount],tblTransactions[Transaction Type],"Adjustment",tblTransactions[Source Account],$D81,tblTransactions[Transaction Status],"Completed",tblTransactions[Amount],"&gt;0")+SUMIFS(tblTransactions[Amount],tblTransactions[Transaction Type],"Adjustment",tblTransactions[Source Account],$D81,tblTransactions[Transaction Status],"Reconciled",tblTransactions[Amount],"&gt;0"),0))</f>
      </c>
      <c r="G81" s="1">
        <f>IF($D81="","",IFERROR(SUMIFS(tblTransactions[Amount],tblTransactions[Transaction Type],"Expense",tblTransactions[Source Account],$D81,tblTransactions[Transaction Status],"Completed")+SUMIFS(tblTransactions[Amount],tblTransactions[Transaction Type],"Expense",tblTransactions[Source Account],$D81,tblTransactions[Transaction Status],"Reconciled")+SUMIFS(tblTransactions[Amount],tblTransactions[Transaction Type],"Transfer",tblTransactions[Source Account],$D81,tblTransactions[Transaction Status],"Completed")+SUMIFS(tblTransactions[Amount],tblTransactions[Transaction Type],"Transfer",tblTransactions[Source Account],$D81,tblTransactions[Transaction Status],"Reconciled")-SUMIFS(tblTransactions[Amount],tblTransactions[Transaction Type],"Adjustment",tblTransactions[Source Account],$D81,tblTransactions[Transaction Status],"Completed",tblTransactions[Amount],"&lt;0")-SUMIFS(tblTransactions[Amount],tblTransactions[Transaction Type],"Adjustment",tblTransactions[Source Account],$D81,tblTransactions[Transaction Status],"Reconciled",tblTransactions[Amount],"&lt;0"),0))</f>
      </c>
      <c r="H81" s="1">
        <f>IF($D81="","",$E81+$F81-$G81)</f>
      </c>
      <c r="I81" s="4">
        <f>IF($D81="","",IFERROR(LOOKUP(2,1/(((tblTransactions[Source Account]=$D81)+((tblTransactions[Transaction Type]="Transfer")*(tblTransactions[Destination Type]="Account")*(tblTransactions[Destination Name]=$D81)))*((tblTransactions[Transaction Status]="Completed")+(tblTransactions[Transaction Status]="Reconciled"))),tblTransactions[Transaction Date]),""))</f>
      </c>
      <c r="J81" s="1">
        <f>IF($D81="","",IFERROR(INDEX(tblAccounts[Account Type],ROW()-1),""))</f>
      </c>
      <c r="K81" s="1">
        <f>IF($D81="","",IFERROR(INDEX(tblAccounts[Include in Dashboard],ROW()-1),""))</f>
      </c>
      <c r="L81" s="1">
        <f>IF($D81="","",IFERROR(INDEX(tblAccounts[Status],ROW()-1),""))</f>
      </c>
    </row>
    <row r="82">
      <c r="D82" s="1">
        <f>IFERROR(IF(INDEX(tblAccounts[Account Name],ROW()-1)="","",INDEX(tblAccounts[Account Name],ROW()-1)),"")</f>
      </c>
      <c r="E82" s="1">
        <f>IF($D82="","",IFERROR(INDEX(tblAccounts[Opening Balance],ROW()-1),0))</f>
      </c>
      <c r="F82" s="1">
        <f>IF($D82="","",IFERROR(SUMIFS(tblTransactions[Amount],tblTransactions[Transaction Type],"Income",tblTransactions[Source Account],$D82,tblTransactions[Transaction Status],"Completed")+SUMIFS(tblTransactions[Amount],tblTransactions[Transaction Type],"Income",tblTransactions[Source Account],$D82,tblTransactions[Transaction Status],"Reconciled")+SUMIFS(tblTransactions[Amount],tblTransactions[Transaction Type],"Transfer",tblTransactions[Destination Type],"Account",tblTransactions[Destination Name],$D82,tblTransactions[Transaction Status],"Completed")+SUMIFS(tblTransactions[Amount],tblTransactions[Transaction Type],"Transfer",tblTransactions[Destination Type],"Account",tblTransactions[Destination Name],$D82,tblTransactions[Transaction Status],"Reconciled")+SUMIFS(tblTransactions[Amount],tblTransactions[Transaction Type],"Adjustment",tblTransactions[Source Account],$D82,tblTransactions[Transaction Status],"Completed",tblTransactions[Amount],"&gt;0")+SUMIFS(tblTransactions[Amount],tblTransactions[Transaction Type],"Adjustment",tblTransactions[Source Account],$D82,tblTransactions[Transaction Status],"Reconciled",tblTransactions[Amount],"&gt;0"),0))</f>
      </c>
      <c r="G82" s="1">
        <f>IF($D82="","",IFERROR(SUMIFS(tblTransactions[Amount],tblTransactions[Transaction Type],"Expense",tblTransactions[Source Account],$D82,tblTransactions[Transaction Status],"Completed")+SUMIFS(tblTransactions[Amount],tblTransactions[Transaction Type],"Expense",tblTransactions[Source Account],$D82,tblTransactions[Transaction Status],"Reconciled")+SUMIFS(tblTransactions[Amount],tblTransactions[Transaction Type],"Transfer",tblTransactions[Source Account],$D82,tblTransactions[Transaction Status],"Completed")+SUMIFS(tblTransactions[Amount],tblTransactions[Transaction Type],"Transfer",tblTransactions[Source Account],$D82,tblTransactions[Transaction Status],"Reconciled")-SUMIFS(tblTransactions[Amount],tblTransactions[Transaction Type],"Adjustment",tblTransactions[Source Account],$D82,tblTransactions[Transaction Status],"Completed",tblTransactions[Amount],"&lt;0")-SUMIFS(tblTransactions[Amount],tblTransactions[Transaction Type],"Adjustment",tblTransactions[Source Account],$D82,tblTransactions[Transaction Status],"Reconciled",tblTransactions[Amount],"&lt;0"),0))</f>
      </c>
      <c r="H82" s="1">
        <f>IF($D82="","",$E82+$F82-$G82)</f>
      </c>
      <c r="I82" s="4">
        <f>IF($D82="","",IFERROR(LOOKUP(2,1/(((tblTransactions[Source Account]=$D82)+((tblTransactions[Transaction Type]="Transfer")*(tblTransactions[Destination Type]="Account")*(tblTransactions[Destination Name]=$D82)))*((tblTransactions[Transaction Status]="Completed")+(tblTransactions[Transaction Status]="Reconciled"))),tblTransactions[Transaction Date]),""))</f>
      </c>
      <c r="J82" s="1">
        <f>IF($D82="","",IFERROR(INDEX(tblAccounts[Account Type],ROW()-1),""))</f>
      </c>
      <c r="K82" s="1">
        <f>IF($D82="","",IFERROR(INDEX(tblAccounts[Include in Dashboard],ROW()-1),""))</f>
      </c>
      <c r="L82" s="1">
        <f>IF($D82="","",IFERROR(INDEX(tblAccounts[Status],ROW()-1),""))</f>
      </c>
    </row>
    <row r="83">
      <c r="D83" s="1">
        <f>IFERROR(IF(INDEX(tblAccounts[Account Name],ROW()-1)="","",INDEX(tblAccounts[Account Name],ROW()-1)),"")</f>
      </c>
      <c r="E83" s="1">
        <f>IF($D83="","",IFERROR(INDEX(tblAccounts[Opening Balance],ROW()-1),0))</f>
      </c>
      <c r="F83" s="1">
        <f>IF($D83="","",IFERROR(SUMIFS(tblTransactions[Amount],tblTransactions[Transaction Type],"Income",tblTransactions[Source Account],$D83,tblTransactions[Transaction Status],"Completed")+SUMIFS(tblTransactions[Amount],tblTransactions[Transaction Type],"Income",tblTransactions[Source Account],$D83,tblTransactions[Transaction Status],"Reconciled")+SUMIFS(tblTransactions[Amount],tblTransactions[Transaction Type],"Transfer",tblTransactions[Destination Type],"Account",tblTransactions[Destination Name],$D83,tblTransactions[Transaction Status],"Completed")+SUMIFS(tblTransactions[Amount],tblTransactions[Transaction Type],"Transfer",tblTransactions[Destination Type],"Account",tblTransactions[Destination Name],$D83,tblTransactions[Transaction Status],"Reconciled")+SUMIFS(tblTransactions[Amount],tblTransactions[Transaction Type],"Adjustment",tblTransactions[Source Account],$D83,tblTransactions[Transaction Status],"Completed",tblTransactions[Amount],"&gt;0")+SUMIFS(tblTransactions[Amount],tblTransactions[Transaction Type],"Adjustment",tblTransactions[Source Account],$D83,tblTransactions[Transaction Status],"Reconciled",tblTransactions[Amount],"&gt;0"),0))</f>
      </c>
      <c r="G83" s="1">
        <f>IF($D83="","",IFERROR(SUMIFS(tblTransactions[Amount],tblTransactions[Transaction Type],"Expense",tblTransactions[Source Account],$D83,tblTransactions[Transaction Status],"Completed")+SUMIFS(tblTransactions[Amount],tblTransactions[Transaction Type],"Expense",tblTransactions[Source Account],$D83,tblTransactions[Transaction Status],"Reconciled")+SUMIFS(tblTransactions[Amount],tblTransactions[Transaction Type],"Transfer",tblTransactions[Source Account],$D83,tblTransactions[Transaction Status],"Completed")+SUMIFS(tblTransactions[Amount],tblTransactions[Transaction Type],"Transfer",tblTransactions[Source Account],$D83,tblTransactions[Transaction Status],"Reconciled")-SUMIFS(tblTransactions[Amount],tblTransactions[Transaction Type],"Adjustment",tblTransactions[Source Account],$D83,tblTransactions[Transaction Status],"Completed",tblTransactions[Amount],"&lt;0")-SUMIFS(tblTransactions[Amount],tblTransactions[Transaction Type],"Adjustment",tblTransactions[Source Account],$D83,tblTransactions[Transaction Status],"Reconciled",tblTransactions[Amount],"&lt;0"),0))</f>
      </c>
      <c r="H83" s="1">
        <f>IF($D83="","",$E83+$F83-$G83)</f>
      </c>
      <c r="I83" s="4">
        <f>IF($D83="","",IFERROR(LOOKUP(2,1/(((tblTransactions[Source Account]=$D83)+((tblTransactions[Transaction Type]="Transfer")*(tblTransactions[Destination Type]="Account")*(tblTransactions[Destination Name]=$D83)))*((tblTransactions[Transaction Status]="Completed")+(tblTransactions[Transaction Status]="Reconciled"))),tblTransactions[Transaction Date]),""))</f>
      </c>
      <c r="J83" s="1">
        <f>IF($D83="","",IFERROR(INDEX(tblAccounts[Account Type],ROW()-1),""))</f>
      </c>
      <c r="K83" s="1">
        <f>IF($D83="","",IFERROR(INDEX(tblAccounts[Include in Dashboard],ROW()-1),""))</f>
      </c>
      <c r="L83" s="1">
        <f>IF($D83="","",IFERROR(INDEX(tblAccounts[Status],ROW()-1),""))</f>
      </c>
    </row>
    <row r="84">
      <c r="D84" s="1">
        <f>IFERROR(IF(INDEX(tblAccounts[Account Name],ROW()-1)="","",INDEX(tblAccounts[Account Name],ROW()-1)),"")</f>
      </c>
      <c r="E84" s="1">
        <f>IF($D84="","",IFERROR(INDEX(tblAccounts[Opening Balance],ROW()-1),0))</f>
      </c>
      <c r="F84" s="1">
        <f>IF($D84="","",IFERROR(SUMIFS(tblTransactions[Amount],tblTransactions[Transaction Type],"Income",tblTransactions[Source Account],$D84,tblTransactions[Transaction Status],"Completed")+SUMIFS(tblTransactions[Amount],tblTransactions[Transaction Type],"Income",tblTransactions[Source Account],$D84,tblTransactions[Transaction Status],"Reconciled")+SUMIFS(tblTransactions[Amount],tblTransactions[Transaction Type],"Transfer",tblTransactions[Destination Type],"Account",tblTransactions[Destination Name],$D84,tblTransactions[Transaction Status],"Completed")+SUMIFS(tblTransactions[Amount],tblTransactions[Transaction Type],"Transfer",tblTransactions[Destination Type],"Account",tblTransactions[Destination Name],$D84,tblTransactions[Transaction Status],"Reconciled")+SUMIFS(tblTransactions[Amount],tblTransactions[Transaction Type],"Adjustment",tblTransactions[Source Account],$D84,tblTransactions[Transaction Status],"Completed",tblTransactions[Amount],"&gt;0")+SUMIFS(tblTransactions[Amount],tblTransactions[Transaction Type],"Adjustment",tblTransactions[Source Account],$D84,tblTransactions[Transaction Status],"Reconciled",tblTransactions[Amount],"&gt;0"),0))</f>
      </c>
      <c r="G84" s="1">
        <f>IF($D84="","",IFERROR(SUMIFS(tblTransactions[Amount],tblTransactions[Transaction Type],"Expense",tblTransactions[Source Account],$D84,tblTransactions[Transaction Status],"Completed")+SUMIFS(tblTransactions[Amount],tblTransactions[Transaction Type],"Expense",tblTransactions[Source Account],$D84,tblTransactions[Transaction Status],"Reconciled")+SUMIFS(tblTransactions[Amount],tblTransactions[Transaction Type],"Transfer",tblTransactions[Source Account],$D84,tblTransactions[Transaction Status],"Completed")+SUMIFS(tblTransactions[Amount],tblTransactions[Transaction Type],"Transfer",tblTransactions[Source Account],$D84,tblTransactions[Transaction Status],"Reconciled")-SUMIFS(tblTransactions[Amount],tblTransactions[Transaction Type],"Adjustment",tblTransactions[Source Account],$D84,tblTransactions[Transaction Status],"Completed",tblTransactions[Amount],"&lt;0")-SUMIFS(tblTransactions[Amount],tblTransactions[Transaction Type],"Adjustment",tblTransactions[Source Account],$D84,tblTransactions[Transaction Status],"Reconciled",tblTransactions[Amount],"&lt;0"),0))</f>
      </c>
      <c r="H84" s="1">
        <f>IF($D84="","",$E84+$F84-$G84)</f>
      </c>
      <c r="I84" s="4">
        <f>IF($D84="","",IFERROR(LOOKUP(2,1/(((tblTransactions[Source Account]=$D84)+((tblTransactions[Transaction Type]="Transfer")*(tblTransactions[Destination Type]="Account")*(tblTransactions[Destination Name]=$D84)))*((tblTransactions[Transaction Status]="Completed")+(tblTransactions[Transaction Status]="Reconciled"))),tblTransactions[Transaction Date]),""))</f>
      </c>
      <c r="J84" s="1">
        <f>IF($D84="","",IFERROR(INDEX(tblAccounts[Account Type],ROW()-1),""))</f>
      </c>
      <c r="K84" s="1">
        <f>IF($D84="","",IFERROR(INDEX(tblAccounts[Include in Dashboard],ROW()-1),""))</f>
      </c>
      <c r="L84" s="1">
        <f>IF($D84="","",IFERROR(INDEX(tblAccounts[Status],ROW()-1),""))</f>
      </c>
    </row>
    <row r="85">
      <c r="D85" s="1">
        <f>IFERROR(IF(INDEX(tblAccounts[Account Name],ROW()-1)="","",INDEX(tblAccounts[Account Name],ROW()-1)),"")</f>
      </c>
      <c r="E85" s="1">
        <f>IF($D85="","",IFERROR(INDEX(tblAccounts[Opening Balance],ROW()-1),0))</f>
      </c>
      <c r="F85" s="1">
        <f>IF($D85="","",IFERROR(SUMIFS(tblTransactions[Amount],tblTransactions[Transaction Type],"Income",tblTransactions[Source Account],$D85,tblTransactions[Transaction Status],"Completed")+SUMIFS(tblTransactions[Amount],tblTransactions[Transaction Type],"Income",tblTransactions[Source Account],$D85,tblTransactions[Transaction Status],"Reconciled")+SUMIFS(tblTransactions[Amount],tblTransactions[Transaction Type],"Transfer",tblTransactions[Destination Type],"Account",tblTransactions[Destination Name],$D85,tblTransactions[Transaction Status],"Completed")+SUMIFS(tblTransactions[Amount],tblTransactions[Transaction Type],"Transfer",tblTransactions[Destination Type],"Account",tblTransactions[Destination Name],$D85,tblTransactions[Transaction Status],"Reconciled")+SUMIFS(tblTransactions[Amount],tblTransactions[Transaction Type],"Adjustment",tblTransactions[Source Account],$D85,tblTransactions[Transaction Status],"Completed",tblTransactions[Amount],"&gt;0")+SUMIFS(tblTransactions[Amount],tblTransactions[Transaction Type],"Adjustment",tblTransactions[Source Account],$D85,tblTransactions[Transaction Status],"Reconciled",tblTransactions[Amount],"&gt;0"),0))</f>
      </c>
      <c r="G85" s="1">
        <f>IF($D85="","",IFERROR(SUMIFS(tblTransactions[Amount],tblTransactions[Transaction Type],"Expense",tblTransactions[Source Account],$D85,tblTransactions[Transaction Status],"Completed")+SUMIFS(tblTransactions[Amount],tblTransactions[Transaction Type],"Expense",tblTransactions[Source Account],$D85,tblTransactions[Transaction Status],"Reconciled")+SUMIFS(tblTransactions[Amount],tblTransactions[Transaction Type],"Transfer",tblTransactions[Source Account],$D85,tblTransactions[Transaction Status],"Completed")+SUMIFS(tblTransactions[Amount],tblTransactions[Transaction Type],"Transfer",tblTransactions[Source Account],$D85,tblTransactions[Transaction Status],"Reconciled")-SUMIFS(tblTransactions[Amount],tblTransactions[Transaction Type],"Adjustment",tblTransactions[Source Account],$D85,tblTransactions[Transaction Status],"Completed",tblTransactions[Amount],"&lt;0")-SUMIFS(tblTransactions[Amount],tblTransactions[Transaction Type],"Adjustment",tblTransactions[Source Account],$D85,tblTransactions[Transaction Status],"Reconciled",tblTransactions[Amount],"&lt;0"),0))</f>
      </c>
      <c r="H85" s="1">
        <f>IF($D85="","",$E85+$F85-$G85)</f>
      </c>
      <c r="I85" s="4">
        <f>IF($D85="","",IFERROR(LOOKUP(2,1/(((tblTransactions[Source Account]=$D85)+((tblTransactions[Transaction Type]="Transfer")*(tblTransactions[Destination Type]="Account")*(tblTransactions[Destination Name]=$D85)))*((tblTransactions[Transaction Status]="Completed")+(tblTransactions[Transaction Status]="Reconciled"))),tblTransactions[Transaction Date]),""))</f>
      </c>
      <c r="J85" s="1">
        <f>IF($D85="","",IFERROR(INDEX(tblAccounts[Account Type],ROW()-1),""))</f>
      </c>
      <c r="K85" s="1">
        <f>IF($D85="","",IFERROR(INDEX(tblAccounts[Include in Dashboard],ROW()-1),""))</f>
      </c>
      <c r="L85" s="1">
        <f>IF($D85="","",IFERROR(INDEX(tblAccounts[Status],ROW()-1),""))</f>
      </c>
    </row>
    <row r="86">
      <c r="D86" s="1">
        <f>IFERROR(IF(INDEX(tblAccounts[Account Name],ROW()-1)="","",INDEX(tblAccounts[Account Name],ROW()-1)),"")</f>
      </c>
      <c r="E86" s="1">
        <f>IF($D86="","",IFERROR(INDEX(tblAccounts[Opening Balance],ROW()-1),0))</f>
      </c>
      <c r="F86" s="1">
        <f>IF($D86="","",IFERROR(SUMIFS(tblTransactions[Amount],tblTransactions[Transaction Type],"Income",tblTransactions[Source Account],$D86,tblTransactions[Transaction Status],"Completed")+SUMIFS(tblTransactions[Amount],tblTransactions[Transaction Type],"Income",tblTransactions[Source Account],$D86,tblTransactions[Transaction Status],"Reconciled")+SUMIFS(tblTransactions[Amount],tblTransactions[Transaction Type],"Transfer",tblTransactions[Destination Type],"Account",tblTransactions[Destination Name],$D86,tblTransactions[Transaction Status],"Completed")+SUMIFS(tblTransactions[Amount],tblTransactions[Transaction Type],"Transfer",tblTransactions[Destination Type],"Account",tblTransactions[Destination Name],$D86,tblTransactions[Transaction Status],"Reconciled")+SUMIFS(tblTransactions[Amount],tblTransactions[Transaction Type],"Adjustment",tblTransactions[Source Account],$D86,tblTransactions[Transaction Status],"Completed",tblTransactions[Amount],"&gt;0")+SUMIFS(tblTransactions[Amount],tblTransactions[Transaction Type],"Adjustment",tblTransactions[Source Account],$D86,tblTransactions[Transaction Status],"Reconciled",tblTransactions[Amount],"&gt;0"),0))</f>
      </c>
      <c r="G86" s="1">
        <f>IF($D86="","",IFERROR(SUMIFS(tblTransactions[Amount],tblTransactions[Transaction Type],"Expense",tblTransactions[Source Account],$D86,tblTransactions[Transaction Status],"Completed")+SUMIFS(tblTransactions[Amount],tblTransactions[Transaction Type],"Expense",tblTransactions[Source Account],$D86,tblTransactions[Transaction Status],"Reconciled")+SUMIFS(tblTransactions[Amount],tblTransactions[Transaction Type],"Transfer",tblTransactions[Source Account],$D86,tblTransactions[Transaction Status],"Completed")+SUMIFS(tblTransactions[Amount],tblTransactions[Transaction Type],"Transfer",tblTransactions[Source Account],$D86,tblTransactions[Transaction Status],"Reconciled")-SUMIFS(tblTransactions[Amount],tblTransactions[Transaction Type],"Adjustment",tblTransactions[Source Account],$D86,tblTransactions[Transaction Status],"Completed",tblTransactions[Amount],"&lt;0")-SUMIFS(tblTransactions[Amount],tblTransactions[Transaction Type],"Adjustment",tblTransactions[Source Account],$D86,tblTransactions[Transaction Status],"Reconciled",tblTransactions[Amount],"&lt;0"),0))</f>
      </c>
      <c r="H86" s="1">
        <f>IF($D86="","",$E86+$F86-$G86)</f>
      </c>
      <c r="I86" s="4">
        <f>IF($D86="","",IFERROR(LOOKUP(2,1/(((tblTransactions[Source Account]=$D86)+((tblTransactions[Transaction Type]="Transfer")*(tblTransactions[Destination Type]="Account")*(tblTransactions[Destination Name]=$D86)))*((tblTransactions[Transaction Status]="Completed")+(tblTransactions[Transaction Status]="Reconciled"))),tblTransactions[Transaction Date]),""))</f>
      </c>
      <c r="J86" s="1">
        <f>IF($D86="","",IFERROR(INDEX(tblAccounts[Account Type],ROW()-1),""))</f>
      </c>
      <c r="K86" s="1">
        <f>IF($D86="","",IFERROR(INDEX(tblAccounts[Include in Dashboard],ROW()-1),""))</f>
      </c>
      <c r="L86" s="1">
        <f>IF($D86="","",IFERROR(INDEX(tblAccounts[Status],ROW()-1),""))</f>
      </c>
    </row>
    <row r="87">
      <c r="D87" s="1">
        <f>IFERROR(IF(INDEX(tblAccounts[Account Name],ROW()-1)="","",INDEX(tblAccounts[Account Name],ROW()-1)),"")</f>
      </c>
      <c r="E87" s="1">
        <f>IF($D87="","",IFERROR(INDEX(tblAccounts[Opening Balance],ROW()-1),0))</f>
      </c>
      <c r="F87" s="1">
        <f>IF($D87="","",IFERROR(SUMIFS(tblTransactions[Amount],tblTransactions[Transaction Type],"Income",tblTransactions[Source Account],$D87,tblTransactions[Transaction Status],"Completed")+SUMIFS(tblTransactions[Amount],tblTransactions[Transaction Type],"Income",tblTransactions[Source Account],$D87,tblTransactions[Transaction Status],"Reconciled")+SUMIFS(tblTransactions[Amount],tblTransactions[Transaction Type],"Transfer",tblTransactions[Destination Type],"Account",tblTransactions[Destination Name],$D87,tblTransactions[Transaction Status],"Completed")+SUMIFS(tblTransactions[Amount],tblTransactions[Transaction Type],"Transfer",tblTransactions[Destination Type],"Account",tblTransactions[Destination Name],$D87,tblTransactions[Transaction Status],"Reconciled")+SUMIFS(tblTransactions[Amount],tblTransactions[Transaction Type],"Adjustment",tblTransactions[Source Account],$D87,tblTransactions[Transaction Status],"Completed",tblTransactions[Amount],"&gt;0")+SUMIFS(tblTransactions[Amount],tblTransactions[Transaction Type],"Adjustment",tblTransactions[Source Account],$D87,tblTransactions[Transaction Status],"Reconciled",tblTransactions[Amount],"&gt;0"),0))</f>
      </c>
      <c r="G87" s="1">
        <f>IF($D87="","",IFERROR(SUMIFS(tblTransactions[Amount],tblTransactions[Transaction Type],"Expense",tblTransactions[Source Account],$D87,tblTransactions[Transaction Status],"Completed")+SUMIFS(tblTransactions[Amount],tblTransactions[Transaction Type],"Expense",tblTransactions[Source Account],$D87,tblTransactions[Transaction Status],"Reconciled")+SUMIFS(tblTransactions[Amount],tblTransactions[Transaction Type],"Transfer",tblTransactions[Source Account],$D87,tblTransactions[Transaction Status],"Completed")+SUMIFS(tblTransactions[Amount],tblTransactions[Transaction Type],"Transfer",tblTransactions[Source Account],$D87,tblTransactions[Transaction Status],"Reconciled")-SUMIFS(tblTransactions[Amount],tblTransactions[Transaction Type],"Adjustment",tblTransactions[Source Account],$D87,tblTransactions[Transaction Status],"Completed",tblTransactions[Amount],"&lt;0")-SUMIFS(tblTransactions[Amount],tblTransactions[Transaction Type],"Adjustment",tblTransactions[Source Account],$D87,tblTransactions[Transaction Status],"Reconciled",tblTransactions[Amount],"&lt;0"),0))</f>
      </c>
      <c r="H87" s="1">
        <f>IF($D87="","",$E87+$F87-$G87)</f>
      </c>
      <c r="I87" s="4">
        <f>IF($D87="","",IFERROR(LOOKUP(2,1/(((tblTransactions[Source Account]=$D87)+((tblTransactions[Transaction Type]="Transfer")*(tblTransactions[Destination Type]="Account")*(tblTransactions[Destination Name]=$D87)))*((tblTransactions[Transaction Status]="Completed")+(tblTransactions[Transaction Status]="Reconciled"))),tblTransactions[Transaction Date]),""))</f>
      </c>
      <c r="J87" s="1">
        <f>IF($D87="","",IFERROR(INDEX(tblAccounts[Account Type],ROW()-1),""))</f>
      </c>
      <c r="K87" s="1">
        <f>IF($D87="","",IFERROR(INDEX(tblAccounts[Include in Dashboard],ROW()-1),""))</f>
      </c>
      <c r="L87" s="1">
        <f>IF($D87="","",IFERROR(INDEX(tblAccounts[Status],ROW()-1),""))</f>
      </c>
    </row>
    <row r="88">
      <c r="D88" s="1">
        <f>IFERROR(IF(INDEX(tblAccounts[Account Name],ROW()-1)="","",INDEX(tblAccounts[Account Name],ROW()-1)),"")</f>
      </c>
      <c r="E88" s="1">
        <f>IF($D88="","",IFERROR(INDEX(tblAccounts[Opening Balance],ROW()-1),0))</f>
      </c>
      <c r="F88" s="1">
        <f>IF($D88="","",IFERROR(SUMIFS(tblTransactions[Amount],tblTransactions[Transaction Type],"Income",tblTransactions[Source Account],$D88,tblTransactions[Transaction Status],"Completed")+SUMIFS(tblTransactions[Amount],tblTransactions[Transaction Type],"Income",tblTransactions[Source Account],$D88,tblTransactions[Transaction Status],"Reconciled")+SUMIFS(tblTransactions[Amount],tblTransactions[Transaction Type],"Transfer",tblTransactions[Destination Type],"Account",tblTransactions[Destination Name],$D88,tblTransactions[Transaction Status],"Completed")+SUMIFS(tblTransactions[Amount],tblTransactions[Transaction Type],"Transfer",tblTransactions[Destination Type],"Account",tblTransactions[Destination Name],$D88,tblTransactions[Transaction Status],"Reconciled")+SUMIFS(tblTransactions[Amount],tblTransactions[Transaction Type],"Adjustment",tblTransactions[Source Account],$D88,tblTransactions[Transaction Status],"Completed",tblTransactions[Amount],"&gt;0")+SUMIFS(tblTransactions[Amount],tblTransactions[Transaction Type],"Adjustment",tblTransactions[Source Account],$D88,tblTransactions[Transaction Status],"Reconciled",tblTransactions[Amount],"&gt;0"),0))</f>
      </c>
      <c r="G88" s="1">
        <f>IF($D88="","",IFERROR(SUMIFS(tblTransactions[Amount],tblTransactions[Transaction Type],"Expense",tblTransactions[Source Account],$D88,tblTransactions[Transaction Status],"Completed")+SUMIFS(tblTransactions[Amount],tblTransactions[Transaction Type],"Expense",tblTransactions[Source Account],$D88,tblTransactions[Transaction Status],"Reconciled")+SUMIFS(tblTransactions[Amount],tblTransactions[Transaction Type],"Transfer",tblTransactions[Source Account],$D88,tblTransactions[Transaction Status],"Completed")+SUMIFS(tblTransactions[Amount],tblTransactions[Transaction Type],"Transfer",tblTransactions[Source Account],$D88,tblTransactions[Transaction Status],"Reconciled")-SUMIFS(tblTransactions[Amount],tblTransactions[Transaction Type],"Adjustment",tblTransactions[Source Account],$D88,tblTransactions[Transaction Status],"Completed",tblTransactions[Amount],"&lt;0")-SUMIFS(tblTransactions[Amount],tblTransactions[Transaction Type],"Adjustment",tblTransactions[Source Account],$D88,tblTransactions[Transaction Status],"Reconciled",tblTransactions[Amount],"&lt;0"),0))</f>
      </c>
      <c r="H88" s="1">
        <f>IF($D88="","",$E88+$F88-$G88)</f>
      </c>
      <c r="I88" s="4">
        <f>IF($D88="","",IFERROR(LOOKUP(2,1/(((tblTransactions[Source Account]=$D88)+((tblTransactions[Transaction Type]="Transfer")*(tblTransactions[Destination Type]="Account")*(tblTransactions[Destination Name]=$D88)))*((tblTransactions[Transaction Status]="Completed")+(tblTransactions[Transaction Status]="Reconciled"))),tblTransactions[Transaction Date]),""))</f>
      </c>
      <c r="J88" s="1">
        <f>IF($D88="","",IFERROR(INDEX(tblAccounts[Account Type],ROW()-1),""))</f>
      </c>
      <c r="K88" s="1">
        <f>IF($D88="","",IFERROR(INDEX(tblAccounts[Include in Dashboard],ROW()-1),""))</f>
      </c>
      <c r="L88" s="1">
        <f>IF($D88="","",IFERROR(INDEX(tblAccounts[Status],ROW()-1),""))</f>
      </c>
    </row>
    <row r="89">
      <c r="D89" s="1">
        <f>IFERROR(IF(INDEX(tblAccounts[Account Name],ROW()-1)="","",INDEX(tblAccounts[Account Name],ROW()-1)),"")</f>
      </c>
      <c r="E89" s="1">
        <f>IF($D89="","",IFERROR(INDEX(tblAccounts[Opening Balance],ROW()-1),0))</f>
      </c>
      <c r="F89" s="1">
        <f>IF($D89="","",IFERROR(SUMIFS(tblTransactions[Amount],tblTransactions[Transaction Type],"Income",tblTransactions[Source Account],$D89,tblTransactions[Transaction Status],"Completed")+SUMIFS(tblTransactions[Amount],tblTransactions[Transaction Type],"Income",tblTransactions[Source Account],$D89,tblTransactions[Transaction Status],"Reconciled")+SUMIFS(tblTransactions[Amount],tblTransactions[Transaction Type],"Transfer",tblTransactions[Destination Type],"Account",tblTransactions[Destination Name],$D89,tblTransactions[Transaction Status],"Completed")+SUMIFS(tblTransactions[Amount],tblTransactions[Transaction Type],"Transfer",tblTransactions[Destination Type],"Account",tblTransactions[Destination Name],$D89,tblTransactions[Transaction Status],"Reconciled")+SUMIFS(tblTransactions[Amount],tblTransactions[Transaction Type],"Adjustment",tblTransactions[Source Account],$D89,tblTransactions[Transaction Status],"Completed",tblTransactions[Amount],"&gt;0")+SUMIFS(tblTransactions[Amount],tblTransactions[Transaction Type],"Adjustment",tblTransactions[Source Account],$D89,tblTransactions[Transaction Status],"Reconciled",tblTransactions[Amount],"&gt;0"),0))</f>
      </c>
      <c r="G89" s="1">
        <f>IF($D89="","",IFERROR(SUMIFS(tblTransactions[Amount],tblTransactions[Transaction Type],"Expense",tblTransactions[Source Account],$D89,tblTransactions[Transaction Status],"Completed")+SUMIFS(tblTransactions[Amount],tblTransactions[Transaction Type],"Expense",tblTransactions[Source Account],$D89,tblTransactions[Transaction Status],"Reconciled")+SUMIFS(tblTransactions[Amount],tblTransactions[Transaction Type],"Transfer",tblTransactions[Source Account],$D89,tblTransactions[Transaction Status],"Completed")+SUMIFS(tblTransactions[Amount],tblTransactions[Transaction Type],"Transfer",tblTransactions[Source Account],$D89,tblTransactions[Transaction Status],"Reconciled")-SUMIFS(tblTransactions[Amount],tblTransactions[Transaction Type],"Adjustment",tblTransactions[Source Account],$D89,tblTransactions[Transaction Status],"Completed",tblTransactions[Amount],"&lt;0")-SUMIFS(tblTransactions[Amount],tblTransactions[Transaction Type],"Adjustment",tblTransactions[Source Account],$D89,tblTransactions[Transaction Status],"Reconciled",tblTransactions[Amount],"&lt;0"),0))</f>
      </c>
      <c r="H89" s="1">
        <f>IF($D89="","",$E89+$F89-$G89)</f>
      </c>
      <c r="I89" s="4">
        <f>IF($D89="","",IFERROR(LOOKUP(2,1/(((tblTransactions[Source Account]=$D89)+((tblTransactions[Transaction Type]="Transfer")*(tblTransactions[Destination Type]="Account")*(tblTransactions[Destination Name]=$D89)))*((tblTransactions[Transaction Status]="Completed")+(tblTransactions[Transaction Status]="Reconciled"))),tblTransactions[Transaction Date]),""))</f>
      </c>
      <c r="J89" s="1">
        <f>IF($D89="","",IFERROR(INDEX(tblAccounts[Account Type],ROW()-1),""))</f>
      </c>
      <c r="K89" s="1">
        <f>IF($D89="","",IFERROR(INDEX(tblAccounts[Include in Dashboard],ROW()-1),""))</f>
      </c>
      <c r="L89" s="1">
        <f>IF($D89="","",IFERROR(INDEX(tblAccounts[Status],ROW()-1),""))</f>
      </c>
    </row>
    <row r="90">
      <c r="D90" s="1">
        <f>IFERROR(IF(INDEX(tblAccounts[Account Name],ROW()-1)="","",INDEX(tblAccounts[Account Name],ROW()-1)),"")</f>
      </c>
      <c r="E90" s="1">
        <f>IF($D90="","",IFERROR(INDEX(tblAccounts[Opening Balance],ROW()-1),0))</f>
      </c>
      <c r="F90" s="1">
        <f>IF($D90="","",IFERROR(SUMIFS(tblTransactions[Amount],tblTransactions[Transaction Type],"Income",tblTransactions[Source Account],$D90,tblTransactions[Transaction Status],"Completed")+SUMIFS(tblTransactions[Amount],tblTransactions[Transaction Type],"Income",tblTransactions[Source Account],$D90,tblTransactions[Transaction Status],"Reconciled")+SUMIFS(tblTransactions[Amount],tblTransactions[Transaction Type],"Transfer",tblTransactions[Destination Type],"Account",tblTransactions[Destination Name],$D90,tblTransactions[Transaction Status],"Completed")+SUMIFS(tblTransactions[Amount],tblTransactions[Transaction Type],"Transfer",tblTransactions[Destination Type],"Account",tblTransactions[Destination Name],$D90,tblTransactions[Transaction Status],"Reconciled")+SUMIFS(tblTransactions[Amount],tblTransactions[Transaction Type],"Adjustment",tblTransactions[Source Account],$D90,tblTransactions[Transaction Status],"Completed",tblTransactions[Amount],"&gt;0")+SUMIFS(tblTransactions[Amount],tblTransactions[Transaction Type],"Adjustment",tblTransactions[Source Account],$D90,tblTransactions[Transaction Status],"Reconciled",tblTransactions[Amount],"&gt;0"),0))</f>
      </c>
      <c r="G90" s="1">
        <f>IF($D90="","",IFERROR(SUMIFS(tblTransactions[Amount],tblTransactions[Transaction Type],"Expense",tblTransactions[Source Account],$D90,tblTransactions[Transaction Status],"Completed")+SUMIFS(tblTransactions[Amount],tblTransactions[Transaction Type],"Expense",tblTransactions[Source Account],$D90,tblTransactions[Transaction Status],"Reconciled")+SUMIFS(tblTransactions[Amount],tblTransactions[Transaction Type],"Transfer",tblTransactions[Source Account],$D90,tblTransactions[Transaction Status],"Completed")+SUMIFS(tblTransactions[Amount],tblTransactions[Transaction Type],"Transfer",tblTransactions[Source Account],$D90,tblTransactions[Transaction Status],"Reconciled")-SUMIFS(tblTransactions[Amount],tblTransactions[Transaction Type],"Adjustment",tblTransactions[Source Account],$D90,tblTransactions[Transaction Status],"Completed",tblTransactions[Amount],"&lt;0")-SUMIFS(tblTransactions[Amount],tblTransactions[Transaction Type],"Adjustment",tblTransactions[Source Account],$D90,tblTransactions[Transaction Status],"Reconciled",tblTransactions[Amount],"&lt;0"),0))</f>
      </c>
      <c r="H90" s="1">
        <f>IF($D90="","",$E90+$F90-$G90)</f>
      </c>
      <c r="I90" s="4">
        <f>IF($D90="","",IFERROR(LOOKUP(2,1/(((tblTransactions[Source Account]=$D90)+((tblTransactions[Transaction Type]="Transfer")*(tblTransactions[Destination Type]="Account")*(tblTransactions[Destination Name]=$D90)))*((tblTransactions[Transaction Status]="Completed")+(tblTransactions[Transaction Status]="Reconciled"))),tblTransactions[Transaction Date]),""))</f>
      </c>
      <c r="J90" s="1">
        <f>IF($D90="","",IFERROR(INDEX(tblAccounts[Account Type],ROW()-1),""))</f>
      </c>
      <c r="K90" s="1">
        <f>IF($D90="","",IFERROR(INDEX(tblAccounts[Include in Dashboard],ROW()-1),""))</f>
      </c>
      <c r="L90" s="1">
        <f>IF($D90="","",IFERROR(INDEX(tblAccounts[Status],ROW()-1),""))</f>
      </c>
    </row>
    <row r="91">
      <c r="D91" s="1">
        <f>IFERROR(IF(INDEX(tblAccounts[Account Name],ROW()-1)="","",INDEX(tblAccounts[Account Name],ROW()-1)),"")</f>
      </c>
      <c r="E91" s="1">
        <f>IF($D91="","",IFERROR(INDEX(tblAccounts[Opening Balance],ROW()-1),0))</f>
      </c>
      <c r="F91" s="1">
        <f>IF($D91="","",IFERROR(SUMIFS(tblTransactions[Amount],tblTransactions[Transaction Type],"Income",tblTransactions[Source Account],$D91,tblTransactions[Transaction Status],"Completed")+SUMIFS(tblTransactions[Amount],tblTransactions[Transaction Type],"Income",tblTransactions[Source Account],$D91,tblTransactions[Transaction Status],"Reconciled")+SUMIFS(tblTransactions[Amount],tblTransactions[Transaction Type],"Transfer",tblTransactions[Destination Type],"Account",tblTransactions[Destination Name],$D91,tblTransactions[Transaction Status],"Completed")+SUMIFS(tblTransactions[Amount],tblTransactions[Transaction Type],"Transfer",tblTransactions[Destination Type],"Account",tblTransactions[Destination Name],$D91,tblTransactions[Transaction Status],"Reconciled")+SUMIFS(tblTransactions[Amount],tblTransactions[Transaction Type],"Adjustment",tblTransactions[Source Account],$D91,tblTransactions[Transaction Status],"Completed",tblTransactions[Amount],"&gt;0")+SUMIFS(tblTransactions[Amount],tblTransactions[Transaction Type],"Adjustment",tblTransactions[Source Account],$D91,tblTransactions[Transaction Status],"Reconciled",tblTransactions[Amount],"&gt;0"),0))</f>
      </c>
      <c r="G91" s="1">
        <f>IF($D91="","",IFERROR(SUMIFS(tblTransactions[Amount],tblTransactions[Transaction Type],"Expense",tblTransactions[Source Account],$D91,tblTransactions[Transaction Status],"Completed")+SUMIFS(tblTransactions[Amount],tblTransactions[Transaction Type],"Expense",tblTransactions[Source Account],$D91,tblTransactions[Transaction Status],"Reconciled")+SUMIFS(tblTransactions[Amount],tblTransactions[Transaction Type],"Transfer",tblTransactions[Source Account],$D91,tblTransactions[Transaction Status],"Completed")+SUMIFS(tblTransactions[Amount],tblTransactions[Transaction Type],"Transfer",tblTransactions[Source Account],$D91,tblTransactions[Transaction Status],"Reconciled")-SUMIFS(tblTransactions[Amount],tblTransactions[Transaction Type],"Adjustment",tblTransactions[Source Account],$D91,tblTransactions[Transaction Status],"Completed",tblTransactions[Amount],"&lt;0")-SUMIFS(tblTransactions[Amount],tblTransactions[Transaction Type],"Adjustment",tblTransactions[Source Account],$D91,tblTransactions[Transaction Status],"Reconciled",tblTransactions[Amount],"&lt;0"),0))</f>
      </c>
      <c r="H91" s="1">
        <f>IF($D91="","",$E91+$F91-$G91)</f>
      </c>
      <c r="I91" s="4">
        <f>IF($D91="","",IFERROR(LOOKUP(2,1/(((tblTransactions[Source Account]=$D91)+((tblTransactions[Transaction Type]="Transfer")*(tblTransactions[Destination Type]="Account")*(tblTransactions[Destination Name]=$D91)))*((tblTransactions[Transaction Status]="Completed")+(tblTransactions[Transaction Status]="Reconciled"))),tblTransactions[Transaction Date]),""))</f>
      </c>
      <c r="J91" s="1">
        <f>IF($D91="","",IFERROR(INDEX(tblAccounts[Account Type],ROW()-1),""))</f>
      </c>
      <c r="K91" s="1">
        <f>IF($D91="","",IFERROR(INDEX(tblAccounts[Include in Dashboard],ROW()-1),""))</f>
      </c>
      <c r="L91" s="1">
        <f>IF($D91="","",IFERROR(INDEX(tblAccounts[Status],ROW()-1),""))</f>
      </c>
    </row>
    <row r="92">
      <c r="D92" s="1">
        <f>IFERROR(IF(INDEX(tblAccounts[Account Name],ROW()-1)="","",INDEX(tblAccounts[Account Name],ROW()-1)),"")</f>
      </c>
      <c r="E92" s="1">
        <f>IF($D92="","",IFERROR(INDEX(tblAccounts[Opening Balance],ROW()-1),0))</f>
      </c>
      <c r="F92" s="1">
        <f>IF($D92="","",IFERROR(SUMIFS(tblTransactions[Amount],tblTransactions[Transaction Type],"Income",tblTransactions[Source Account],$D92,tblTransactions[Transaction Status],"Completed")+SUMIFS(tblTransactions[Amount],tblTransactions[Transaction Type],"Income",tblTransactions[Source Account],$D92,tblTransactions[Transaction Status],"Reconciled")+SUMIFS(tblTransactions[Amount],tblTransactions[Transaction Type],"Transfer",tblTransactions[Destination Type],"Account",tblTransactions[Destination Name],$D92,tblTransactions[Transaction Status],"Completed")+SUMIFS(tblTransactions[Amount],tblTransactions[Transaction Type],"Transfer",tblTransactions[Destination Type],"Account",tblTransactions[Destination Name],$D92,tblTransactions[Transaction Status],"Reconciled")+SUMIFS(tblTransactions[Amount],tblTransactions[Transaction Type],"Adjustment",tblTransactions[Source Account],$D92,tblTransactions[Transaction Status],"Completed",tblTransactions[Amount],"&gt;0")+SUMIFS(tblTransactions[Amount],tblTransactions[Transaction Type],"Adjustment",tblTransactions[Source Account],$D92,tblTransactions[Transaction Status],"Reconciled",tblTransactions[Amount],"&gt;0"),0))</f>
      </c>
      <c r="G92" s="1">
        <f>IF($D92="","",IFERROR(SUMIFS(tblTransactions[Amount],tblTransactions[Transaction Type],"Expense",tblTransactions[Source Account],$D92,tblTransactions[Transaction Status],"Completed")+SUMIFS(tblTransactions[Amount],tblTransactions[Transaction Type],"Expense",tblTransactions[Source Account],$D92,tblTransactions[Transaction Status],"Reconciled")+SUMIFS(tblTransactions[Amount],tblTransactions[Transaction Type],"Transfer",tblTransactions[Source Account],$D92,tblTransactions[Transaction Status],"Completed")+SUMIFS(tblTransactions[Amount],tblTransactions[Transaction Type],"Transfer",tblTransactions[Source Account],$D92,tblTransactions[Transaction Status],"Reconciled")-SUMIFS(tblTransactions[Amount],tblTransactions[Transaction Type],"Adjustment",tblTransactions[Source Account],$D92,tblTransactions[Transaction Status],"Completed",tblTransactions[Amount],"&lt;0")-SUMIFS(tblTransactions[Amount],tblTransactions[Transaction Type],"Adjustment",tblTransactions[Source Account],$D92,tblTransactions[Transaction Status],"Reconciled",tblTransactions[Amount],"&lt;0"),0))</f>
      </c>
      <c r="H92" s="1">
        <f>IF($D92="","",$E92+$F92-$G92)</f>
      </c>
      <c r="I92" s="4">
        <f>IF($D92="","",IFERROR(LOOKUP(2,1/(((tblTransactions[Source Account]=$D92)+((tblTransactions[Transaction Type]="Transfer")*(tblTransactions[Destination Type]="Account")*(tblTransactions[Destination Name]=$D92)))*((tblTransactions[Transaction Status]="Completed")+(tblTransactions[Transaction Status]="Reconciled"))),tblTransactions[Transaction Date]),""))</f>
      </c>
      <c r="J92" s="1">
        <f>IF($D92="","",IFERROR(INDEX(tblAccounts[Account Type],ROW()-1),""))</f>
      </c>
      <c r="K92" s="1">
        <f>IF($D92="","",IFERROR(INDEX(tblAccounts[Include in Dashboard],ROW()-1),""))</f>
      </c>
      <c r="L92" s="1">
        <f>IF($D92="","",IFERROR(INDEX(tblAccounts[Status],ROW()-1),""))</f>
      </c>
    </row>
    <row r="93">
      <c r="D93" s="1">
        <f>IFERROR(IF(INDEX(tblAccounts[Account Name],ROW()-1)="","",INDEX(tblAccounts[Account Name],ROW()-1)),"")</f>
      </c>
      <c r="E93" s="1">
        <f>IF($D93="","",IFERROR(INDEX(tblAccounts[Opening Balance],ROW()-1),0))</f>
      </c>
      <c r="F93" s="1">
        <f>IF($D93="","",IFERROR(SUMIFS(tblTransactions[Amount],tblTransactions[Transaction Type],"Income",tblTransactions[Source Account],$D93,tblTransactions[Transaction Status],"Completed")+SUMIFS(tblTransactions[Amount],tblTransactions[Transaction Type],"Income",tblTransactions[Source Account],$D93,tblTransactions[Transaction Status],"Reconciled")+SUMIFS(tblTransactions[Amount],tblTransactions[Transaction Type],"Transfer",tblTransactions[Destination Type],"Account",tblTransactions[Destination Name],$D93,tblTransactions[Transaction Status],"Completed")+SUMIFS(tblTransactions[Amount],tblTransactions[Transaction Type],"Transfer",tblTransactions[Destination Type],"Account",tblTransactions[Destination Name],$D93,tblTransactions[Transaction Status],"Reconciled")+SUMIFS(tblTransactions[Amount],tblTransactions[Transaction Type],"Adjustment",tblTransactions[Source Account],$D93,tblTransactions[Transaction Status],"Completed",tblTransactions[Amount],"&gt;0")+SUMIFS(tblTransactions[Amount],tblTransactions[Transaction Type],"Adjustment",tblTransactions[Source Account],$D93,tblTransactions[Transaction Status],"Reconciled",tblTransactions[Amount],"&gt;0"),0))</f>
      </c>
      <c r="G93" s="1">
        <f>IF($D93="","",IFERROR(SUMIFS(tblTransactions[Amount],tblTransactions[Transaction Type],"Expense",tblTransactions[Source Account],$D93,tblTransactions[Transaction Status],"Completed")+SUMIFS(tblTransactions[Amount],tblTransactions[Transaction Type],"Expense",tblTransactions[Source Account],$D93,tblTransactions[Transaction Status],"Reconciled")+SUMIFS(tblTransactions[Amount],tblTransactions[Transaction Type],"Transfer",tblTransactions[Source Account],$D93,tblTransactions[Transaction Status],"Completed")+SUMIFS(tblTransactions[Amount],tblTransactions[Transaction Type],"Transfer",tblTransactions[Source Account],$D93,tblTransactions[Transaction Status],"Reconciled")-SUMIFS(tblTransactions[Amount],tblTransactions[Transaction Type],"Adjustment",tblTransactions[Source Account],$D93,tblTransactions[Transaction Status],"Completed",tblTransactions[Amount],"&lt;0")-SUMIFS(tblTransactions[Amount],tblTransactions[Transaction Type],"Adjustment",tblTransactions[Source Account],$D93,tblTransactions[Transaction Status],"Reconciled",tblTransactions[Amount],"&lt;0"),0))</f>
      </c>
      <c r="H93" s="1">
        <f>IF($D93="","",$E93+$F93-$G93)</f>
      </c>
      <c r="I93" s="4">
        <f>IF($D93="","",IFERROR(LOOKUP(2,1/(((tblTransactions[Source Account]=$D93)+((tblTransactions[Transaction Type]="Transfer")*(tblTransactions[Destination Type]="Account")*(tblTransactions[Destination Name]=$D93)))*((tblTransactions[Transaction Status]="Completed")+(tblTransactions[Transaction Status]="Reconciled"))),tblTransactions[Transaction Date]),""))</f>
      </c>
      <c r="J93" s="1">
        <f>IF($D93="","",IFERROR(INDEX(tblAccounts[Account Type],ROW()-1),""))</f>
      </c>
      <c r="K93" s="1">
        <f>IF($D93="","",IFERROR(INDEX(tblAccounts[Include in Dashboard],ROW()-1),""))</f>
      </c>
      <c r="L93" s="1">
        <f>IF($D93="","",IFERROR(INDEX(tblAccounts[Status],ROW()-1),""))</f>
      </c>
    </row>
    <row r="94">
      <c r="D94" s="1">
        <f>IFERROR(IF(INDEX(tblAccounts[Account Name],ROW()-1)="","",INDEX(tblAccounts[Account Name],ROW()-1)),"")</f>
      </c>
      <c r="E94" s="1">
        <f>IF($D94="","",IFERROR(INDEX(tblAccounts[Opening Balance],ROW()-1),0))</f>
      </c>
      <c r="F94" s="1">
        <f>IF($D94="","",IFERROR(SUMIFS(tblTransactions[Amount],tblTransactions[Transaction Type],"Income",tblTransactions[Source Account],$D94,tblTransactions[Transaction Status],"Completed")+SUMIFS(tblTransactions[Amount],tblTransactions[Transaction Type],"Income",tblTransactions[Source Account],$D94,tblTransactions[Transaction Status],"Reconciled")+SUMIFS(tblTransactions[Amount],tblTransactions[Transaction Type],"Transfer",tblTransactions[Destination Type],"Account",tblTransactions[Destination Name],$D94,tblTransactions[Transaction Status],"Completed")+SUMIFS(tblTransactions[Amount],tblTransactions[Transaction Type],"Transfer",tblTransactions[Destination Type],"Account",tblTransactions[Destination Name],$D94,tblTransactions[Transaction Status],"Reconciled")+SUMIFS(tblTransactions[Amount],tblTransactions[Transaction Type],"Adjustment",tblTransactions[Source Account],$D94,tblTransactions[Transaction Status],"Completed",tblTransactions[Amount],"&gt;0")+SUMIFS(tblTransactions[Amount],tblTransactions[Transaction Type],"Adjustment",tblTransactions[Source Account],$D94,tblTransactions[Transaction Status],"Reconciled",tblTransactions[Amount],"&gt;0"),0))</f>
      </c>
      <c r="G94" s="1">
        <f>IF($D94="","",IFERROR(SUMIFS(tblTransactions[Amount],tblTransactions[Transaction Type],"Expense",tblTransactions[Source Account],$D94,tblTransactions[Transaction Status],"Completed")+SUMIFS(tblTransactions[Amount],tblTransactions[Transaction Type],"Expense",tblTransactions[Source Account],$D94,tblTransactions[Transaction Status],"Reconciled")+SUMIFS(tblTransactions[Amount],tblTransactions[Transaction Type],"Transfer",tblTransactions[Source Account],$D94,tblTransactions[Transaction Status],"Completed")+SUMIFS(tblTransactions[Amount],tblTransactions[Transaction Type],"Transfer",tblTransactions[Source Account],$D94,tblTransactions[Transaction Status],"Reconciled")-SUMIFS(tblTransactions[Amount],tblTransactions[Transaction Type],"Adjustment",tblTransactions[Source Account],$D94,tblTransactions[Transaction Status],"Completed",tblTransactions[Amount],"&lt;0")-SUMIFS(tblTransactions[Amount],tblTransactions[Transaction Type],"Adjustment",tblTransactions[Source Account],$D94,tblTransactions[Transaction Status],"Reconciled",tblTransactions[Amount],"&lt;0"),0))</f>
      </c>
      <c r="H94" s="1">
        <f>IF($D94="","",$E94+$F94-$G94)</f>
      </c>
      <c r="I94" s="4">
        <f>IF($D94="","",IFERROR(LOOKUP(2,1/(((tblTransactions[Source Account]=$D94)+((tblTransactions[Transaction Type]="Transfer")*(tblTransactions[Destination Type]="Account")*(tblTransactions[Destination Name]=$D94)))*((tblTransactions[Transaction Status]="Completed")+(tblTransactions[Transaction Status]="Reconciled"))),tblTransactions[Transaction Date]),""))</f>
      </c>
      <c r="J94" s="1">
        <f>IF($D94="","",IFERROR(INDEX(tblAccounts[Account Type],ROW()-1),""))</f>
      </c>
      <c r="K94" s="1">
        <f>IF($D94="","",IFERROR(INDEX(tblAccounts[Include in Dashboard],ROW()-1),""))</f>
      </c>
      <c r="L94" s="1">
        <f>IF($D94="","",IFERROR(INDEX(tblAccounts[Status],ROW()-1),""))</f>
      </c>
    </row>
    <row r="95">
      <c r="D95" s="1">
        <f>IFERROR(IF(INDEX(tblAccounts[Account Name],ROW()-1)="","",INDEX(tblAccounts[Account Name],ROW()-1)),"")</f>
      </c>
      <c r="E95" s="1">
        <f>IF($D95="","",IFERROR(INDEX(tblAccounts[Opening Balance],ROW()-1),0))</f>
      </c>
      <c r="F95" s="1">
        <f>IF($D95="","",IFERROR(SUMIFS(tblTransactions[Amount],tblTransactions[Transaction Type],"Income",tblTransactions[Source Account],$D95,tblTransactions[Transaction Status],"Completed")+SUMIFS(tblTransactions[Amount],tblTransactions[Transaction Type],"Income",tblTransactions[Source Account],$D95,tblTransactions[Transaction Status],"Reconciled")+SUMIFS(tblTransactions[Amount],tblTransactions[Transaction Type],"Transfer",tblTransactions[Destination Type],"Account",tblTransactions[Destination Name],$D95,tblTransactions[Transaction Status],"Completed")+SUMIFS(tblTransactions[Amount],tblTransactions[Transaction Type],"Transfer",tblTransactions[Destination Type],"Account",tblTransactions[Destination Name],$D95,tblTransactions[Transaction Status],"Reconciled")+SUMIFS(tblTransactions[Amount],tblTransactions[Transaction Type],"Adjustment",tblTransactions[Source Account],$D95,tblTransactions[Transaction Status],"Completed",tblTransactions[Amount],"&gt;0")+SUMIFS(tblTransactions[Amount],tblTransactions[Transaction Type],"Adjustment",tblTransactions[Source Account],$D95,tblTransactions[Transaction Status],"Reconciled",tblTransactions[Amount],"&gt;0"),0))</f>
      </c>
      <c r="G95" s="1">
        <f>IF($D95="","",IFERROR(SUMIFS(tblTransactions[Amount],tblTransactions[Transaction Type],"Expense",tblTransactions[Source Account],$D95,tblTransactions[Transaction Status],"Completed")+SUMIFS(tblTransactions[Amount],tblTransactions[Transaction Type],"Expense",tblTransactions[Source Account],$D95,tblTransactions[Transaction Status],"Reconciled")+SUMIFS(tblTransactions[Amount],tblTransactions[Transaction Type],"Transfer",tblTransactions[Source Account],$D95,tblTransactions[Transaction Status],"Completed")+SUMIFS(tblTransactions[Amount],tblTransactions[Transaction Type],"Transfer",tblTransactions[Source Account],$D95,tblTransactions[Transaction Status],"Reconciled")-SUMIFS(tblTransactions[Amount],tblTransactions[Transaction Type],"Adjustment",tblTransactions[Source Account],$D95,tblTransactions[Transaction Status],"Completed",tblTransactions[Amount],"&lt;0")-SUMIFS(tblTransactions[Amount],tblTransactions[Transaction Type],"Adjustment",tblTransactions[Source Account],$D95,tblTransactions[Transaction Status],"Reconciled",tblTransactions[Amount],"&lt;0"),0))</f>
      </c>
      <c r="H95" s="1">
        <f>IF($D95="","",$E95+$F95-$G95)</f>
      </c>
      <c r="I95" s="4">
        <f>IF($D95="","",IFERROR(LOOKUP(2,1/(((tblTransactions[Source Account]=$D95)+((tblTransactions[Transaction Type]="Transfer")*(tblTransactions[Destination Type]="Account")*(tblTransactions[Destination Name]=$D95)))*((tblTransactions[Transaction Status]="Completed")+(tblTransactions[Transaction Status]="Reconciled"))),tblTransactions[Transaction Date]),""))</f>
      </c>
      <c r="J95" s="1">
        <f>IF($D95="","",IFERROR(INDEX(tblAccounts[Account Type],ROW()-1),""))</f>
      </c>
      <c r="K95" s="1">
        <f>IF($D95="","",IFERROR(INDEX(tblAccounts[Include in Dashboard],ROW()-1),""))</f>
      </c>
      <c r="L95" s="1">
        <f>IF($D95="","",IFERROR(INDEX(tblAccounts[Status],ROW()-1),""))</f>
      </c>
    </row>
    <row r="96">
      <c r="D96" s="1">
        <f>IFERROR(IF(INDEX(tblAccounts[Account Name],ROW()-1)="","",INDEX(tblAccounts[Account Name],ROW()-1)),"")</f>
      </c>
      <c r="E96" s="1">
        <f>IF($D96="","",IFERROR(INDEX(tblAccounts[Opening Balance],ROW()-1),0))</f>
      </c>
      <c r="F96" s="1">
        <f>IF($D96="","",IFERROR(SUMIFS(tblTransactions[Amount],tblTransactions[Transaction Type],"Income",tblTransactions[Source Account],$D96,tblTransactions[Transaction Status],"Completed")+SUMIFS(tblTransactions[Amount],tblTransactions[Transaction Type],"Income",tblTransactions[Source Account],$D96,tblTransactions[Transaction Status],"Reconciled")+SUMIFS(tblTransactions[Amount],tblTransactions[Transaction Type],"Transfer",tblTransactions[Destination Type],"Account",tblTransactions[Destination Name],$D96,tblTransactions[Transaction Status],"Completed")+SUMIFS(tblTransactions[Amount],tblTransactions[Transaction Type],"Transfer",tblTransactions[Destination Type],"Account",tblTransactions[Destination Name],$D96,tblTransactions[Transaction Status],"Reconciled")+SUMIFS(tblTransactions[Amount],tblTransactions[Transaction Type],"Adjustment",tblTransactions[Source Account],$D96,tblTransactions[Transaction Status],"Completed",tblTransactions[Amount],"&gt;0")+SUMIFS(tblTransactions[Amount],tblTransactions[Transaction Type],"Adjustment",tblTransactions[Source Account],$D96,tblTransactions[Transaction Status],"Reconciled",tblTransactions[Amount],"&gt;0"),0))</f>
      </c>
      <c r="G96" s="1">
        <f>IF($D96="","",IFERROR(SUMIFS(tblTransactions[Amount],tblTransactions[Transaction Type],"Expense",tblTransactions[Source Account],$D96,tblTransactions[Transaction Status],"Completed")+SUMIFS(tblTransactions[Amount],tblTransactions[Transaction Type],"Expense",tblTransactions[Source Account],$D96,tblTransactions[Transaction Status],"Reconciled")+SUMIFS(tblTransactions[Amount],tblTransactions[Transaction Type],"Transfer",tblTransactions[Source Account],$D96,tblTransactions[Transaction Status],"Completed")+SUMIFS(tblTransactions[Amount],tblTransactions[Transaction Type],"Transfer",tblTransactions[Source Account],$D96,tblTransactions[Transaction Status],"Reconciled")-SUMIFS(tblTransactions[Amount],tblTransactions[Transaction Type],"Adjustment",tblTransactions[Source Account],$D96,tblTransactions[Transaction Status],"Completed",tblTransactions[Amount],"&lt;0")-SUMIFS(tblTransactions[Amount],tblTransactions[Transaction Type],"Adjustment",tblTransactions[Source Account],$D96,tblTransactions[Transaction Status],"Reconciled",tblTransactions[Amount],"&lt;0"),0))</f>
      </c>
      <c r="H96" s="1">
        <f>IF($D96="","",$E96+$F96-$G96)</f>
      </c>
      <c r="I96" s="4">
        <f>IF($D96="","",IFERROR(LOOKUP(2,1/(((tblTransactions[Source Account]=$D96)+((tblTransactions[Transaction Type]="Transfer")*(tblTransactions[Destination Type]="Account")*(tblTransactions[Destination Name]=$D96)))*((tblTransactions[Transaction Status]="Completed")+(tblTransactions[Transaction Status]="Reconciled"))),tblTransactions[Transaction Date]),""))</f>
      </c>
      <c r="J96" s="1">
        <f>IF($D96="","",IFERROR(INDEX(tblAccounts[Account Type],ROW()-1),""))</f>
      </c>
      <c r="K96" s="1">
        <f>IF($D96="","",IFERROR(INDEX(tblAccounts[Include in Dashboard],ROW()-1),""))</f>
      </c>
      <c r="L96" s="1">
        <f>IF($D96="","",IFERROR(INDEX(tblAccounts[Status],ROW()-1),""))</f>
      </c>
    </row>
    <row r="97">
      <c r="D97" s="1">
        <f>IFERROR(IF(INDEX(tblAccounts[Account Name],ROW()-1)="","",INDEX(tblAccounts[Account Name],ROW()-1)),"")</f>
      </c>
      <c r="E97" s="1">
        <f>IF($D97="","",IFERROR(INDEX(tblAccounts[Opening Balance],ROW()-1),0))</f>
      </c>
      <c r="F97" s="1">
        <f>IF($D97="","",IFERROR(SUMIFS(tblTransactions[Amount],tblTransactions[Transaction Type],"Income",tblTransactions[Source Account],$D97,tblTransactions[Transaction Status],"Completed")+SUMIFS(tblTransactions[Amount],tblTransactions[Transaction Type],"Income",tblTransactions[Source Account],$D97,tblTransactions[Transaction Status],"Reconciled")+SUMIFS(tblTransactions[Amount],tblTransactions[Transaction Type],"Transfer",tblTransactions[Destination Type],"Account",tblTransactions[Destination Name],$D97,tblTransactions[Transaction Status],"Completed")+SUMIFS(tblTransactions[Amount],tblTransactions[Transaction Type],"Transfer",tblTransactions[Destination Type],"Account",tblTransactions[Destination Name],$D97,tblTransactions[Transaction Status],"Reconciled")+SUMIFS(tblTransactions[Amount],tblTransactions[Transaction Type],"Adjustment",tblTransactions[Source Account],$D97,tblTransactions[Transaction Status],"Completed",tblTransactions[Amount],"&gt;0")+SUMIFS(tblTransactions[Amount],tblTransactions[Transaction Type],"Adjustment",tblTransactions[Source Account],$D97,tblTransactions[Transaction Status],"Reconciled",tblTransactions[Amount],"&gt;0"),0))</f>
      </c>
      <c r="G97" s="1">
        <f>IF($D97="","",IFERROR(SUMIFS(tblTransactions[Amount],tblTransactions[Transaction Type],"Expense",tblTransactions[Source Account],$D97,tblTransactions[Transaction Status],"Completed")+SUMIFS(tblTransactions[Amount],tblTransactions[Transaction Type],"Expense",tblTransactions[Source Account],$D97,tblTransactions[Transaction Status],"Reconciled")+SUMIFS(tblTransactions[Amount],tblTransactions[Transaction Type],"Transfer",tblTransactions[Source Account],$D97,tblTransactions[Transaction Status],"Completed")+SUMIFS(tblTransactions[Amount],tblTransactions[Transaction Type],"Transfer",tblTransactions[Source Account],$D97,tblTransactions[Transaction Status],"Reconciled")-SUMIFS(tblTransactions[Amount],tblTransactions[Transaction Type],"Adjustment",tblTransactions[Source Account],$D97,tblTransactions[Transaction Status],"Completed",tblTransactions[Amount],"&lt;0")-SUMIFS(tblTransactions[Amount],tblTransactions[Transaction Type],"Adjustment",tblTransactions[Source Account],$D97,tblTransactions[Transaction Status],"Reconciled",tblTransactions[Amount],"&lt;0"),0))</f>
      </c>
      <c r="H97" s="1">
        <f>IF($D97="","",$E97+$F97-$G97)</f>
      </c>
      <c r="I97" s="4">
        <f>IF($D97="","",IFERROR(LOOKUP(2,1/(((tblTransactions[Source Account]=$D97)+((tblTransactions[Transaction Type]="Transfer")*(tblTransactions[Destination Type]="Account")*(tblTransactions[Destination Name]=$D97)))*((tblTransactions[Transaction Status]="Completed")+(tblTransactions[Transaction Status]="Reconciled"))),tblTransactions[Transaction Date]),""))</f>
      </c>
      <c r="J97" s="1">
        <f>IF($D97="","",IFERROR(INDEX(tblAccounts[Account Type],ROW()-1),""))</f>
      </c>
      <c r="K97" s="1">
        <f>IF($D97="","",IFERROR(INDEX(tblAccounts[Include in Dashboard],ROW()-1),""))</f>
      </c>
      <c r="L97" s="1">
        <f>IF($D97="","",IFERROR(INDEX(tblAccounts[Status],ROW()-1),""))</f>
      </c>
    </row>
    <row r="98">
      <c r="D98" s="1">
        <f>IFERROR(IF(INDEX(tblAccounts[Account Name],ROW()-1)="","",INDEX(tblAccounts[Account Name],ROW()-1)),"")</f>
      </c>
      <c r="E98" s="1">
        <f>IF($D98="","",IFERROR(INDEX(tblAccounts[Opening Balance],ROW()-1),0))</f>
      </c>
      <c r="F98" s="1">
        <f>IF($D98="","",IFERROR(SUMIFS(tblTransactions[Amount],tblTransactions[Transaction Type],"Income",tblTransactions[Source Account],$D98,tblTransactions[Transaction Status],"Completed")+SUMIFS(tblTransactions[Amount],tblTransactions[Transaction Type],"Income",tblTransactions[Source Account],$D98,tblTransactions[Transaction Status],"Reconciled")+SUMIFS(tblTransactions[Amount],tblTransactions[Transaction Type],"Transfer",tblTransactions[Destination Type],"Account",tblTransactions[Destination Name],$D98,tblTransactions[Transaction Status],"Completed")+SUMIFS(tblTransactions[Amount],tblTransactions[Transaction Type],"Transfer",tblTransactions[Destination Type],"Account",tblTransactions[Destination Name],$D98,tblTransactions[Transaction Status],"Reconciled")+SUMIFS(tblTransactions[Amount],tblTransactions[Transaction Type],"Adjustment",tblTransactions[Source Account],$D98,tblTransactions[Transaction Status],"Completed",tblTransactions[Amount],"&gt;0")+SUMIFS(tblTransactions[Amount],tblTransactions[Transaction Type],"Adjustment",tblTransactions[Source Account],$D98,tblTransactions[Transaction Status],"Reconciled",tblTransactions[Amount],"&gt;0"),0))</f>
      </c>
      <c r="G98" s="1">
        <f>IF($D98="","",IFERROR(SUMIFS(tblTransactions[Amount],tblTransactions[Transaction Type],"Expense",tblTransactions[Source Account],$D98,tblTransactions[Transaction Status],"Completed")+SUMIFS(tblTransactions[Amount],tblTransactions[Transaction Type],"Expense",tblTransactions[Source Account],$D98,tblTransactions[Transaction Status],"Reconciled")+SUMIFS(tblTransactions[Amount],tblTransactions[Transaction Type],"Transfer",tblTransactions[Source Account],$D98,tblTransactions[Transaction Status],"Completed")+SUMIFS(tblTransactions[Amount],tblTransactions[Transaction Type],"Transfer",tblTransactions[Source Account],$D98,tblTransactions[Transaction Status],"Reconciled")-SUMIFS(tblTransactions[Amount],tblTransactions[Transaction Type],"Adjustment",tblTransactions[Source Account],$D98,tblTransactions[Transaction Status],"Completed",tblTransactions[Amount],"&lt;0")-SUMIFS(tblTransactions[Amount],tblTransactions[Transaction Type],"Adjustment",tblTransactions[Source Account],$D98,tblTransactions[Transaction Status],"Reconciled",tblTransactions[Amount],"&lt;0"),0))</f>
      </c>
      <c r="H98" s="1">
        <f>IF($D98="","",$E98+$F98-$G98)</f>
      </c>
      <c r="I98" s="4">
        <f>IF($D98="","",IFERROR(LOOKUP(2,1/(((tblTransactions[Source Account]=$D98)+((tblTransactions[Transaction Type]="Transfer")*(tblTransactions[Destination Type]="Account")*(tblTransactions[Destination Name]=$D98)))*((tblTransactions[Transaction Status]="Completed")+(tblTransactions[Transaction Status]="Reconciled"))),tblTransactions[Transaction Date]),""))</f>
      </c>
      <c r="J98" s="1">
        <f>IF($D98="","",IFERROR(INDEX(tblAccounts[Account Type],ROW()-1),""))</f>
      </c>
      <c r="K98" s="1">
        <f>IF($D98="","",IFERROR(INDEX(tblAccounts[Include in Dashboard],ROW()-1),""))</f>
      </c>
      <c r="L98" s="1">
        <f>IF($D98="","",IFERROR(INDEX(tblAccounts[Status],ROW()-1),""))</f>
      </c>
    </row>
    <row r="99">
      <c r="D99" s="1">
        <f>IFERROR(IF(INDEX(tblAccounts[Account Name],ROW()-1)="","",INDEX(tblAccounts[Account Name],ROW()-1)),"")</f>
      </c>
      <c r="E99" s="1">
        <f>IF($D99="","",IFERROR(INDEX(tblAccounts[Opening Balance],ROW()-1),0))</f>
      </c>
      <c r="F99" s="1">
        <f>IF($D99="","",IFERROR(SUMIFS(tblTransactions[Amount],tblTransactions[Transaction Type],"Income",tblTransactions[Source Account],$D99,tblTransactions[Transaction Status],"Completed")+SUMIFS(tblTransactions[Amount],tblTransactions[Transaction Type],"Income",tblTransactions[Source Account],$D99,tblTransactions[Transaction Status],"Reconciled")+SUMIFS(tblTransactions[Amount],tblTransactions[Transaction Type],"Transfer",tblTransactions[Destination Type],"Account",tblTransactions[Destination Name],$D99,tblTransactions[Transaction Status],"Completed")+SUMIFS(tblTransactions[Amount],tblTransactions[Transaction Type],"Transfer",tblTransactions[Destination Type],"Account",tblTransactions[Destination Name],$D99,tblTransactions[Transaction Status],"Reconciled")+SUMIFS(tblTransactions[Amount],tblTransactions[Transaction Type],"Adjustment",tblTransactions[Source Account],$D99,tblTransactions[Transaction Status],"Completed",tblTransactions[Amount],"&gt;0")+SUMIFS(tblTransactions[Amount],tblTransactions[Transaction Type],"Adjustment",tblTransactions[Source Account],$D99,tblTransactions[Transaction Status],"Reconciled",tblTransactions[Amount],"&gt;0"),0))</f>
      </c>
      <c r="G99" s="1">
        <f>IF($D99="","",IFERROR(SUMIFS(tblTransactions[Amount],tblTransactions[Transaction Type],"Expense",tblTransactions[Source Account],$D99,tblTransactions[Transaction Status],"Completed")+SUMIFS(tblTransactions[Amount],tblTransactions[Transaction Type],"Expense",tblTransactions[Source Account],$D99,tblTransactions[Transaction Status],"Reconciled")+SUMIFS(tblTransactions[Amount],tblTransactions[Transaction Type],"Transfer",tblTransactions[Source Account],$D99,tblTransactions[Transaction Status],"Completed")+SUMIFS(tblTransactions[Amount],tblTransactions[Transaction Type],"Transfer",tblTransactions[Source Account],$D99,tblTransactions[Transaction Status],"Reconciled")-SUMIFS(tblTransactions[Amount],tblTransactions[Transaction Type],"Adjustment",tblTransactions[Source Account],$D99,tblTransactions[Transaction Status],"Completed",tblTransactions[Amount],"&lt;0")-SUMIFS(tblTransactions[Amount],tblTransactions[Transaction Type],"Adjustment",tblTransactions[Source Account],$D99,tblTransactions[Transaction Status],"Reconciled",tblTransactions[Amount],"&lt;0"),0))</f>
      </c>
      <c r="H99" s="1">
        <f>IF($D99="","",$E99+$F99-$G99)</f>
      </c>
      <c r="I99" s="4">
        <f>IF($D99="","",IFERROR(LOOKUP(2,1/(((tblTransactions[Source Account]=$D99)+((tblTransactions[Transaction Type]="Transfer")*(tblTransactions[Destination Type]="Account")*(tblTransactions[Destination Name]=$D99)))*((tblTransactions[Transaction Status]="Completed")+(tblTransactions[Transaction Status]="Reconciled"))),tblTransactions[Transaction Date]),""))</f>
      </c>
      <c r="J99" s="1">
        <f>IF($D99="","",IFERROR(INDEX(tblAccounts[Account Type],ROW()-1),""))</f>
      </c>
      <c r="K99" s="1">
        <f>IF($D99="","",IFERROR(INDEX(tblAccounts[Include in Dashboard],ROW()-1),""))</f>
      </c>
      <c r="L99" s="1">
        <f>IF($D99="","",IFERROR(INDEX(tblAccounts[Status],ROW()-1),""))</f>
      </c>
    </row>
    <row r="100">
      <c r="D100" s="1">
        <f>IFERROR(IF(INDEX(tblAccounts[Account Name],ROW()-1)="","",INDEX(tblAccounts[Account Name],ROW()-1)),"")</f>
      </c>
      <c r="E100" s="1">
        <f>IF($D100="","",IFERROR(INDEX(tblAccounts[Opening Balance],ROW()-1),0))</f>
      </c>
      <c r="F100" s="1">
        <f>IF($D100="","",IFERROR(SUMIFS(tblTransactions[Amount],tblTransactions[Transaction Type],"Income",tblTransactions[Source Account],$D100,tblTransactions[Transaction Status],"Completed")+SUMIFS(tblTransactions[Amount],tblTransactions[Transaction Type],"Income",tblTransactions[Source Account],$D100,tblTransactions[Transaction Status],"Reconciled")+SUMIFS(tblTransactions[Amount],tblTransactions[Transaction Type],"Transfer",tblTransactions[Destination Type],"Account",tblTransactions[Destination Name],$D100,tblTransactions[Transaction Status],"Completed")+SUMIFS(tblTransactions[Amount],tblTransactions[Transaction Type],"Transfer",tblTransactions[Destination Type],"Account",tblTransactions[Destination Name],$D100,tblTransactions[Transaction Status],"Reconciled")+SUMIFS(tblTransactions[Amount],tblTransactions[Transaction Type],"Adjustment",tblTransactions[Source Account],$D100,tblTransactions[Transaction Status],"Completed",tblTransactions[Amount],"&gt;0")+SUMIFS(tblTransactions[Amount],tblTransactions[Transaction Type],"Adjustment",tblTransactions[Source Account],$D100,tblTransactions[Transaction Status],"Reconciled",tblTransactions[Amount],"&gt;0"),0))</f>
      </c>
      <c r="G100" s="1">
        <f>IF($D100="","",IFERROR(SUMIFS(tblTransactions[Amount],tblTransactions[Transaction Type],"Expense",tblTransactions[Source Account],$D100,tblTransactions[Transaction Status],"Completed")+SUMIFS(tblTransactions[Amount],tblTransactions[Transaction Type],"Expense",tblTransactions[Source Account],$D100,tblTransactions[Transaction Status],"Reconciled")+SUMIFS(tblTransactions[Amount],tblTransactions[Transaction Type],"Transfer",tblTransactions[Source Account],$D100,tblTransactions[Transaction Status],"Completed")+SUMIFS(tblTransactions[Amount],tblTransactions[Transaction Type],"Transfer",tblTransactions[Source Account],$D100,tblTransactions[Transaction Status],"Reconciled")-SUMIFS(tblTransactions[Amount],tblTransactions[Transaction Type],"Adjustment",tblTransactions[Source Account],$D100,tblTransactions[Transaction Status],"Completed",tblTransactions[Amount],"&lt;0")-SUMIFS(tblTransactions[Amount],tblTransactions[Transaction Type],"Adjustment",tblTransactions[Source Account],$D100,tblTransactions[Transaction Status],"Reconciled",tblTransactions[Amount],"&lt;0"),0))</f>
      </c>
      <c r="H100" s="1">
        <f>IF($D100="","",$E100+$F100-$G100)</f>
      </c>
      <c r="I100" s="4">
        <f>IF($D100="","",IFERROR(LOOKUP(2,1/(((tblTransactions[Source Account]=$D100)+((tblTransactions[Transaction Type]="Transfer")*(tblTransactions[Destination Type]="Account")*(tblTransactions[Destination Name]=$D100)))*((tblTransactions[Transaction Status]="Completed")+(tblTransactions[Transaction Status]="Reconciled"))),tblTransactions[Transaction Date]),""))</f>
      </c>
      <c r="J100" s="1">
        <f>IF($D100="","",IFERROR(INDEX(tblAccounts[Account Type],ROW()-1),""))</f>
      </c>
      <c r="K100" s="1">
        <f>IF($D100="","",IFERROR(INDEX(tblAccounts[Include in Dashboard],ROW()-1),""))</f>
      </c>
      <c r="L100" s="1">
        <f>IF($D100="","",IFERROR(INDEX(tblAccounts[Status],ROW()-1),""))</f>
      </c>
    </row>
    <row r="101">
      <c r="D101" s="1">
        <f>IFERROR(IF(INDEX(tblAccounts[Account Name],ROW()-1)="","",INDEX(tblAccounts[Account Name],ROW()-1)),"")</f>
      </c>
      <c r="E101" s="1">
        <f>IF($D101="","",IFERROR(INDEX(tblAccounts[Opening Balance],ROW()-1),0))</f>
      </c>
      <c r="F101" s="1">
        <f>IF($D101="","",IFERROR(SUMIFS(tblTransactions[Amount],tblTransactions[Transaction Type],"Income",tblTransactions[Source Account],$D101,tblTransactions[Transaction Status],"Completed")+SUMIFS(tblTransactions[Amount],tblTransactions[Transaction Type],"Income",tblTransactions[Source Account],$D101,tblTransactions[Transaction Status],"Reconciled")+SUMIFS(tblTransactions[Amount],tblTransactions[Transaction Type],"Transfer",tblTransactions[Destination Type],"Account",tblTransactions[Destination Name],$D101,tblTransactions[Transaction Status],"Completed")+SUMIFS(tblTransactions[Amount],tblTransactions[Transaction Type],"Transfer",tblTransactions[Destination Type],"Account",tblTransactions[Destination Name],$D101,tblTransactions[Transaction Status],"Reconciled")+SUMIFS(tblTransactions[Amount],tblTransactions[Transaction Type],"Adjustment",tblTransactions[Source Account],$D101,tblTransactions[Transaction Status],"Completed",tblTransactions[Amount],"&gt;0")+SUMIFS(tblTransactions[Amount],tblTransactions[Transaction Type],"Adjustment",tblTransactions[Source Account],$D101,tblTransactions[Transaction Status],"Reconciled",tblTransactions[Amount],"&gt;0"),0))</f>
      </c>
      <c r="G101" s="1">
        <f>IF($D101="","",IFERROR(SUMIFS(tblTransactions[Amount],tblTransactions[Transaction Type],"Expense",tblTransactions[Source Account],$D101,tblTransactions[Transaction Status],"Completed")+SUMIFS(tblTransactions[Amount],tblTransactions[Transaction Type],"Expense",tblTransactions[Source Account],$D101,tblTransactions[Transaction Status],"Reconciled")+SUMIFS(tblTransactions[Amount],tblTransactions[Transaction Type],"Transfer",tblTransactions[Source Account],$D101,tblTransactions[Transaction Status],"Completed")+SUMIFS(tblTransactions[Amount],tblTransactions[Transaction Type],"Transfer",tblTransactions[Source Account],$D101,tblTransactions[Transaction Status],"Reconciled")-SUMIFS(tblTransactions[Amount],tblTransactions[Transaction Type],"Adjustment",tblTransactions[Source Account],$D101,tblTransactions[Transaction Status],"Completed",tblTransactions[Amount],"&lt;0")-SUMIFS(tblTransactions[Amount],tblTransactions[Transaction Type],"Adjustment",tblTransactions[Source Account],$D101,tblTransactions[Transaction Status],"Reconciled",tblTransactions[Amount],"&lt;0"),0))</f>
      </c>
      <c r="H101" s="1">
        <f>IF($D101="","",$E101+$F101-$G101)</f>
      </c>
      <c r="I101" s="4">
        <f>IF($D101="","",IFERROR(LOOKUP(2,1/(((tblTransactions[Source Account]=$D101)+((tblTransactions[Transaction Type]="Transfer")*(tblTransactions[Destination Type]="Account")*(tblTransactions[Destination Name]=$D101)))*((tblTransactions[Transaction Status]="Completed")+(tblTransactions[Transaction Status]="Reconciled"))),tblTransactions[Transaction Date]),""))</f>
      </c>
      <c r="J101" s="1">
        <f>IF($D101="","",IFERROR(INDEX(tblAccounts[Account Type],ROW()-1),""))</f>
      </c>
      <c r="K101" s="1">
        <f>IF($D101="","",IFERROR(INDEX(tblAccounts[Include in Dashboard],ROW()-1),""))</f>
      </c>
      <c r="L101" s="1">
        <f>IF($D101="","",IFERROR(INDEX(tblAccounts[Status],ROW()-1),""))</f>
      </c>
    </row>
    <row r="102">
      <c r="D102" s="1">
        <f>IFERROR(IF(INDEX(tblAccounts[Account Name],ROW()-1)="","",INDEX(tblAccounts[Account Name],ROW()-1)),"")</f>
      </c>
      <c r="E102" s="1">
        <f>IF($D102="","",IFERROR(INDEX(tblAccounts[Opening Balance],ROW()-1),0))</f>
      </c>
      <c r="F102" s="1">
        <f>IF($D102="","",IFERROR(SUMIFS(tblTransactions[Amount],tblTransactions[Transaction Type],"Income",tblTransactions[Source Account],$D102,tblTransactions[Transaction Status],"Completed")+SUMIFS(tblTransactions[Amount],tblTransactions[Transaction Type],"Income",tblTransactions[Source Account],$D102,tblTransactions[Transaction Status],"Reconciled")+SUMIFS(tblTransactions[Amount],tblTransactions[Transaction Type],"Transfer",tblTransactions[Destination Type],"Account",tblTransactions[Destination Name],$D102,tblTransactions[Transaction Status],"Completed")+SUMIFS(tblTransactions[Amount],tblTransactions[Transaction Type],"Transfer",tblTransactions[Destination Type],"Account",tblTransactions[Destination Name],$D102,tblTransactions[Transaction Status],"Reconciled")+SUMIFS(tblTransactions[Amount],tblTransactions[Transaction Type],"Adjustment",tblTransactions[Source Account],$D102,tblTransactions[Transaction Status],"Completed",tblTransactions[Amount],"&gt;0")+SUMIFS(tblTransactions[Amount],tblTransactions[Transaction Type],"Adjustment",tblTransactions[Source Account],$D102,tblTransactions[Transaction Status],"Reconciled",tblTransactions[Amount],"&gt;0"),0))</f>
      </c>
      <c r="G102" s="1">
        <f>IF($D102="","",IFERROR(SUMIFS(tblTransactions[Amount],tblTransactions[Transaction Type],"Expense",tblTransactions[Source Account],$D102,tblTransactions[Transaction Status],"Completed")+SUMIFS(tblTransactions[Amount],tblTransactions[Transaction Type],"Expense",tblTransactions[Source Account],$D102,tblTransactions[Transaction Status],"Reconciled")+SUMIFS(tblTransactions[Amount],tblTransactions[Transaction Type],"Transfer",tblTransactions[Source Account],$D102,tblTransactions[Transaction Status],"Completed")+SUMIFS(tblTransactions[Amount],tblTransactions[Transaction Type],"Transfer",tblTransactions[Source Account],$D102,tblTransactions[Transaction Status],"Reconciled")-SUMIFS(tblTransactions[Amount],tblTransactions[Transaction Type],"Adjustment",tblTransactions[Source Account],$D102,tblTransactions[Transaction Status],"Completed",tblTransactions[Amount],"&lt;0")-SUMIFS(tblTransactions[Amount],tblTransactions[Transaction Type],"Adjustment",tblTransactions[Source Account],$D102,tblTransactions[Transaction Status],"Reconciled",tblTransactions[Amount],"&lt;0"),0))</f>
      </c>
      <c r="H102" s="1">
        <f>IF($D102="","",$E102+$F102-$G102)</f>
      </c>
      <c r="I102" s="4">
        <f>IF($D102="","",IFERROR(LOOKUP(2,1/(((tblTransactions[Source Account]=$D102)+((tblTransactions[Transaction Type]="Transfer")*(tblTransactions[Destination Type]="Account")*(tblTransactions[Destination Name]=$D102)))*((tblTransactions[Transaction Status]="Completed")+(tblTransactions[Transaction Status]="Reconciled"))),tblTransactions[Transaction Date]),""))</f>
      </c>
      <c r="J102" s="1">
        <f>IF($D102="","",IFERROR(INDEX(tblAccounts[Account Type],ROW()-1),""))</f>
      </c>
      <c r="K102" s="1">
        <f>IF($D102="","",IFERROR(INDEX(tblAccounts[Include in Dashboard],ROW()-1),""))</f>
      </c>
      <c r="L102" s="1">
        <f>IF($D102="","",IFERROR(INDEX(tblAccounts[Status],ROW()-1),""))</f>
      </c>
    </row>
    <row r="103">
      <c r="D103" s="1">
        <f>IFERROR(IF(INDEX(tblAccounts[Account Name],ROW()-1)="","",INDEX(tblAccounts[Account Name],ROW()-1)),"")</f>
      </c>
      <c r="E103" s="1">
        <f>IF($D103="","",IFERROR(INDEX(tblAccounts[Opening Balance],ROW()-1),0))</f>
      </c>
      <c r="F103" s="1">
        <f>IF($D103="","",IFERROR(SUMIFS(tblTransactions[Amount],tblTransactions[Transaction Type],"Income",tblTransactions[Source Account],$D103,tblTransactions[Transaction Status],"Completed")+SUMIFS(tblTransactions[Amount],tblTransactions[Transaction Type],"Income",tblTransactions[Source Account],$D103,tblTransactions[Transaction Status],"Reconciled")+SUMIFS(tblTransactions[Amount],tblTransactions[Transaction Type],"Transfer",tblTransactions[Destination Type],"Account",tblTransactions[Destination Name],$D103,tblTransactions[Transaction Status],"Completed")+SUMIFS(tblTransactions[Amount],tblTransactions[Transaction Type],"Transfer",tblTransactions[Destination Type],"Account",tblTransactions[Destination Name],$D103,tblTransactions[Transaction Status],"Reconciled")+SUMIFS(tblTransactions[Amount],tblTransactions[Transaction Type],"Adjustment",tblTransactions[Source Account],$D103,tblTransactions[Transaction Status],"Completed",tblTransactions[Amount],"&gt;0")+SUMIFS(tblTransactions[Amount],tblTransactions[Transaction Type],"Adjustment",tblTransactions[Source Account],$D103,tblTransactions[Transaction Status],"Reconciled",tblTransactions[Amount],"&gt;0"),0))</f>
      </c>
      <c r="G103" s="1">
        <f>IF($D103="","",IFERROR(SUMIFS(tblTransactions[Amount],tblTransactions[Transaction Type],"Expense",tblTransactions[Source Account],$D103,tblTransactions[Transaction Status],"Completed")+SUMIFS(tblTransactions[Amount],tblTransactions[Transaction Type],"Expense",tblTransactions[Source Account],$D103,tblTransactions[Transaction Status],"Reconciled")+SUMIFS(tblTransactions[Amount],tblTransactions[Transaction Type],"Transfer",tblTransactions[Source Account],$D103,tblTransactions[Transaction Status],"Completed")+SUMIFS(tblTransactions[Amount],tblTransactions[Transaction Type],"Transfer",tblTransactions[Source Account],$D103,tblTransactions[Transaction Status],"Reconciled")-SUMIFS(tblTransactions[Amount],tblTransactions[Transaction Type],"Adjustment",tblTransactions[Source Account],$D103,tblTransactions[Transaction Status],"Completed",tblTransactions[Amount],"&lt;0")-SUMIFS(tblTransactions[Amount],tblTransactions[Transaction Type],"Adjustment",tblTransactions[Source Account],$D103,tblTransactions[Transaction Status],"Reconciled",tblTransactions[Amount],"&lt;0"),0))</f>
      </c>
      <c r="H103" s="1">
        <f>IF($D103="","",$E103+$F103-$G103)</f>
      </c>
      <c r="I103" s="4">
        <f>IF($D103="","",IFERROR(LOOKUP(2,1/(((tblTransactions[Source Account]=$D103)+((tblTransactions[Transaction Type]="Transfer")*(tblTransactions[Destination Type]="Account")*(tblTransactions[Destination Name]=$D103)))*((tblTransactions[Transaction Status]="Completed")+(tblTransactions[Transaction Status]="Reconciled"))),tblTransactions[Transaction Date]),""))</f>
      </c>
      <c r="J103" s="1">
        <f>IF($D103="","",IFERROR(INDEX(tblAccounts[Account Type],ROW()-1),""))</f>
      </c>
      <c r="K103" s="1">
        <f>IF($D103="","",IFERROR(INDEX(tblAccounts[Include in Dashboard],ROW()-1),""))</f>
      </c>
      <c r="L103" s="1">
        <f>IF($D103="","",IFERROR(INDEX(tblAccounts[Status],ROW()-1),""))</f>
      </c>
    </row>
    <row r="104">
      <c r="D104" s="1">
        <f>IFERROR(IF(INDEX(tblAccounts[Account Name],ROW()-1)="","",INDEX(tblAccounts[Account Name],ROW()-1)),"")</f>
      </c>
      <c r="E104" s="1">
        <f>IF($D104="","",IFERROR(INDEX(tblAccounts[Opening Balance],ROW()-1),0))</f>
      </c>
      <c r="F104" s="1">
        <f>IF($D104="","",IFERROR(SUMIFS(tblTransactions[Amount],tblTransactions[Transaction Type],"Income",tblTransactions[Source Account],$D104,tblTransactions[Transaction Status],"Completed")+SUMIFS(tblTransactions[Amount],tblTransactions[Transaction Type],"Income",tblTransactions[Source Account],$D104,tblTransactions[Transaction Status],"Reconciled")+SUMIFS(tblTransactions[Amount],tblTransactions[Transaction Type],"Transfer",tblTransactions[Destination Type],"Account",tblTransactions[Destination Name],$D104,tblTransactions[Transaction Status],"Completed")+SUMIFS(tblTransactions[Amount],tblTransactions[Transaction Type],"Transfer",tblTransactions[Destination Type],"Account",tblTransactions[Destination Name],$D104,tblTransactions[Transaction Status],"Reconciled")+SUMIFS(tblTransactions[Amount],tblTransactions[Transaction Type],"Adjustment",tblTransactions[Source Account],$D104,tblTransactions[Transaction Status],"Completed",tblTransactions[Amount],"&gt;0")+SUMIFS(tblTransactions[Amount],tblTransactions[Transaction Type],"Adjustment",tblTransactions[Source Account],$D104,tblTransactions[Transaction Status],"Reconciled",tblTransactions[Amount],"&gt;0"),0))</f>
      </c>
      <c r="G104" s="1">
        <f>IF($D104="","",IFERROR(SUMIFS(tblTransactions[Amount],tblTransactions[Transaction Type],"Expense",tblTransactions[Source Account],$D104,tblTransactions[Transaction Status],"Completed")+SUMIFS(tblTransactions[Amount],tblTransactions[Transaction Type],"Expense",tblTransactions[Source Account],$D104,tblTransactions[Transaction Status],"Reconciled")+SUMIFS(tblTransactions[Amount],tblTransactions[Transaction Type],"Transfer",tblTransactions[Source Account],$D104,tblTransactions[Transaction Status],"Completed")+SUMIFS(tblTransactions[Amount],tblTransactions[Transaction Type],"Transfer",tblTransactions[Source Account],$D104,tblTransactions[Transaction Status],"Reconciled")-SUMIFS(tblTransactions[Amount],tblTransactions[Transaction Type],"Adjustment",tblTransactions[Source Account],$D104,tblTransactions[Transaction Status],"Completed",tblTransactions[Amount],"&lt;0")-SUMIFS(tblTransactions[Amount],tblTransactions[Transaction Type],"Adjustment",tblTransactions[Source Account],$D104,tblTransactions[Transaction Status],"Reconciled",tblTransactions[Amount],"&lt;0"),0))</f>
      </c>
      <c r="H104" s="1">
        <f>IF($D104="","",$E104+$F104-$G104)</f>
      </c>
      <c r="I104" s="4">
        <f>IF($D104="","",IFERROR(LOOKUP(2,1/(((tblTransactions[Source Account]=$D104)+((tblTransactions[Transaction Type]="Transfer")*(tblTransactions[Destination Type]="Account")*(tblTransactions[Destination Name]=$D104)))*((tblTransactions[Transaction Status]="Completed")+(tblTransactions[Transaction Status]="Reconciled"))),tblTransactions[Transaction Date]),""))</f>
      </c>
      <c r="J104" s="1">
        <f>IF($D104="","",IFERROR(INDEX(tblAccounts[Account Type],ROW()-1),""))</f>
      </c>
      <c r="K104" s="1">
        <f>IF($D104="","",IFERROR(INDEX(tblAccounts[Include in Dashboard],ROW()-1),""))</f>
      </c>
      <c r="L104" s="1">
        <f>IF($D104="","",IFERROR(INDEX(tblAccounts[Status],ROW()-1),""))</f>
      </c>
    </row>
    <row r="105">
      <c r="D105" s="1">
        <f>IFERROR(IF(INDEX(tblAccounts[Account Name],ROW()-1)="","",INDEX(tblAccounts[Account Name],ROW()-1)),"")</f>
      </c>
      <c r="E105" s="1">
        <f>IF($D105="","",IFERROR(INDEX(tblAccounts[Opening Balance],ROW()-1),0))</f>
      </c>
      <c r="F105" s="1">
        <f>IF($D105="","",IFERROR(SUMIFS(tblTransactions[Amount],tblTransactions[Transaction Type],"Income",tblTransactions[Source Account],$D105,tblTransactions[Transaction Status],"Completed")+SUMIFS(tblTransactions[Amount],tblTransactions[Transaction Type],"Income",tblTransactions[Source Account],$D105,tblTransactions[Transaction Status],"Reconciled")+SUMIFS(tblTransactions[Amount],tblTransactions[Transaction Type],"Transfer",tblTransactions[Destination Type],"Account",tblTransactions[Destination Name],$D105,tblTransactions[Transaction Status],"Completed")+SUMIFS(tblTransactions[Amount],tblTransactions[Transaction Type],"Transfer",tblTransactions[Destination Type],"Account",tblTransactions[Destination Name],$D105,tblTransactions[Transaction Status],"Reconciled")+SUMIFS(tblTransactions[Amount],tblTransactions[Transaction Type],"Adjustment",tblTransactions[Source Account],$D105,tblTransactions[Transaction Status],"Completed",tblTransactions[Amount],"&gt;0")+SUMIFS(tblTransactions[Amount],tblTransactions[Transaction Type],"Adjustment",tblTransactions[Source Account],$D105,tblTransactions[Transaction Status],"Reconciled",tblTransactions[Amount],"&gt;0"),0))</f>
      </c>
      <c r="G105" s="1">
        <f>IF($D105="","",IFERROR(SUMIFS(tblTransactions[Amount],tblTransactions[Transaction Type],"Expense",tblTransactions[Source Account],$D105,tblTransactions[Transaction Status],"Completed")+SUMIFS(tblTransactions[Amount],tblTransactions[Transaction Type],"Expense",tblTransactions[Source Account],$D105,tblTransactions[Transaction Status],"Reconciled")+SUMIFS(tblTransactions[Amount],tblTransactions[Transaction Type],"Transfer",tblTransactions[Source Account],$D105,tblTransactions[Transaction Status],"Completed")+SUMIFS(tblTransactions[Amount],tblTransactions[Transaction Type],"Transfer",tblTransactions[Source Account],$D105,tblTransactions[Transaction Status],"Reconciled")-SUMIFS(tblTransactions[Amount],tblTransactions[Transaction Type],"Adjustment",tblTransactions[Source Account],$D105,tblTransactions[Transaction Status],"Completed",tblTransactions[Amount],"&lt;0")-SUMIFS(tblTransactions[Amount],tblTransactions[Transaction Type],"Adjustment",tblTransactions[Source Account],$D105,tblTransactions[Transaction Status],"Reconciled",tblTransactions[Amount],"&lt;0"),0))</f>
      </c>
      <c r="H105" s="1">
        <f>IF($D105="","",$E105+$F105-$G105)</f>
      </c>
      <c r="I105" s="4">
        <f>IF($D105="","",IFERROR(LOOKUP(2,1/(((tblTransactions[Source Account]=$D105)+((tblTransactions[Transaction Type]="Transfer")*(tblTransactions[Destination Type]="Account")*(tblTransactions[Destination Name]=$D105)))*((tblTransactions[Transaction Status]="Completed")+(tblTransactions[Transaction Status]="Reconciled"))),tblTransactions[Transaction Date]),""))</f>
      </c>
      <c r="J105" s="1">
        <f>IF($D105="","",IFERROR(INDEX(tblAccounts[Account Type],ROW()-1),""))</f>
      </c>
      <c r="K105" s="1">
        <f>IF($D105="","",IFERROR(INDEX(tblAccounts[Include in Dashboard],ROW()-1),""))</f>
      </c>
      <c r="L105" s="1">
        <f>IF($D105="","",IFERROR(INDEX(tblAccounts[Status],ROW()-1),""))</f>
      </c>
    </row>
    <row r="106">
      <c r="D106" s="1">
        <f>IFERROR(IF(INDEX(tblAccounts[Account Name],ROW()-1)="","",INDEX(tblAccounts[Account Name],ROW()-1)),"")</f>
      </c>
      <c r="E106" s="1">
        <f>IF($D106="","",IFERROR(INDEX(tblAccounts[Opening Balance],ROW()-1),0))</f>
      </c>
      <c r="F106" s="1">
        <f>IF($D106="","",IFERROR(SUMIFS(tblTransactions[Amount],tblTransactions[Transaction Type],"Income",tblTransactions[Source Account],$D106,tblTransactions[Transaction Status],"Completed")+SUMIFS(tblTransactions[Amount],tblTransactions[Transaction Type],"Income",tblTransactions[Source Account],$D106,tblTransactions[Transaction Status],"Reconciled")+SUMIFS(tblTransactions[Amount],tblTransactions[Transaction Type],"Transfer",tblTransactions[Destination Type],"Account",tblTransactions[Destination Name],$D106,tblTransactions[Transaction Status],"Completed")+SUMIFS(tblTransactions[Amount],tblTransactions[Transaction Type],"Transfer",tblTransactions[Destination Type],"Account",tblTransactions[Destination Name],$D106,tblTransactions[Transaction Status],"Reconciled")+SUMIFS(tblTransactions[Amount],tblTransactions[Transaction Type],"Adjustment",tblTransactions[Source Account],$D106,tblTransactions[Transaction Status],"Completed",tblTransactions[Amount],"&gt;0")+SUMIFS(tblTransactions[Amount],tblTransactions[Transaction Type],"Adjustment",tblTransactions[Source Account],$D106,tblTransactions[Transaction Status],"Reconciled",tblTransactions[Amount],"&gt;0"),0))</f>
      </c>
      <c r="G106" s="1">
        <f>IF($D106="","",IFERROR(SUMIFS(tblTransactions[Amount],tblTransactions[Transaction Type],"Expense",tblTransactions[Source Account],$D106,tblTransactions[Transaction Status],"Completed")+SUMIFS(tblTransactions[Amount],tblTransactions[Transaction Type],"Expense",tblTransactions[Source Account],$D106,tblTransactions[Transaction Status],"Reconciled")+SUMIFS(tblTransactions[Amount],tblTransactions[Transaction Type],"Transfer",tblTransactions[Source Account],$D106,tblTransactions[Transaction Status],"Completed")+SUMIFS(tblTransactions[Amount],tblTransactions[Transaction Type],"Transfer",tblTransactions[Source Account],$D106,tblTransactions[Transaction Status],"Reconciled")-SUMIFS(tblTransactions[Amount],tblTransactions[Transaction Type],"Adjustment",tblTransactions[Source Account],$D106,tblTransactions[Transaction Status],"Completed",tblTransactions[Amount],"&lt;0")-SUMIFS(tblTransactions[Amount],tblTransactions[Transaction Type],"Adjustment",tblTransactions[Source Account],$D106,tblTransactions[Transaction Status],"Reconciled",tblTransactions[Amount],"&lt;0"),0))</f>
      </c>
      <c r="H106" s="1">
        <f>IF($D106="","",$E106+$F106-$G106)</f>
      </c>
      <c r="I106" s="4">
        <f>IF($D106="","",IFERROR(LOOKUP(2,1/(((tblTransactions[Source Account]=$D106)+((tblTransactions[Transaction Type]="Transfer")*(tblTransactions[Destination Type]="Account")*(tblTransactions[Destination Name]=$D106)))*((tblTransactions[Transaction Status]="Completed")+(tblTransactions[Transaction Status]="Reconciled"))),tblTransactions[Transaction Date]),""))</f>
      </c>
      <c r="J106" s="1">
        <f>IF($D106="","",IFERROR(INDEX(tblAccounts[Account Type],ROW()-1),""))</f>
      </c>
      <c r="K106" s="1">
        <f>IF($D106="","",IFERROR(INDEX(tblAccounts[Include in Dashboard],ROW()-1),""))</f>
      </c>
      <c r="L106" s="1">
        <f>IF($D106="","",IFERROR(INDEX(tblAccounts[Status],ROW()-1),""))</f>
      </c>
    </row>
    <row r="107">
      <c r="D107" s="1">
        <f>IFERROR(IF(INDEX(tblAccounts[Account Name],ROW()-1)="","",INDEX(tblAccounts[Account Name],ROW()-1)),"")</f>
      </c>
      <c r="E107" s="1">
        <f>IF($D107="","",IFERROR(INDEX(tblAccounts[Opening Balance],ROW()-1),0))</f>
      </c>
      <c r="F107" s="1">
        <f>IF($D107="","",IFERROR(SUMIFS(tblTransactions[Amount],tblTransactions[Transaction Type],"Income",tblTransactions[Source Account],$D107,tblTransactions[Transaction Status],"Completed")+SUMIFS(tblTransactions[Amount],tblTransactions[Transaction Type],"Income",tblTransactions[Source Account],$D107,tblTransactions[Transaction Status],"Reconciled")+SUMIFS(tblTransactions[Amount],tblTransactions[Transaction Type],"Transfer",tblTransactions[Destination Type],"Account",tblTransactions[Destination Name],$D107,tblTransactions[Transaction Status],"Completed")+SUMIFS(tblTransactions[Amount],tblTransactions[Transaction Type],"Transfer",tblTransactions[Destination Type],"Account",tblTransactions[Destination Name],$D107,tblTransactions[Transaction Status],"Reconciled")+SUMIFS(tblTransactions[Amount],tblTransactions[Transaction Type],"Adjustment",tblTransactions[Source Account],$D107,tblTransactions[Transaction Status],"Completed",tblTransactions[Amount],"&gt;0")+SUMIFS(tblTransactions[Amount],tblTransactions[Transaction Type],"Adjustment",tblTransactions[Source Account],$D107,tblTransactions[Transaction Status],"Reconciled",tblTransactions[Amount],"&gt;0"),0))</f>
      </c>
      <c r="G107" s="1">
        <f>IF($D107="","",IFERROR(SUMIFS(tblTransactions[Amount],tblTransactions[Transaction Type],"Expense",tblTransactions[Source Account],$D107,tblTransactions[Transaction Status],"Completed")+SUMIFS(tblTransactions[Amount],tblTransactions[Transaction Type],"Expense",tblTransactions[Source Account],$D107,tblTransactions[Transaction Status],"Reconciled")+SUMIFS(tblTransactions[Amount],tblTransactions[Transaction Type],"Transfer",tblTransactions[Source Account],$D107,tblTransactions[Transaction Status],"Completed")+SUMIFS(tblTransactions[Amount],tblTransactions[Transaction Type],"Transfer",tblTransactions[Source Account],$D107,tblTransactions[Transaction Status],"Reconciled")-SUMIFS(tblTransactions[Amount],tblTransactions[Transaction Type],"Adjustment",tblTransactions[Source Account],$D107,tblTransactions[Transaction Status],"Completed",tblTransactions[Amount],"&lt;0")-SUMIFS(tblTransactions[Amount],tblTransactions[Transaction Type],"Adjustment",tblTransactions[Source Account],$D107,tblTransactions[Transaction Status],"Reconciled",tblTransactions[Amount],"&lt;0"),0))</f>
      </c>
      <c r="H107" s="1">
        <f>IF($D107="","",$E107+$F107-$G107)</f>
      </c>
      <c r="I107" s="4">
        <f>IF($D107="","",IFERROR(LOOKUP(2,1/(((tblTransactions[Source Account]=$D107)+((tblTransactions[Transaction Type]="Transfer")*(tblTransactions[Destination Type]="Account")*(tblTransactions[Destination Name]=$D107)))*((tblTransactions[Transaction Status]="Completed")+(tblTransactions[Transaction Status]="Reconciled"))),tblTransactions[Transaction Date]),""))</f>
      </c>
      <c r="J107" s="1">
        <f>IF($D107="","",IFERROR(INDEX(tblAccounts[Account Type],ROW()-1),""))</f>
      </c>
      <c r="K107" s="1">
        <f>IF($D107="","",IFERROR(INDEX(tblAccounts[Include in Dashboard],ROW()-1),""))</f>
      </c>
      <c r="L107" s="1">
        <f>IF($D107="","",IFERROR(INDEX(tblAccounts[Status],ROW()-1),""))</f>
      </c>
    </row>
    <row r="108">
      <c r="D108" s="1">
        <f>IFERROR(IF(INDEX(tblAccounts[Account Name],ROW()-1)="","",INDEX(tblAccounts[Account Name],ROW()-1)),"")</f>
      </c>
      <c r="E108" s="1">
        <f>IF($D108="","",IFERROR(INDEX(tblAccounts[Opening Balance],ROW()-1),0))</f>
      </c>
      <c r="F108" s="1">
        <f>IF($D108="","",IFERROR(SUMIFS(tblTransactions[Amount],tblTransactions[Transaction Type],"Income",tblTransactions[Source Account],$D108,tblTransactions[Transaction Status],"Completed")+SUMIFS(tblTransactions[Amount],tblTransactions[Transaction Type],"Income",tblTransactions[Source Account],$D108,tblTransactions[Transaction Status],"Reconciled")+SUMIFS(tblTransactions[Amount],tblTransactions[Transaction Type],"Transfer",tblTransactions[Destination Type],"Account",tblTransactions[Destination Name],$D108,tblTransactions[Transaction Status],"Completed")+SUMIFS(tblTransactions[Amount],tblTransactions[Transaction Type],"Transfer",tblTransactions[Destination Type],"Account",tblTransactions[Destination Name],$D108,tblTransactions[Transaction Status],"Reconciled")+SUMIFS(tblTransactions[Amount],tblTransactions[Transaction Type],"Adjustment",tblTransactions[Source Account],$D108,tblTransactions[Transaction Status],"Completed",tblTransactions[Amount],"&gt;0")+SUMIFS(tblTransactions[Amount],tblTransactions[Transaction Type],"Adjustment",tblTransactions[Source Account],$D108,tblTransactions[Transaction Status],"Reconciled",tblTransactions[Amount],"&gt;0"),0))</f>
      </c>
      <c r="G108" s="1">
        <f>IF($D108="","",IFERROR(SUMIFS(tblTransactions[Amount],tblTransactions[Transaction Type],"Expense",tblTransactions[Source Account],$D108,tblTransactions[Transaction Status],"Completed")+SUMIFS(tblTransactions[Amount],tblTransactions[Transaction Type],"Expense",tblTransactions[Source Account],$D108,tblTransactions[Transaction Status],"Reconciled")+SUMIFS(tblTransactions[Amount],tblTransactions[Transaction Type],"Transfer",tblTransactions[Source Account],$D108,tblTransactions[Transaction Status],"Completed")+SUMIFS(tblTransactions[Amount],tblTransactions[Transaction Type],"Transfer",tblTransactions[Source Account],$D108,tblTransactions[Transaction Status],"Reconciled")-SUMIFS(tblTransactions[Amount],tblTransactions[Transaction Type],"Adjustment",tblTransactions[Source Account],$D108,tblTransactions[Transaction Status],"Completed",tblTransactions[Amount],"&lt;0")-SUMIFS(tblTransactions[Amount],tblTransactions[Transaction Type],"Adjustment",tblTransactions[Source Account],$D108,tblTransactions[Transaction Status],"Reconciled",tblTransactions[Amount],"&lt;0"),0))</f>
      </c>
      <c r="H108" s="1">
        <f>IF($D108="","",$E108+$F108-$G108)</f>
      </c>
      <c r="I108" s="4">
        <f>IF($D108="","",IFERROR(LOOKUP(2,1/(((tblTransactions[Source Account]=$D108)+((tblTransactions[Transaction Type]="Transfer")*(tblTransactions[Destination Type]="Account")*(tblTransactions[Destination Name]=$D108)))*((tblTransactions[Transaction Status]="Completed")+(tblTransactions[Transaction Status]="Reconciled"))),tblTransactions[Transaction Date]),""))</f>
      </c>
      <c r="J108" s="1">
        <f>IF($D108="","",IFERROR(INDEX(tblAccounts[Account Type],ROW()-1),""))</f>
      </c>
      <c r="K108" s="1">
        <f>IF($D108="","",IFERROR(INDEX(tblAccounts[Include in Dashboard],ROW()-1),""))</f>
      </c>
      <c r="L108" s="1">
        <f>IF($D108="","",IFERROR(INDEX(tblAccounts[Status],ROW()-1),""))</f>
      </c>
    </row>
    <row r="109">
      <c r="D109" s="1">
        <f>IFERROR(IF(INDEX(tblAccounts[Account Name],ROW()-1)="","",INDEX(tblAccounts[Account Name],ROW()-1)),"")</f>
      </c>
      <c r="E109" s="1">
        <f>IF($D109="","",IFERROR(INDEX(tblAccounts[Opening Balance],ROW()-1),0))</f>
      </c>
      <c r="F109" s="1">
        <f>IF($D109="","",IFERROR(SUMIFS(tblTransactions[Amount],tblTransactions[Transaction Type],"Income",tblTransactions[Source Account],$D109,tblTransactions[Transaction Status],"Completed")+SUMIFS(tblTransactions[Amount],tblTransactions[Transaction Type],"Income",tblTransactions[Source Account],$D109,tblTransactions[Transaction Status],"Reconciled")+SUMIFS(tblTransactions[Amount],tblTransactions[Transaction Type],"Transfer",tblTransactions[Destination Type],"Account",tblTransactions[Destination Name],$D109,tblTransactions[Transaction Status],"Completed")+SUMIFS(tblTransactions[Amount],tblTransactions[Transaction Type],"Transfer",tblTransactions[Destination Type],"Account",tblTransactions[Destination Name],$D109,tblTransactions[Transaction Status],"Reconciled")+SUMIFS(tblTransactions[Amount],tblTransactions[Transaction Type],"Adjustment",tblTransactions[Source Account],$D109,tblTransactions[Transaction Status],"Completed",tblTransactions[Amount],"&gt;0")+SUMIFS(tblTransactions[Amount],tblTransactions[Transaction Type],"Adjustment",tblTransactions[Source Account],$D109,tblTransactions[Transaction Status],"Reconciled",tblTransactions[Amount],"&gt;0"),0))</f>
      </c>
      <c r="G109" s="1">
        <f>IF($D109="","",IFERROR(SUMIFS(tblTransactions[Amount],tblTransactions[Transaction Type],"Expense",tblTransactions[Source Account],$D109,tblTransactions[Transaction Status],"Completed")+SUMIFS(tblTransactions[Amount],tblTransactions[Transaction Type],"Expense",tblTransactions[Source Account],$D109,tblTransactions[Transaction Status],"Reconciled")+SUMIFS(tblTransactions[Amount],tblTransactions[Transaction Type],"Transfer",tblTransactions[Source Account],$D109,tblTransactions[Transaction Status],"Completed")+SUMIFS(tblTransactions[Amount],tblTransactions[Transaction Type],"Transfer",tblTransactions[Source Account],$D109,tblTransactions[Transaction Status],"Reconciled")-SUMIFS(tblTransactions[Amount],tblTransactions[Transaction Type],"Adjustment",tblTransactions[Source Account],$D109,tblTransactions[Transaction Status],"Completed",tblTransactions[Amount],"&lt;0")-SUMIFS(tblTransactions[Amount],tblTransactions[Transaction Type],"Adjustment",tblTransactions[Source Account],$D109,tblTransactions[Transaction Status],"Reconciled",tblTransactions[Amount],"&lt;0"),0))</f>
      </c>
      <c r="H109" s="1">
        <f>IF($D109="","",$E109+$F109-$G109)</f>
      </c>
      <c r="I109" s="4">
        <f>IF($D109="","",IFERROR(LOOKUP(2,1/(((tblTransactions[Source Account]=$D109)+((tblTransactions[Transaction Type]="Transfer")*(tblTransactions[Destination Type]="Account")*(tblTransactions[Destination Name]=$D109)))*((tblTransactions[Transaction Status]="Completed")+(tblTransactions[Transaction Status]="Reconciled"))),tblTransactions[Transaction Date]),""))</f>
      </c>
      <c r="J109" s="1">
        <f>IF($D109="","",IFERROR(INDEX(tblAccounts[Account Type],ROW()-1),""))</f>
      </c>
      <c r="K109" s="1">
        <f>IF($D109="","",IFERROR(INDEX(tblAccounts[Include in Dashboard],ROW()-1),""))</f>
      </c>
      <c r="L109" s="1">
        <f>IF($D109="","",IFERROR(INDEX(tblAccounts[Status],ROW()-1),""))</f>
      </c>
    </row>
    <row r="110">
      <c r="D110" s="1">
        <f>IFERROR(IF(INDEX(tblAccounts[Account Name],ROW()-1)="","",INDEX(tblAccounts[Account Name],ROW()-1)),"")</f>
      </c>
      <c r="E110" s="1">
        <f>IF($D110="","",IFERROR(INDEX(tblAccounts[Opening Balance],ROW()-1),0))</f>
      </c>
      <c r="F110" s="1">
        <f>IF($D110="","",IFERROR(SUMIFS(tblTransactions[Amount],tblTransactions[Transaction Type],"Income",tblTransactions[Source Account],$D110,tblTransactions[Transaction Status],"Completed")+SUMIFS(tblTransactions[Amount],tblTransactions[Transaction Type],"Income",tblTransactions[Source Account],$D110,tblTransactions[Transaction Status],"Reconciled")+SUMIFS(tblTransactions[Amount],tblTransactions[Transaction Type],"Transfer",tblTransactions[Destination Type],"Account",tblTransactions[Destination Name],$D110,tblTransactions[Transaction Status],"Completed")+SUMIFS(tblTransactions[Amount],tblTransactions[Transaction Type],"Transfer",tblTransactions[Destination Type],"Account",tblTransactions[Destination Name],$D110,tblTransactions[Transaction Status],"Reconciled")+SUMIFS(tblTransactions[Amount],tblTransactions[Transaction Type],"Adjustment",tblTransactions[Source Account],$D110,tblTransactions[Transaction Status],"Completed",tblTransactions[Amount],"&gt;0")+SUMIFS(tblTransactions[Amount],tblTransactions[Transaction Type],"Adjustment",tblTransactions[Source Account],$D110,tblTransactions[Transaction Status],"Reconciled",tblTransactions[Amount],"&gt;0"),0))</f>
      </c>
      <c r="G110" s="1">
        <f>IF($D110="","",IFERROR(SUMIFS(tblTransactions[Amount],tblTransactions[Transaction Type],"Expense",tblTransactions[Source Account],$D110,tblTransactions[Transaction Status],"Completed")+SUMIFS(tblTransactions[Amount],tblTransactions[Transaction Type],"Expense",tblTransactions[Source Account],$D110,tblTransactions[Transaction Status],"Reconciled")+SUMIFS(tblTransactions[Amount],tblTransactions[Transaction Type],"Transfer",tblTransactions[Source Account],$D110,tblTransactions[Transaction Status],"Completed")+SUMIFS(tblTransactions[Amount],tblTransactions[Transaction Type],"Transfer",tblTransactions[Source Account],$D110,tblTransactions[Transaction Status],"Reconciled")-SUMIFS(tblTransactions[Amount],tblTransactions[Transaction Type],"Adjustment",tblTransactions[Source Account],$D110,tblTransactions[Transaction Status],"Completed",tblTransactions[Amount],"&lt;0")-SUMIFS(tblTransactions[Amount],tblTransactions[Transaction Type],"Adjustment",tblTransactions[Source Account],$D110,tblTransactions[Transaction Status],"Reconciled",tblTransactions[Amount],"&lt;0"),0))</f>
      </c>
      <c r="H110" s="1">
        <f>IF($D110="","",$E110+$F110-$G110)</f>
      </c>
      <c r="I110" s="4">
        <f>IF($D110="","",IFERROR(LOOKUP(2,1/(((tblTransactions[Source Account]=$D110)+((tblTransactions[Transaction Type]="Transfer")*(tblTransactions[Destination Type]="Account")*(tblTransactions[Destination Name]=$D110)))*((tblTransactions[Transaction Status]="Completed")+(tblTransactions[Transaction Status]="Reconciled"))),tblTransactions[Transaction Date]),""))</f>
      </c>
      <c r="J110" s="1">
        <f>IF($D110="","",IFERROR(INDEX(tblAccounts[Account Type],ROW()-1),""))</f>
      </c>
      <c r="K110" s="1">
        <f>IF($D110="","",IFERROR(INDEX(tblAccounts[Include in Dashboard],ROW()-1),""))</f>
      </c>
      <c r="L110" s="1">
        <f>IF($D110="","",IFERROR(INDEX(tblAccounts[Status],ROW()-1),""))</f>
      </c>
    </row>
    <row r="111">
      <c r="D111" s="1">
        <f>IFERROR(IF(INDEX(tblAccounts[Account Name],ROW()-1)="","",INDEX(tblAccounts[Account Name],ROW()-1)),"")</f>
      </c>
      <c r="E111" s="1">
        <f>IF($D111="","",IFERROR(INDEX(tblAccounts[Opening Balance],ROW()-1),0))</f>
      </c>
      <c r="F111" s="1">
        <f>IF($D111="","",IFERROR(SUMIFS(tblTransactions[Amount],tblTransactions[Transaction Type],"Income",tblTransactions[Source Account],$D111,tblTransactions[Transaction Status],"Completed")+SUMIFS(tblTransactions[Amount],tblTransactions[Transaction Type],"Income",tblTransactions[Source Account],$D111,tblTransactions[Transaction Status],"Reconciled")+SUMIFS(tblTransactions[Amount],tblTransactions[Transaction Type],"Transfer",tblTransactions[Destination Type],"Account",tblTransactions[Destination Name],$D111,tblTransactions[Transaction Status],"Completed")+SUMIFS(tblTransactions[Amount],tblTransactions[Transaction Type],"Transfer",tblTransactions[Destination Type],"Account",tblTransactions[Destination Name],$D111,tblTransactions[Transaction Status],"Reconciled")+SUMIFS(tblTransactions[Amount],tblTransactions[Transaction Type],"Adjustment",tblTransactions[Source Account],$D111,tblTransactions[Transaction Status],"Completed",tblTransactions[Amount],"&gt;0")+SUMIFS(tblTransactions[Amount],tblTransactions[Transaction Type],"Adjustment",tblTransactions[Source Account],$D111,tblTransactions[Transaction Status],"Reconciled",tblTransactions[Amount],"&gt;0"),0))</f>
      </c>
      <c r="G111" s="1">
        <f>IF($D111="","",IFERROR(SUMIFS(tblTransactions[Amount],tblTransactions[Transaction Type],"Expense",tblTransactions[Source Account],$D111,tblTransactions[Transaction Status],"Completed")+SUMIFS(tblTransactions[Amount],tblTransactions[Transaction Type],"Expense",tblTransactions[Source Account],$D111,tblTransactions[Transaction Status],"Reconciled")+SUMIFS(tblTransactions[Amount],tblTransactions[Transaction Type],"Transfer",tblTransactions[Source Account],$D111,tblTransactions[Transaction Status],"Completed")+SUMIFS(tblTransactions[Amount],tblTransactions[Transaction Type],"Transfer",tblTransactions[Source Account],$D111,tblTransactions[Transaction Status],"Reconciled")-SUMIFS(tblTransactions[Amount],tblTransactions[Transaction Type],"Adjustment",tblTransactions[Source Account],$D111,tblTransactions[Transaction Status],"Completed",tblTransactions[Amount],"&lt;0")-SUMIFS(tblTransactions[Amount],tblTransactions[Transaction Type],"Adjustment",tblTransactions[Source Account],$D111,tblTransactions[Transaction Status],"Reconciled",tblTransactions[Amount],"&lt;0"),0))</f>
      </c>
      <c r="H111" s="1">
        <f>IF($D111="","",$E111+$F111-$G111)</f>
      </c>
      <c r="I111" s="4">
        <f>IF($D111="","",IFERROR(LOOKUP(2,1/(((tblTransactions[Source Account]=$D111)+((tblTransactions[Transaction Type]="Transfer")*(tblTransactions[Destination Type]="Account")*(tblTransactions[Destination Name]=$D111)))*((tblTransactions[Transaction Status]="Completed")+(tblTransactions[Transaction Status]="Reconciled"))),tblTransactions[Transaction Date]),""))</f>
      </c>
      <c r="J111" s="1">
        <f>IF($D111="","",IFERROR(INDEX(tblAccounts[Account Type],ROW()-1),""))</f>
      </c>
      <c r="K111" s="1">
        <f>IF($D111="","",IFERROR(INDEX(tblAccounts[Include in Dashboard],ROW()-1),""))</f>
      </c>
      <c r="L111" s="1">
        <f>IF($D111="","",IFERROR(INDEX(tblAccounts[Status],ROW()-1),""))</f>
      </c>
    </row>
    <row r="112">
      <c r="D112" s="1">
        <f>IFERROR(IF(INDEX(tblAccounts[Account Name],ROW()-1)="","",INDEX(tblAccounts[Account Name],ROW()-1)),"")</f>
      </c>
      <c r="E112" s="1">
        <f>IF($D112="","",IFERROR(INDEX(tblAccounts[Opening Balance],ROW()-1),0))</f>
      </c>
      <c r="F112" s="1">
        <f>IF($D112="","",IFERROR(SUMIFS(tblTransactions[Amount],tblTransactions[Transaction Type],"Income",tblTransactions[Source Account],$D112,tblTransactions[Transaction Status],"Completed")+SUMIFS(tblTransactions[Amount],tblTransactions[Transaction Type],"Income",tblTransactions[Source Account],$D112,tblTransactions[Transaction Status],"Reconciled")+SUMIFS(tblTransactions[Amount],tblTransactions[Transaction Type],"Transfer",tblTransactions[Destination Type],"Account",tblTransactions[Destination Name],$D112,tblTransactions[Transaction Status],"Completed")+SUMIFS(tblTransactions[Amount],tblTransactions[Transaction Type],"Transfer",tblTransactions[Destination Type],"Account",tblTransactions[Destination Name],$D112,tblTransactions[Transaction Status],"Reconciled")+SUMIFS(tblTransactions[Amount],tblTransactions[Transaction Type],"Adjustment",tblTransactions[Source Account],$D112,tblTransactions[Transaction Status],"Completed",tblTransactions[Amount],"&gt;0")+SUMIFS(tblTransactions[Amount],tblTransactions[Transaction Type],"Adjustment",tblTransactions[Source Account],$D112,tblTransactions[Transaction Status],"Reconciled",tblTransactions[Amount],"&gt;0"),0))</f>
      </c>
      <c r="G112" s="1">
        <f>IF($D112="","",IFERROR(SUMIFS(tblTransactions[Amount],tblTransactions[Transaction Type],"Expense",tblTransactions[Source Account],$D112,tblTransactions[Transaction Status],"Completed")+SUMIFS(tblTransactions[Amount],tblTransactions[Transaction Type],"Expense",tblTransactions[Source Account],$D112,tblTransactions[Transaction Status],"Reconciled")+SUMIFS(tblTransactions[Amount],tblTransactions[Transaction Type],"Transfer",tblTransactions[Source Account],$D112,tblTransactions[Transaction Status],"Completed")+SUMIFS(tblTransactions[Amount],tblTransactions[Transaction Type],"Transfer",tblTransactions[Source Account],$D112,tblTransactions[Transaction Status],"Reconciled")-SUMIFS(tblTransactions[Amount],tblTransactions[Transaction Type],"Adjustment",tblTransactions[Source Account],$D112,tblTransactions[Transaction Status],"Completed",tblTransactions[Amount],"&lt;0")-SUMIFS(tblTransactions[Amount],tblTransactions[Transaction Type],"Adjustment",tblTransactions[Source Account],$D112,tblTransactions[Transaction Status],"Reconciled",tblTransactions[Amount],"&lt;0"),0))</f>
      </c>
      <c r="H112" s="1">
        <f>IF($D112="","",$E112+$F112-$G112)</f>
      </c>
      <c r="I112" s="4">
        <f>IF($D112="","",IFERROR(LOOKUP(2,1/(((tblTransactions[Source Account]=$D112)+((tblTransactions[Transaction Type]="Transfer")*(tblTransactions[Destination Type]="Account")*(tblTransactions[Destination Name]=$D112)))*((tblTransactions[Transaction Status]="Completed")+(tblTransactions[Transaction Status]="Reconciled"))),tblTransactions[Transaction Date]),""))</f>
      </c>
      <c r="J112" s="1">
        <f>IF($D112="","",IFERROR(INDEX(tblAccounts[Account Type],ROW()-1),""))</f>
      </c>
      <c r="K112" s="1">
        <f>IF($D112="","",IFERROR(INDEX(tblAccounts[Include in Dashboard],ROW()-1),""))</f>
      </c>
      <c r="L112" s="1">
        <f>IF($D112="","",IFERROR(INDEX(tblAccounts[Status],ROW()-1),""))</f>
      </c>
    </row>
    <row r="113">
      <c r="D113" s="1">
        <f>IFERROR(IF(INDEX(tblAccounts[Account Name],ROW()-1)="","",INDEX(tblAccounts[Account Name],ROW()-1)),"")</f>
      </c>
      <c r="E113" s="1">
        <f>IF($D113="","",IFERROR(INDEX(tblAccounts[Opening Balance],ROW()-1),0))</f>
      </c>
      <c r="F113" s="1">
        <f>IF($D113="","",IFERROR(SUMIFS(tblTransactions[Amount],tblTransactions[Transaction Type],"Income",tblTransactions[Source Account],$D113,tblTransactions[Transaction Status],"Completed")+SUMIFS(tblTransactions[Amount],tblTransactions[Transaction Type],"Income",tblTransactions[Source Account],$D113,tblTransactions[Transaction Status],"Reconciled")+SUMIFS(tblTransactions[Amount],tblTransactions[Transaction Type],"Transfer",tblTransactions[Destination Type],"Account",tblTransactions[Destination Name],$D113,tblTransactions[Transaction Status],"Completed")+SUMIFS(tblTransactions[Amount],tblTransactions[Transaction Type],"Transfer",tblTransactions[Destination Type],"Account",tblTransactions[Destination Name],$D113,tblTransactions[Transaction Status],"Reconciled")+SUMIFS(tblTransactions[Amount],tblTransactions[Transaction Type],"Adjustment",tblTransactions[Source Account],$D113,tblTransactions[Transaction Status],"Completed",tblTransactions[Amount],"&gt;0")+SUMIFS(tblTransactions[Amount],tblTransactions[Transaction Type],"Adjustment",tblTransactions[Source Account],$D113,tblTransactions[Transaction Status],"Reconciled",tblTransactions[Amount],"&gt;0"),0))</f>
      </c>
      <c r="G113" s="1">
        <f>IF($D113="","",IFERROR(SUMIFS(tblTransactions[Amount],tblTransactions[Transaction Type],"Expense",tblTransactions[Source Account],$D113,tblTransactions[Transaction Status],"Completed")+SUMIFS(tblTransactions[Amount],tblTransactions[Transaction Type],"Expense",tblTransactions[Source Account],$D113,tblTransactions[Transaction Status],"Reconciled")+SUMIFS(tblTransactions[Amount],tblTransactions[Transaction Type],"Transfer",tblTransactions[Source Account],$D113,tblTransactions[Transaction Status],"Completed")+SUMIFS(tblTransactions[Amount],tblTransactions[Transaction Type],"Transfer",tblTransactions[Source Account],$D113,tblTransactions[Transaction Status],"Reconciled")-SUMIFS(tblTransactions[Amount],tblTransactions[Transaction Type],"Adjustment",tblTransactions[Source Account],$D113,tblTransactions[Transaction Status],"Completed",tblTransactions[Amount],"&lt;0")-SUMIFS(tblTransactions[Amount],tblTransactions[Transaction Type],"Adjustment",tblTransactions[Source Account],$D113,tblTransactions[Transaction Status],"Reconciled",tblTransactions[Amount],"&lt;0"),0))</f>
      </c>
      <c r="H113" s="1">
        <f>IF($D113="","",$E113+$F113-$G113)</f>
      </c>
      <c r="I113" s="4">
        <f>IF($D113="","",IFERROR(LOOKUP(2,1/(((tblTransactions[Source Account]=$D113)+((tblTransactions[Transaction Type]="Transfer")*(tblTransactions[Destination Type]="Account")*(tblTransactions[Destination Name]=$D113)))*((tblTransactions[Transaction Status]="Completed")+(tblTransactions[Transaction Status]="Reconciled"))),tblTransactions[Transaction Date]),""))</f>
      </c>
      <c r="J113" s="1">
        <f>IF($D113="","",IFERROR(INDEX(tblAccounts[Account Type],ROW()-1),""))</f>
      </c>
      <c r="K113" s="1">
        <f>IF($D113="","",IFERROR(INDEX(tblAccounts[Include in Dashboard],ROW()-1),""))</f>
      </c>
      <c r="L113" s="1">
        <f>IF($D113="","",IFERROR(INDEX(tblAccounts[Status],ROW()-1),""))</f>
      </c>
    </row>
    <row r="114">
      <c r="D114" s="1">
        <f>IFERROR(IF(INDEX(tblAccounts[Account Name],ROW()-1)="","",INDEX(tblAccounts[Account Name],ROW()-1)),"")</f>
      </c>
      <c r="E114" s="1">
        <f>IF($D114="","",IFERROR(INDEX(tblAccounts[Opening Balance],ROW()-1),0))</f>
      </c>
      <c r="F114" s="1">
        <f>IF($D114="","",IFERROR(SUMIFS(tblTransactions[Amount],tblTransactions[Transaction Type],"Income",tblTransactions[Source Account],$D114,tblTransactions[Transaction Status],"Completed")+SUMIFS(tblTransactions[Amount],tblTransactions[Transaction Type],"Income",tblTransactions[Source Account],$D114,tblTransactions[Transaction Status],"Reconciled")+SUMIFS(tblTransactions[Amount],tblTransactions[Transaction Type],"Transfer",tblTransactions[Destination Type],"Account",tblTransactions[Destination Name],$D114,tblTransactions[Transaction Status],"Completed")+SUMIFS(tblTransactions[Amount],tblTransactions[Transaction Type],"Transfer",tblTransactions[Destination Type],"Account",tblTransactions[Destination Name],$D114,tblTransactions[Transaction Status],"Reconciled")+SUMIFS(tblTransactions[Amount],tblTransactions[Transaction Type],"Adjustment",tblTransactions[Source Account],$D114,tblTransactions[Transaction Status],"Completed",tblTransactions[Amount],"&gt;0")+SUMIFS(tblTransactions[Amount],tblTransactions[Transaction Type],"Adjustment",tblTransactions[Source Account],$D114,tblTransactions[Transaction Status],"Reconciled",tblTransactions[Amount],"&gt;0"),0))</f>
      </c>
      <c r="G114" s="1">
        <f>IF($D114="","",IFERROR(SUMIFS(tblTransactions[Amount],tblTransactions[Transaction Type],"Expense",tblTransactions[Source Account],$D114,tblTransactions[Transaction Status],"Completed")+SUMIFS(tblTransactions[Amount],tblTransactions[Transaction Type],"Expense",tblTransactions[Source Account],$D114,tblTransactions[Transaction Status],"Reconciled")+SUMIFS(tblTransactions[Amount],tblTransactions[Transaction Type],"Transfer",tblTransactions[Source Account],$D114,tblTransactions[Transaction Status],"Completed")+SUMIFS(tblTransactions[Amount],tblTransactions[Transaction Type],"Transfer",tblTransactions[Source Account],$D114,tblTransactions[Transaction Status],"Reconciled")-SUMIFS(tblTransactions[Amount],tblTransactions[Transaction Type],"Adjustment",tblTransactions[Source Account],$D114,tblTransactions[Transaction Status],"Completed",tblTransactions[Amount],"&lt;0")-SUMIFS(tblTransactions[Amount],tblTransactions[Transaction Type],"Adjustment",tblTransactions[Source Account],$D114,tblTransactions[Transaction Status],"Reconciled",tblTransactions[Amount],"&lt;0"),0))</f>
      </c>
      <c r="H114" s="1">
        <f>IF($D114="","",$E114+$F114-$G114)</f>
      </c>
      <c r="I114" s="4">
        <f>IF($D114="","",IFERROR(LOOKUP(2,1/(((tblTransactions[Source Account]=$D114)+((tblTransactions[Transaction Type]="Transfer")*(tblTransactions[Destination Type]="Account")*(tblTransactions[Destination Name]=$D114)))*((tblTransactions[Transaction Status]="Completed")+(tblTransactions[Transaction Status]="Reconciled"))),tblTransactions[Transaction Date]),""))</f>
      </c>
      <c r="J114" s="1">
        <f>IF($D114="","",IFERROR(INDEX(tblAccounts[Account Type],ROW()-1),""))</f>
      </c>
      <c r="K114" s="1">
        <f>IF($D114="","",IFERROR(INDEX(tblAccounts[Include in Dashboard],ROW()-1),""))</f>
      </c>
      <c r="L114" s="1">
        <f>IF($D114="","",IFERROR(INDEX(tblAccounts[Status],ROW()-1),""))</f>
      </c>
    </row>
    <row r="115">
      <c r="D115" s="1">
        <f>IFERROR(IF(INDEX(tblAccounts[Account Name],ROW()-1)="","",INDEX(tblAccounts[Account Name],ROW()-1)),"")</f>
      </c>
      <c r="E115" s="1">
        <f>IF($D115="","",IFERROR(INDEX(tblAccounts[Opening Balance],ROW()-1),0))</f>
      </c>
      <c r="F115" s="1">
        <f>IF($D115="","",IFERROR(SUMIFS(tblTransactions[Amount],tblTransactions[Transaction Type],"Income",tblTransactions[Source Account],$D115,tblTransactions[Transaction Status],"Completed")+SUMIFS(tblTransactions[Amount],tblTransactions[Transaction Type],"Income",tblTransactions[Source Account],$D115,tblTransactions[Transaction Status],"Reconciled")+SUMIFS(tblTransactions[Amount],tblTransactions[Transaction Type],"Transfer",tblTransactions[Destination Type],"Account",tblTransactions[Destination Name],$D115,tblTransactions[Transaction Status],"Completed")+SUMIFS(tblTransactions[Amount],tblTransactions[Transaction Type],"Transfer",tblTransactions[Destination Type],"Account",tblTransactions[Destination Name],$D115,tblTransactions[Transaction Status],"Reconciled")+SUMIFS(tblTransactions[Amount],tblTransactions[Transaction Type],"Adjustment",tblTransactions[Source Account],$D115,tblTransactions[Transaction Status],"Completed",tblTransactions[Amount],"&gt;0")+SUMIFS(tblTransactions[Amount],tblTransactions[Transaction Type],"Adjustment",tblTransactions[Source Account],$D115,tblTransactions[Transaction Status],"Reconciled",tblTransactions[Amount],"&gt;0"),0))</f>
      </c>
      <c r="G115" s="1">
        <f>IF($D115="","",IFERROR(SUMIFS(tblTransactions[Amount],tblTransactions[Transaction Type],"Expense",tblTransactions[Source Account],$D115,tblTransactions[Transaction Status],"Completed")+SUMIFS(tblTransactions[Amount],tblTransactions[Transaction Type],"Expense",tblTransactions[Source Account],$D115,tblTransactions[Transaction Status],"Reconciled")+SUMIFS(tblTransactions[Amount],tblTransactions[Transaction Type],"Transfer",tblTransactions[Source Account],$D115,tblTransactions[Transaction Status],"Completed")+SUMIFS(tblTransactions[Amount],tblTransactions[Transaction Type],"Transfer",tblTransactions[Source Account],$D115,tblTransactions[Transaction Status],"Reconciled")-SUMIFS(tblTransactions[Amount],tblTransactions[Transaction Type],"Adjustment",tblTransactions[Source Account],$D115,tblTransactions[Transaction Status],"Completed",tblTransactions[Amount],"&lt;0")-SUMIFS(tblTransactions[Amount],tblTransactions[Transaction Type],"Adjustment",tblTransactions[Source Account],$D115,tblTransactions[Transaction Status],"Reconciled",tblTransactions[Amount],"&lt;0"),0))</f>
      </c>
      <c r="H115" s="1">
        <f>IF($D115="","",$E115+$F115-$G115)</f>
      </c>
      <c r="I115" s="4">
        <f>IF($D115="","",IFERROR(LOOKUP(2,1/(((tblTransactions[Source Account]=$D115)+((tblTransactions[Transaction Type]="Transfer")*(tblTransactions[Destination Type]="Account")*(tblTransactions[Destination Name]=$D115)))*((tblTransactions[Transaction Status]="Completed")+(tblTransactions[Transaction Status]="Reconciled"))),tblTransactions[Transaction Date]),""))</f>
      </c>
      <c r="J115" s="1">
        <f>IF($D115="","",IFERROR(INDEX(tblAccounts[Account Type],ROW()-1),""))</f>
      </c>
      <c r="K115" s="1">
        <f>IF($D115="","",IFERROR(INDEX(tblAccounts[Include in Dashboard],ROW()-1),""))</f>
      </c>
      <c r="L115" s="1">
        <f>IF($D115="","",IFERROR(INDEX(tblAccounts[Status],ROW()-1),""))</f>
      </c>
    </row>
    <row r="116">
      <c r="D116" s="1">
        <f>IFERROR(IF(INDEX(tblAccounts[Account Name],ROW()-1)="","",INDEX(tblAccounts[Account Name],ROW()-1)),"")</f>
      </c>
      <c r="E116" s="1">
        <f>IF($D116="","",IFERROR(INDEX(tblAccounts[Opening Balance],ROW()-1),0))</f>
      </c>
      <c r="F116" s="1">
        <f>IF($D116="","",IFERROR(SUMIFS(tblTransactions[Amount],tblTransactions[Transaction Type],"Income",tblTransactions[Source Account],$D116,tblTransactions[Transaction Status],"Completed")+SUMIFS(tblTransactions[Amount],tblTransactions[Transaction Type],"Income",tblTransactions[Source Account],$D116,tblTransactions[Transaction Status],"Reconciled")+SUMIFS(tblTransactions[Amount],tblTransactions[Transaction Type],"Transfer",tblTransactions[Destination Type],"Account",tblTransactions[Destination Name],$D116,tblTransactions[Transaction Status],"Completed")+SUMIFS(tblTransactions[Amount],tblTransactions[Transaction Type],"Transfer",tblTransactions[Destination Type],"Account",tblTransactions[Destination Name],$D116,tblTransactions[Transaction Status],"Reconciled")+SUMIFS(tblTransactions[Amount],tblTransactions[Transaction Type],"Adjustment",tblTransactions[Source Account],$D116,tblTransactions[Transaction Status],"Completed",tblTransactions[Amount],"&gt;0")+SUMIFS(tblTransactions[Amount],tblTransactions[Transaction Type],"Adjustment",tblTransactions[Source Account],$D116,tblTransactions[Transaction Status],"Reconciled",tblTransactions[Amount],"&gt;0"),0))</f>
      </c>
      <c r="G116" s="1">
        <f>IF($D116="","",IFERROR(SUMIFS(tblTransactions[Amount],tblTransactions[Transaction Type],"Expense",tblTransactions[Source Account],$D116,tblTransactions[Transaction Status],"Completed")+SUMIFS(tblTransactions[Amount],tblTransactions[Transaction Type],"Expense",tblTransactions[Source Account],$D116,tblTransactions[Transaction Status],"Reconciled")+SUMIFS(tblTransactions[Amount],tblTransactions[Transaction Type],"Transfer",tblTransactions[Source Account],$D116,tblTransactions[Transaction Status],"Completed")+SUMIFS(tblTransactions[Amount],tblTransactions[Transaction Type],"Transfer",tblTransactions[Source Account],$D116,tblTransactions[Transaction Status],"Reconciled")-SUMIFS(tblTransactions[Amount],tblTransactions[Transaction Type],"Adjustment",tblTransactions[Source Account],$D116,tblTransactions[Transaction Status],"Completed",tblTransactions[Amount],"&lt;0")-SUMIFS(tblTransactions[Amount],tblTransactions[Transaction Type],"Adjustment",tblTransactions[Source Account],$D116,tblTransactions[Transaction Status],"Reconciled",tblTransactions[Amount],"&lt;0"),0))</f>
      </c>
      <c r="H116" s="1">
        <f>IF($D116="","",$E116+$F116-$G116)</f>
      </c>
      <c r="I116" s="4">
        <f>IF($D116="","",IFERROR(LOOKUP(2,1/(((tblTransactions[Source Account]=$D116)+((tblTransactions[Transaction Type]="Transfer")*(tblTransactions[Destination Type]="Account")*(tblTransactions[Destination Name]=$D116)))*((tblTransactions[Transaction Status]="Completed")+(tblTransactions[Transaction Status]="Reconciled"))),tblTransactions[Transaction Date]),""))</f>
      </c>
      <c r="J116" s="1">
        <f>IF($D116="","",IFERROR(INDEX(tblAccounts[Account Type],ROW()-1),""))</f>
      </c>
      <c r="K116" s="1">
        <f>IF($D116="","",IFERROR(INDEX(tblAccounts[Include in Dashboard],ROW()-1),""))</f>
      </c>
      <c r="L116" s="1">
        <f>IF($D116="","",IFERROR(INDEX(tblAccounts[Status],ROW()-1),""))</f>
      </c>
    </row>
    <row r="117">
      <c r="D117" s="1">
        <f>IFERROR(IF(INDEX(tblAccounts[Account Name],ROW()-1)="","",INDEX(tblAccounts[Account Name],ROW()-1)),"")</f>
      </c>
      <c r="E117" s="1">
        <f>IF($D117="","",IFERROR(INDEX(tblAccounts[Opening Balance],ROW()-1),0))</f>
      </c>
      <c r="F117" s="1">
        <f>IF($D117="","",IFERROR(SUMIFS(tblTransactions[Amount],tblTransactions[Transaction Type],"Income",tblTransactions[Source Account],$D117,tblTransactions[Transaction Status],"Completed")+SUMIFS(tblTransactions[Amount],tblTransactions[Transaction Type],"Income",tblTransactions[Source Account],$D117,tblTransactions[Transaction Status],"Reconciled")+SUMIFS(tblTransactions[Amount],tblTransactions[Transaction Type],"Transfer",tblTransactions[Destination Type],"Account",tblTransactions[Destination Name],$D117,tblTransactions[Transaction Status],"Completed")+SUMIFS(tblTransactions[Amount],tblTransactions[Transaction Type],"Transfer",tblTransactions[Destination Type],"Account",tblTransactions[Destination Name],$D117,tblTransactions[Transaction Status],"Reconciled")+SUMIFS(tblTransactions[Amount],tblTransactions[Transaction Type],"Adjustment",tblTransactions[Source Account],$D117,tblTransactions[Transaction Status],"Completed",tblTransactions[Amount],"&gt;0")+SUMIFS(tblTransactions[Amount],tblTransactions[Transaction Type],"Adjustment",tblTransactions[Source Account],$D117,tblTransactions[Transaction Status],"Reconciled",tblTransactions[Amount],"&gt;0"),0))</f>
      </c>
      <c r="G117" s="1">
        <f>IF($D117="","",IFERROR(SUMIFS(tblTransactions[Amount],tblTransactions[Transaction Type],"Expense",tblTransactions[Source Account],$D117,tblTransactions[Transaction Status],"Completed")+SUMIFS(tblTransactions[Amount],tblTransactions[Transaction Type],"Expense",tblTransactions[Source Account],$D117,tblTransactions[Transaction Status],"Reconciled")+SUMIFS(tblTransactions[Amount],tblTransactions[Transaction Type],"Transfer",tblTransactions[Source Account],$D117,tblTransactions[Transaction Status],"Completed")+SUMIFS(tblTransactions[Amount],tblTransactions[Transaction Type],"Transfer",tblTransactions[Source Account],$D117,tblTransactions[Transaction Status],"Reconciled")-SUMIFS(tblTransactions[Amount],tblTransactions[Transaction Type],"Adjustment",tblTransactions[Source Account],$D117,tblTransactions[Transaction Status],"Completed",tblTransactions[Amount],"&lt;0")-SUMIFS(tblTransactions[Amount],tblTransactions[Transaction Type],"Adjustment",tblTransactions[Source Account],$D117,tblTransactions[Transaction Status],"Reconciled",tblTransactions[Amount],"&lt;0"),0))</f>
      </c>
      <c r="H117" s="1">
        <f>IF($D117="","",$E117+$F117-$G117)</f>
      </c>
      <c r="I117" s="4">
        <f>IF($D117="","",IFERROR(LOOKUP(2,1/(((tblTransactions[Source Account]=$D117)+((tblTransactions[Transaction Type]="Transfer")*(tblTransactions[Destination Type]="Account")*(tblTransactions[Destination Name]=$D117)))*((tblTransactions[Transaction Status]="Completed")+(tblTransactions[Transaction Status]="Reconciled"))),tblTransactions[Transaction Date]),""))</f>
      </c>
      <c r="J117" s="1">
        <f>IF($D117="","",IFERROR(INDEX(tblAccounts[Account Type],ROW()-1),""))</f>
      </c>
      <c r="K117" s="1">
        <f>IF($D117="","",IFERROR(INDEX(tblAccounts[Include in Dashboard],ROW()-1),""))</f>
      </c>
      <c r="L117" s="1">
        <f>IF($D117="","",IFERROR(INDEX(tblAccounts[Status],ROW()-1),""))</f>
      </c>
    </row>
    <row r="118">
      <c r="D118" s="1">
        <f>IFERROR(IF(INDEX(tblAccounts[Account Name],ROW()-1)="","",INDEX(tblAccounts[Account Name],ROW()-1)),"")</f>
      </c>
      <c r="E118" s="1">
        <f>IF($D118="","",IFERROR(INDEX(tblAccounts[Opening Balance],ROW()-1),0))</f>
      </c>
      <c r="F118" s="1">
        <f>IF($D118="","",IFERROR(SUMIFS(tblTransactions[Amount],tblTransactions[Transaction Type],"Income",tblTransactions[Source Account],$D118,tblTransactions[Transaction Status],"Completed")+SUMIFS(tblTransactions[Amount],tblTransactions[Transaction Type],"Income",tblTransactions[Source Account],$D118,tblTransactions[Transaction Status],"Reconciled")+SUMIFS(tblTransactions[Amount],tblTransactions[Transaction Type],"Transfer",tblTransactions[Destination Type],"Account",tblTransactions[Destination Name],$D118,tblTransactions[Transaction Status],"Completed")+SUMIFS(tblTransactions[Amount],tblTransactions[Transaction Type],"Transfer",tblTransactions[Destination Type],"Account",tblTransactions[Destination Name],$D118,tblTransactions[Transaction Status],"Reconciled")+SUMIFS(tblTransactions[Amount],tblTransactions[Transaction Type],"Adjustment",tblTransactions[Source Account],$D118,tblTransactions[Transaction Status],"Completed",tblTransactions[Amount],"&gt;0")+SUMIFS(tblTransactions[Amount],tblTransactions[Transaction Type],"Adjustment",tblTransactions[Source Account],$D118,tblTransactions[Transaction Status],"Reconciled",tblTransactions[Amount],"&gt;0"),0))</f>
      </c>
      <c r="G118" s="1">
        <f>IF($D118="","",IFERROR(SUMIFS(tblTransactions[Amount],tblTransactions[Transaction Type],"Expense",tblTransactions[Source Account],$D118,tblTransactions[Transaction Status],"Completed")+SUMIFS(tblTransactions[Amount],tblTransactions[Transaction Type],"Expense",tblTransactions[Source Account],$D118,tblTransactions[Transaction Status],"Reconciled")+SUMIFS(tblTransactions[Amount],tblTransactions[Transaction Type],"Transfer",tblTransactions[Source Account],$D118,tblTransactions[Transaction Status],"Completed")+SUMIFS(tblTransactions[Amount],tblTransactions[Transaction Type],"Transfer",tblTransactions[Source Account],$D118,tblTransactions[Transaction Status],"Reconciled")-SUMIFS(tblTransactions[Amount],tblTransactions[Transaction Type],"Adjustment",tblTransactions[Source Account],$D118,tblTransactions[Transaction Status],"Completed",tblTransactions[Amount],"&lt;0")-SUMIFS(tblTransactions[Amount],tblTransactions[Transaction Type],"Adjustment",tblTransactions[Source Account],$D118,tblTransactions[Transaction Status],"Reconciled",tblTransactions[Amount],"&lt;0"),0))</f>
      </c>
      <c r="H118" s="1">
        <f>IF($D118="","",$E118+$F118-$G118)</f>
      </c>
      <c r="I118" s="4">
        <f>IF($D118="","",IFERROR(LOOKUP(2,1/(((tblTransactions[Source Account]=$D118)+((tblTransactions[Transaction Type]="Transfer")*(tblTransactions[Destination Type]="Account")*(tblTransactions[Destination Name]=$D118)))*((tblTransactions[Transaction Status]="Completed")+(tblTransactions[Transaction Status]="Reconciled"))),tblTransactions[Transaction Date]),""))</f>
      </c>
      <c r="J118" s="1">
        <f>IF($D118="","",IFERROR(INDEX(tblAccounts[Account Type],ROW()-1),""))</f>
      </c>
      <c r="K118" s="1">
        <f>IF($D118="","",IFERROR(INDEX(tblAccounts[Include in Dashboard],ROW()-1),""))</f>
      </c>
      <c r="L118" s="1">
        <f>IF($D118="","",IFERROR(INDEX(tblAccounts[Status],ROW()-1),""))</f>
      </c>
    </row>
    <row r="119">
      <c r="D119" s="1">
        <f>IFERROR(IF(INDEX(tblAccounts[Account Name],ROW()-1)="","",INDEX(tblAccounts[Account Name],ROW()-1)),"")</f>
      </c>
      <c r="E119" s="1">
        <f>IF($D119="","",IFERROR(INDEX(tblAccounts[Opening Balance],ROW()-1),0))</f>
      </c>
      <c r="F119" s="1">
        <f>IF($D119="","",IFERROR(SUMIFS(tblTransactions[Amount],tblTransactions[Transaction Type],"Income",tblTransactions[Source Account],$D119,tblTransactions[Transaction Status],"Completed")+SUMIFS(tblTransactions[Amount],tblTransactions[Transaction Type],"Income",tblTransactions[Source Account],$D119,tblTransactions[Transaction Status],"Reconciled")+SUMIFS(tblTransactions[Amount],tblTransactions[Transaction Type],"Transfer",tblTransactions[Destination Type],"Account",tblTransactions[Destination Name],$D119,tblTransactions[Transaction Status],"Completed")+SUMIFS(tblTransactions[Amount],tblTransactions[Transaction Type],"Transfer",tblTransactions[Destination Type],"Account",tblTransactions[Destination Name],$D119,tblTransactions[Transaction Status],"Reconciled")+SUMIFS(tblTransactions[Amount],tblTransactions[Transaction Type],"Adjustment",tblTransactions[Source Account],$D119,tblTransactions[Transaction Status],"Completed",tblTransactions[Amount],"&gt;0")+SUMIFS(tblTransactions[Amount],tblTransactions[Transaction Type],"Adjustment",tblTransactions[Source Account],$D119,tblTransactions[Transaction Status],"Reconciled",tblTransactions[Amount],"&gt;0"),0))</f>
      </c>
      <c r="G119" s="1">
        <f>IF($D119="","",IFERROR(SUMIFS(tblTransactions[Amount],tblTransactions[Transaction Type],"Expense",tblTransactions[Source Account],$D119,tblTransactions[Transaction Status],"Completed")+SUMIFS(tblTransactions[Amount],tblTransactions[Transaction Type],"Expense",tblTransactions[Source Account],$D119,tblTransactions[Transaction Status],"Reconciled")+SUMIFS(tblTransactions[Amount],tblTransactions[Transaction Type],"Transfer",tblTransactions[Source Account],$D119,tblTransactions[Transaction Status],"Completed")+SUMIFS(tblTransactions[Amount],tblTransactions[Transaction Type],"Transfer",tblTransactions[Source Account],$D119,tblTransactions[Transaction Status],"Reconciled")-SUMIFS(tblTransactions[Amount],tblTransactions[Transaction Type],"Adjustment",tblTransactions[Source Account],$D119,tblTransactions[Transaction Status],"Completed",tblTransactions[Amount],"&lt;0")-SUMIFS(tblTransactions[Amount],tblTransactions[Transaction Type],"Adjustment",tblTransactions[Source Account],$D119,tblTransactions[Transaction Status],"Reconciled",tblTransactions[Amount],"&lt;0"),0))</f>
      </c>
      <c r="H119" s="1">
        <f>IF($D119="","",$E119+$F119-$G119)</f>
      </c>
      <c r="I119" s="4">
        <f>IF($D119="","",IFERROR(LOOKUP(2,1/(((tblTransactions[Source Account]=$D119)+((tblTransactions[Transaction Type]="Transfer")*(tblTransactions[Destination Type]="Account")*(tblTransactions[Destination Name]=$D119)))*((tblTransactions[Transaction Status]="Completed")+(tblTransactions[Transaction Status]="Reconciled"))),tblTransactions[Transaction Date]),""))</f>
      </c>
      <c r="J119" s="1">
        <f>IF($D119="","",IFERROR(INDEX(tblAccounts[Account Type],ROW()-1),""))</f>
      </c>
      <c r="K119" s="1">
        <f>IF($D119="","",IFERROR(INDEX(tblAccounts[Include in Dashboard],ROW()-1),""))</f>
      </c>
      <c r="L119" s="1">
        <f>IF($D119="","",IFERROR(INDEX(tblAccounts[Status],ROW()-1),""))</f>
      </c>
    </row>
    <row r="120">
      <c r="D120" s="1">
        <f>IFERROR(IF(INDEX(tblAccounts[Account Name],ROW()-1)="","",INDEX(tblAccounts[Account Name],ROW()-1)),"")</f>
      </c>
      <c r="E120" s="1">
        <f>IF($D120="","",IFERROR(INDEX(tblAccounts[Opening Balance],ROW()-1),0))</f>
      </c>
      <c r="F120" s="1">
        <f>IF($D120="","",IFERROR(SUMIFS(tblTransactions[Amount],tblTransactions[Transaction Type],"Income",tblTransactions[Source Account],$D120,tblTransactions[Transaction Status],"Completed")+SUMIFS(tblTransactions[Amount],tblTransactions[Transaction Type],"Income",tblTransactions[Source Account],$D120,tblTransactions[Transaction Status],"Reconciled")+SUMIFS(tblTransactions[Amount],tblTransactions[Transaction Type],"Transfer",tblTransactions[Destination Type],"Account",tblTransactions[Destination Name],$D120,tblTransactions[Transaction Status],"Completed")+SUMIFS(tblTransactions[Amount],tblTransactions[Transaction Type],"Transfer",tblTransactions[Destination Type],"Account",tblTransactions[Destination Name],$D120,tblTransactions[Transaction Status],"Reconciled")+SUMIFS(tblTransactions[Amount],tblTransactions[Transaction Type],"Adjustment",tblTransactions[Source Account],$D120,tblTransactions[Transaction Status],"Completed",tblTransactions[Amount],"&gt;0")+SUMIFS(tblTransactions[Amount],tblTransactions[Transaction Type],"Adjustment",tblTransactions[Source Account],$D120,tblTransactions[Transaction Status],"Reconciled",tblTransactions[Amount],"&gt;0"),0))</f>
      </c>
      <c r="G120" s="1">
        <f>IF($D120="","",IFERROR(SUMIFS(tblTransactions[Amount],tblTransactions[Transaction Type],"Expense",tblTransactions[Source Account],$D120,tblTransactions[Transaction Status],"Completed")+SUMIFS(tblTransactions[Amount],tblTransactions[Transaction Type],"Expense",tblTransactions[Source Account],$D120,tblTransactions[Transaction Status],"Reconciled")+SUMIFS(tblTransactions[Amount],tblTransactions[Transaction Type],"Transfer",tblTransactions[Source Account],$D120,tblTransactions[Transaction Status],"Completed")+SUMIFS(tblTransactions[Amount],tblTransactions[Transaction Type],"Transfer",tblTransactions[Source Account],$D120,tblTransactions[Transaction Status],"Reconciled")-SUMIFS(tblTransactions[Amount],tblTransactions[Transaction Type],"Adjustment",tblTransactions[Source Account],$D120,tblTransactions[Transaction Status],"Completed",tblTransactions[Amount],"&lt;0")-SUMIFS(tblTransactions[Amount],tblTransactions[Transaction Type],"Adjustment",tblTransactions[Source Account],$D120,tblTransactions[Transaction Status],"Reconciled",tblTransactions[Amount],"&lt;0"),0))</f>
      </c>
      <c r="H120" s="1">
        <f>IF($D120="","",$E120+$F120-$G120)</f>
      </c>
      <c r="I120" s="4">
        <f>IF($D120="","",IFERROR(LOOKUP(2,1/(((tblTransactions[Source Account]=$D120)+((tblTransactions[Transaction Type]="Transfer")*(tblTransactions[Destination Type]="Account")*(tblTransactions[Destination Name]=$D120)))*((tblTransactions[Transaction Status]="Completed")+(tblTransactions[Transaction Status]="Reconciled"))),tblTransactions[Transaction Date]),""))</f>
      </c>
      <c r="J120" s="1">
        <f>IF($D120="","",IFERROR(INDEX(tblAccounts[Account Type],ROW()-1),""))</f>
      </c>
      <c r="K120" s="1">
        <f>IF($D120="","",IFERROR(INDEX(tblAccounts[Include in Dashboard],ROW()-1),""))</f>
      </c>
      <c r="L120" s="1">
        <f>IF($D120="","",IFERROR(INDEX(tblAccounts[Status],ROW()-1),""))</f>
      </c>
    </row>
    <row r="121">
      <c r="D121" s="1">
        <f>IFERROR(IF(INDEX(tblAccounts[Account Name],ROW()-1)="","",INDEX(tblAccounts[Account Name],ROW()-1)),"")</f>
      </c>
      <c r="E121" s="1">
        <f>IF($D121="","",IFERROR(INDEX(tblAccounts[Opening Balance],ROW()-1),0))</f>
      </c>
      <c r="F121" s="1">
        <f>IF($D121="","",IFERROR(SUMIFS(tblTransactions[Amount],tblTransactions[Transaction Type],"Income",tblTransactions[Source Account],$D121,tblTransactions[Transaction Status],"Completed")+SUMIFS(tblTransactions[Amount],tblTransactions[Transaction Type],"Income",tblTransactions[Source Account],$D121,tblTransactions[Transaction Status],"Reconciled")+SUMIFS(tblTransactions[Amount],tblTransactions[Transaction Type],"Transfer",tblTransactions[Destination Type],"Account",tblTransactions[Destination Name],$D121,tblTransactions[Transaction Status],"Completed")+SUMIFS(tblTransactions[Amount],tblTransactions[Transaction Type],"Transfer",tblTransactions[Destination Type],"Account",tblTransactions[Destination Name],$D121,tblTransactions[Transaction Status],"Reconciled")+SUMIFS(tblTransactions[Amount],tblTransactions[Transaction Type],"Adjustment",tblTransactions[Source Account],$D121,tblTransactions[Transaction Status],"Completed",tblTransactions[Amount],"&gt;0")+SUMIFS(tblTransactions[Amount],tblTransactions[Transaction Type],"Adjustment",tblTransactions[Source Account],$D121,tblTransactions[Transaction Status],"Reconciled",tblTransactions[Amount],"&gt;0"),0))</f>
      </c>
      <c r="G121" s="1">
        <f>IF($D121="","",IFERROR(SUMIFS(tblTransactions[Amount],tblTransactions[Transaction Type],"Expense",tblTransactions[Source Account],$D121,tblTransactions[Transaction Status],"Completed")+SUMIFS(tblTransactions[Amount],tblTransactions[Transaction Type],"Expense",tblTransactions[Source Account],$D121,tblTransactions[Transaction Status],"Reconciled")+SUMIFS(tblTransactions[Amount],tblTransactions[Transaction Type],"Transfer",tblTransactions[Source Account],$D121,tblTransactions[Transaction Status],"Completed")+SUMIFS(tblTransactions[Amount],tblTransactions[Transaction Type],"Transfer",tblTransactions[Source Account],$D121,tblTransactions[Transaction Status],"Reconciled")-SUMIFS(tblTransactions[Amount],tblTransactions[Transaction Type],"Adjustment",tblTransactions[Source Account],$D121,tblTransactions[Transaction Status],"Completed",tblTransactions[Amount],"&lt;0")-SUMIFS(tblTransactions[Amount],tblTransactions[Transaction Type],"Adjustment",tblTransactions[Source Account],$D121,tblTransactions[Transaction Status],"Reconciled",tblTransactions[Amount],"&lt;0"),0))</f>
      </c>
      <c r="H121" s="1">
        <f>IF($D121="","",$E121+$F121-$G121)</f>
      </c>
      <c r="I121" s="4">
        <f>IF($D121="","",IFERROR(LOOKUP(2,1/(((tblTransactions[Source Account]=$D121)+((tblTransactions[Transaction Type]="Transfer")*(tblTransactions[Destination Type]="Account")*(tblTransactions[Destination Name]=$D121)))*((tblTransactions[Transaction Status]="Completed")+(tblTransactions[Transaction Status]="Reconciled"))),tblTransactions[Transaction Date]),""))</f>
      </c>
      <c r="J121" s="1">
        <f>IF($D121="","",IFERROR(INDEX(tblAccounts[Account Type],ROW()-1),""))</f>
      </c>
      <c r="K121" s="1">
        <f>IF($D121="","",IFERROR(INDEX(tblAccounts[Include in Dashboard],ROW()-1),""))</f>
      </c>
      <c r="L121" s="1">
        <f>IF($D121="","",IFERROR(INDEX(tblAccounts[Status],ROW()-1),""))</f>
      </c>
    </row>
    <row r="122">
      <c r="D122" s="1">
        <f>IFERROR(IF(INDEX(tblAccounts[Account Name],ROW()-1)="","",INDEX(tblAccounts[Account Name],ROW()-1)),"")</f>
      </c>
      <c r="E122" s="1">
        <f>IF($D122="","",IFERROR(INDEX(tblAccounts[Opening Balance],ROW()-1),0))</f>
      </c>
      <c r="F122" s="1">
        <f>IF($D122="","",IFERROR(SUMIFS(tblTransactions[Amount],tblTransactions[Transaction Type],"Income",tblTransactions[Source Account],$D122,tblTransactions[Transaction Status],"Completed")+SUMIFS(tblTransactions[Amount],tblTransactions[Transaction Type],"Income",tblTransactions[Source Account],$D122,tblTransactions[Transaction Status],"Reconciled")+SUMIFS(tblTransactions[Amount],tblTransactions[Transaction Type],"Transfer",tblTransactions[Destination Type],"Account",tblTransactions[Destination Name],$D122,tblTransactions[Transaction Status],"Completed")+SUMIFS(tblTransactions[Amount],tblTransactions[Transaction Type],"Transfer",tblTransactions[Destination Type],"Account",tblTransactions[Destination Name],$D122,tblTransactions[Transaction Status],"Reconciled")+SUMIFS(tblTransactions[Amount],tblTransactions[Transaction Type],"Adjustment",tblTransactions[Source Account],$D122,tblTransactions[Transaction Status],"Completed",tblTransactions[Amount],"&gt;0")+SUMIFS(tblTransactions[Amount],tblTransactions[Transaction Type],"Adjustment",tblTransactions[Source Account],$D122,tblTransactions[Transaction Status],"Reconciled",tblTransactions[Amount],"&gt;0"),0))</f>
      </c>
      <c r="G122" s="1">
        <f>IF($D122="","",IFERROR(SUMIFS(tblTransactions[Amount],tblTransactions[Transaction Type],"Expense",tblTransactions[Source Account],$D122,tblTransactions[Transaction Status],"Completed")+SUMIFS(tblTransactions[Amount],tblTransactions[Transaction Type],"Expense",tblTransactions[Source Account],$D122,tblTransactions[Transaction Status],"Reconciled")+SUMIFS(tblTransactions[Amount],tblTransactions[Transaction Type],"Transfer",tblTransactions[Source Account],$D122,tblTransactions[Transaction Status],"Completed")+SUMIFS(tblTransactions[Amount],tblTransactions[Transaction Type],"Transfer",tblTransactions[Source Account],$D122,tblTransactions[Transaction Status],"Reconciled")-SUMIFS(tblTransactions[Amount],tblTransactions[Transaction Type],"Adjustment",tblTransactions[Source Account],$D122,tblTransactions[Transaction Status],"Completed",tblTransactions[Amount],"&lt;0")-SUMIFS(tblTransactions[Amount],tblTransactions[Transaction Type],"Adjustment",tblTransactions[Source Account],$D122,tblTransactions[Transaction Status],"Reconciled",tblTransactions[Amount],"&lt;0"),0))</f>
      </c>
      <c r="H122" s="1">
        <f>IF($D122="","",$E122+$F122-$G122)</f>
      </c>
      <c r="I122" s="4">
        <f>IF($D122="","",IFERROR(LOOKUP(2,1/(((tblTransactions[Source Account]=$D122)+((tblTransactions[Transaction Type]="Transfer")*(tblTransactions[Destination Type]="Account")*(tblTransactions[Destination Name]=$D122)))*((tblTransactions[Transaction Status]="Completed")+(tblTransactions[Transaction Status]="Reconciled"))),tblTransactions[Transaction Date]),""))</f>
      </c>
      <c r="J122" s="1">
        <f>IF($D122="","",IFERROR(INDEX(tblAccounts[Account Type],ROW()-1),""))</f>
      </c>
      <c r="K122" s="1">
        <f>IF($D122="","",IFERROR(INDEX(tblAccounts[Include in Dashboard],ROW()-1),""))</f>
      </c>
      <c r="L122" s="1">
        <f>IF($D122="","",IFERROR(INDEX(tblAccounts[Status],ROW()-1),""))</f>
      </c>
    </row>
    <row r="123">
      <c r="D123" s="1">
        <f>IFERROR(IF(INDEX(tblAccounts[Account Name],ROW()-1)="","",INDEX(tblAccounts[Account Name],ROW()-1)),"")</f>
      </c>
      <c r="E123" s="1">
        <f>IF($D123="","",IFERROR(INDEX(tblAccounts[Opening Balance],ROW()-1),0))</f>
      </c>
      <c r="F123" s="1">
        <f>IF($D123="","",IFERROR(SUMIFS(tblTransactions[Amount],tblTransactions[Transaction Type],"Income",tblTransactions[Source Account],$D123,tblTransactions[Transaction Status],"Completed")+SUMIFS(tblTransactions[Amount],tblTransactions[Transaction Type],"Income",tblTransactions[Source Account],$D123,tblTransactions[Transaction Status],"Reconciled")+SUMIFS(tblTransactions[Amount],tblTransactions[Transaction Type],"Transfer",tblTransactions[Destination Type],"Account",tblTransactions[Destination Name],$D123,tblTransactions[Transaction Status],"Completed")+SUMIFS(tblTransactions[Amount],tblTransactions[Transaction Type],"Transfer",tblTransactions[Destination Type],"Account",tblTransactions[Destination Name],$D123,tblTransactions[Transaction Status],"Reconciled")+SUMIFS(tblTransactions[Amount],tblTransactions[Transaction Type],"Adjustment",tblTransactions[Source Account],$D123,tblTransactions[Transaction Status],"Completed",tblTransactions[Amount],"&gt;0")+SUMIFS(tblTransactions[Amount],tblTransactions[Transaction Type],"Adjustment",tblTransactions[Source Account],$D123,tblTransactions[Transaction Status],"Reconciled",tblTransactions[Amount],"&gt;0"),0))</f>
      </c>
      <c r="G123" s="1">
        <f>IF($D123="","",IFERROR(SUMIFS(tblTransactions[Amount],tblTransactions[Transaction Type],"Expense",tblTransactions[Source Account],$D123,tblTransactions[Transaction Status],"Completed")+SUMIFS(tblTransactions[Amount],tblTransactions[Transaction Type],"Expense",tblTransactions[Source Account],$D123,tblTransactions[Transaction Status],"Reconciled")+SUMIFS(tblTransactions[Amount],tblTransactions[Transaction Type],"Transfer",tblTransactions[Source Account],$D123,tblTransactions[Transaction Status],"Completed")+SUMIFS(tblTransactions[Amount],tblTransactions[Transaction Type],"Transfer",tblTransactions[Source Account],$D123,tblTransactions[Transaction Status],"Reconciled")-SUMIFS(tblTransactions[Amount],tblTransactions[Transaction Type],"Adjustment",tblTransactions[Source Account],$D123,tblTransactions[Transaction Status],"Completed",tblTransactions[Amount],"&lt;0")-SUMIFS(tblTransactions[Amount],tblTransactions[Transaction Type],"Adjustment",tblTransactions[Source Account],$D123,tblTransactions[Transaction Status],"Reconciled",tblTransactions[Amount],"&lt;0"),0))</f>
      </c>
      <c r="H123" s="1">
        <f>IF($D123="","",$E123+$F123-$G123)</f>
      </c>
      <c r="I123" s="4">
        <f>IF($D123="","",IFERROR(LOOKUP(2,1/(((tblTransactions[Source Account]=$D123)+((tblTransactions[Transaction Type]="Transfer")*(tblTransactions[Destination Type]="Account")*(tblTransactions[Destination Name]=$D123)))*((tblTransactions[Transaction Status]="Completed")+(tblTransactions[Transaction Status]="Reconciled"))),tblTransactions[Transaction Date]),""))</f>
      </c>
      <c r="J123" s="1">
        <f>IF($D123="","",IFERROR(INDEX(tblAccounts[Account Type],ROW()-1),""))</f>
      </c>
      <c r="K123" s="1">
        <f>IF($D123="","",IFERROR(INDEX(tblAccounts[Include in Dashboard],ROW()-1),""))</f>
      </c>
      <c r="L123" s="1">
        <f>IF($D123="","",IFERROR(INDEX(tblAccounts[Status],ROW()-1),""))</f>
      </c>
    </row>
    <row r="124">
      <c r="D124" s="1">
        <f>IFERROR(IF(INDEX(tblAccounts[Account Name],ROW()-1)="","",INDEX(tblAccounts[Account Name],ROW()-1)),"")</f>
      </c>
      <c r="E124" s="1">
        <f>IF($D124="","",IFERROR(INDEX(tblAccounts[Opening Balance],ROW()-1),0))</f>
      </c>
      <c r="F124" s="1">
        <f>IF($D124="","",IFERROR(SUMIFS(tblTransactions[Amount],tblTransactions[Transaction Type],"Income",tblTransactions[Source Account],$D124,tblTransactions[Transaction Status],"Completed")+SUMIFS(tblTransactions[Amount],tblTransactions[Transaction Type],"Income",tblTransactions[Source Account],$D124,tblTransactions[Transaction Status],"Reconciled")+SUMIFS(tblTransactions[Amount],tblTransactions[Transaction Type],"Transfer",tblTransactions[Destination Type],"Account",tblTransactions[Destination Name],$D124,tblTransactions[Transaction Status],"Completed")+SUMIFS(tblTransactions[Amount],tblTransactions[Transaction Type],"Transfer",tblTransactions[Destination Type],"Account",tblTransactions[Destination Name],$D124,tblTransactions[Transaction Status],"Reconciled")+SUMIFS(tblTransactions[Amount],tblTransactions[Transaction Type],"Adjustment",tblTransactions[Source Account],$D124,tblTransactions[Transaction Status],"Completed",tblTransactions[Amount],"&gt;0")+SUMIFS(tblTransactions[Amount],tblTransactions[Transaction Type],"Adjustment",tblTransactions[Source Account],$D124,tblTransactions[Transaction Status],"Reconciled",tblTransactions[Amount],"&gt;0"),0))</f>
      </c>
      <c r="G124" s="1">
        <f>IF($D124="","",IFERROR(SUMIFS(tblTransactions[Amount],tblTransactions[Transaction Type],"Expense",tblTransactions[Source Account],$D124,tblTransactions[Transaction Status],"Completed")+SUMIFS(tblTransactions[Amount],tblTransactions[Transaction Type],"Expense",tblTransactions[Source Account],$D124,tblTransactions[Transaction Status],"Reconciled")+SUMIFS(tblTransactions[Amount],tblTransactions[Transaction Type],"Transfer",tblTransactions[Source Account],$D124,tblTransactions[Transaction Status],"Completed")+SUMIFS(tblTransactions[Amount],tblTransactions[Transaction Type],"Transfer",tblTransactions[Source Account],$D124,tblTransactions[Transaction Status],"Reconciled")-SUMIFS(tblTransactions[Amount],tblTransactions[Transaction Type],"Adjustment",tblTransactions[Source Account],$D124,tblTransactions[Transaction Status],"Completed",tblTransactions[Amount],"&lt;0")-SUMIFS(tblTransactions[Amount],tblTransactions[Transaction Type],"Adjustment",tblTransactions[Source Account],$D124,tblTransactions[Transaction Status],"Reconciled",tblTransactions[Amount],"&lt;0"),0))</f>
      </c>
      <c r="H124" s="1">
        <f>IF($D124="","",$E124+$F124-$G124)</f>
      </c>
      <c r="I124" s="4">
        <f>IF($D124="","",IFERROR(LOOKUP(2,1/(((tblTransactions[Source Account]=$D124)+((tblTransactions[Transaction Type]="Transfer")*(tblTransactions[Destination Type]="Account")*(tblTransactions[Destination Name]=$D124)))*((tblTransactions[Transaction Status]="Completed")+(tblTransactions[Transaction Status]="Reconciled"))),tblTransactions[Transaction Date]),""))</f>
      </c>
      <c r="J124" s="1">
        <f>IF($D124="","",IFERROR(INDEX(tblAccounts[Account Type],ROW()-1),""))</f>
      </c>
      <c r="K124" s="1">
        <f>IF($D124="","",IFERROR(INDEX(tblAccounts[Include in Dashboard],ROW()-1),""))</f>
      </c>
      <c r="L124" s="1">
        <f>IF($D124="","",IFERROR(INDEX(tblAccounts[Status],ROW()-1),""))</f>
      </c>
    </row>
    <row r="125">
      <c r="D125" s="1">
        <f>IFERROR(IF(INDEX(tblAccounts[Account Name],ROW()-1)="","",INDEX(tblAccounts[Account Name],ROW()-1)),"")</f>
      </c>
      <c r="E125" s="1">
        <f>IF($D125="","",IFERROR(INDEX(tblAccounts[Opening Balance],ROW()-1),0))</f>
      </c>
      <c r="F125" s="1">
        <f>IF($D125="","",IFERROR(SUMIFS(tblTransactions[Amount],tblTransactions[Transaction Type],"Income",tblTransactions[Source Account],$D125,tblTransactions[Transaction Status],"Completed")+SUMIFS(tblTransactions[Amount],tblTransactions[Transaction Type],"Income",tblTransactions[Source Account],$D125,tblTransactions[Transaction Status],"Reconciled")+SUMIFS(tblTransactions[Amount],tblTransactions[Transaction Type],"Transfer",tblTransactions[Destination Type],"Account",tblTransactions[Destination Name],$D125,tblTransactions[Transaction Status],"Completed")+SUMIFS(tblTransactions[Amount],tblTransactions[Transaction Type],"Transfer",tblTransactions[Destination Type],"Account",tblTransactions[Destination Name],$D125,tblTransactions[Transaction Status],"Reconciled")+SUMIFS(tblTransactions[Amount],tblTransactions[Transaction Type],"Adjustment",tblTransactions[Source Account],$D125,tblTransactions[Transaction Status],"Completed",tblTransactions[Amount],"&gt;0")+SUMIFS(tblTransactions[Amount],tblTransactions[Transaction Type],"Adjustment",tblTransactions[Source Account],$D125,tblTransactions[Transaction Status],"Reconciled",tblTransactions[Amount],"&gt;0"),0))</f>
      </c>
      <c r="G125" s="1">
        <f>IF($D125="","",IFERROR(SUMIFS(tblTransactions[Amount],tblTransactions[Transaction Type],"Expense",tblTransactions[Source Account],$D125,tblTransactions[Transaction Status],"Completed")+SUMIFS(tblTransactions[Amount],tblTransactions[Transaction Type],"Expense",tblTransactions[Source Account],$D125,tblTransactions[Transaction Status],"Reconciled")+SUMIFS(tblTransactions[Amount],tblTransactions[Transaction Type],"Transfer",tblTransactions[Source Account],$D125,tblTransactions[Transaction Status],"Completed")+SUMIFS(tblTransactions[Amount],tblTransactions[Transaction Type],"Transfer",tblTransactions[Source Account],$D125,tblTransactions[Transaction Status],"Reconciled")-SUMIFS(tblTransactions[Amount],tblTransactions[Transaction Type],"Adjustment",tblTransactions[Source Account],$D125,tblTransactions[Transaction Status],"Completed",tblTransactions[Amount],"&lt;0")-SUMIFS(tblTransactions[Amount],tblTransactions[Transaction Type],"Adjustment",tblTransactions[Source Account],$D125,tblTransactions[Transaction Status],"Reconciled",tblTransactions[Amount],"&lt;0"),0))</f>
      </c>
      <c r="H125" s="1">
        <f>IF($D125="","",$E125+$F125-$G125)</f>
      </c>
      <c r="I125" s="4">
        <f>IF($D125="","",IFERROR(LOOKUP(2,1/(((tblTransactions[Source Account]=$D125)+((tblTransactions[Transaction Type]="Transfer")*(tblTransactions[Destination Type]="Account")*(tblTransactions[Destination Name]=$D125)))*((tblTransactions[Transaction Status]="Completed")+(tblTransactions[Transaction Status]="Reconciled"))),tblTransactions[Transaction Date]),""))</f>
      </c>
      <c r="J125" s="1">
        <f>IF($D125="","",IFERROR(INDEX(tblAccounts[Account Type],ROW()-1),""))</f>
      </c>
      <c r="K125" s="1">
        <f>IF($D125="","",IFERROR(INDEX(tblAccounts[Include in Dashboard],ROW()-1),""))</f>
      </c>
      <c r="L125" s="1">
        <f>IF($D125="","",IFERROR(INDEX(tblAccounts[Status],ROW()-1),""))</f>
      </c>
    </row>
    <row r="126">
      <c r="D126" s="1">
        <f>IFERROR(IF(INDEX(tblAccounts[Account Name],ROW()-1)="","",INDEX(tblAccounts[Account Name],ROW()-1)),"")</f>
      </c>
      <c r="E126" s="1">
        <f>IF($D126="","",IFERROR(INDEX(tblAccounts[Opening Balance],ROW()-1),0))</f>
      </c>
      <c r="F126" s="1">
        <f>IF($D126="","",IFERROR(SUMIFS(tblTransactions[Amount],tblTransactions[Transaction Type],"Income",tblTransactions[Source Account],$D126,tblTransactions[Transaction Status],"Completed")+SUMIFS(tblTransactions[Amount],tblTransactions[Transaction Type],"Income",tblTransactions[Source Account],$D126,tblTransactions[Transaction Status],"Reconciled")+SUMIFS(tblTransactions[Amount],tblTransactions[Transaction Type],"Transfer",tblTransactions[Destination Type],"Account",tblTransactions[Destination Name],$D126,tblTransactions[Transaction Status],"Completed")+SUMIFS(tblTransactions[Amount],tblTransactions[Transaction Type],"Transfer",tblTransactions[Destination Type],"Account",tblTransactions[Destination Name],$D126,tblTransactions[Transaction Status],"Reconciled")+SUMIFS(tblTransactions[Amount],tblTransactions[Transaction Type],"Adjustment",tblTransactions[Source Account],$D126,tblTransactions[Transaction Status],"Completed",tblTransactions[Amount],"&gt;0")+SUMIFS(tblTransactions[Amount],tblTransactions[Transaction Type],"Adjustment",tblTransactions[Source Account],$D126,tblTransactions[Transaction Status],"Reconciled",tblTransactions[Amount],"&gt;0"),0))</f>
      </c>
      <c r="G126" s="1">
        <f>IF($D126="","",IFERROR(SUMIFS(tblTransactions[Amount],tblTransactions[Transaction Type],"Expense",tblTransactions[Source Account],$D126,tblTransactions[Transaction Status],"Completed")+SUMIFS(tblTransactions[Amount],tblTransactions[Transaction Type],"Expense",tblTransactions[Source Account],$D126,tblTransactions[Transaction Status],"Reconciled")+SUMIFS(tblTransactions[Amount],tblTransactions[Transaction Type],"Transfer",tblTransactions[Source Account],$D126,tblTransactions[Transaction Status],"Completed")+SUMIFS(tblTransactions[Amount],tblTransactions[Transaction Type],"Transfer",tblTransactions[Source Account],$D126,tblTransactions[Transaction Status],"Reconciled")-SUMIFS(tblTransactions[Amount],tblTransactions[Transaction Type],"Adjustment",tblTransactions[Source Account],$D126,tblTransactions[Transaction Status],"Completed",tblTransactions[Amount],"&lt;0")-SUMIFS(tblTransactions[Amount],tblTransactions[Transaction Type],"Adjustment",tblTransactions[Source Account],$D126,tblTransactions[Transaction Status],"Reconciled",tblTransactions[Amount],"&lt;0"),0))</f>
      </c>
      <c r="H126" s="1">
        <f>IF($D126="","",$E126+$F126-$G126)</f>
      </c>
      <c r="I126" s="4">
        <f>IF($D126="","",IFERROR(LOOKUP(2,1/(((tblTransactions[Source Account]=$D126)+((tblTransactions[Transaction Type]="Transfer")*(tblTransactions[Destination Type]="Account")*(tblTransactions[Destination Name]=$D126)))*((tblTransactions[Transaction Status]="Completed")+(tblTransactions[Transaction Status]="Reconciled"))),tblTransactions[Transaction Date]),""))</f>
      </c>
      <c r="J126" s="1">
        <f>IF($D126="","",IFERROR(INDEX(tblAccounts[Account Type],ROW()-1),""))</f>
      </c>
      <c r="K126" s="1">
        <f>IF($D126="","",IFERROR(INDEX(tblAccounts[Include in Dashboard],ROW()-1),""))</f>
      </c>
      <c r="L126" s="1">
        <f>IF($D126="","",IFERROR(INDEX(tblAccounts[Status],ROW()-1),""))</f>
      </c>
    </row>
    <row r="127">
      <c r="D127" s="1">
        <f>IFERROR(IF(INDEX(tblAccounts[Account Name],ROW()-1)="","",INDEX(tblAccounts[Account Name],ROW()-1)),"")</f>
      </c>
      <c r="E127" s="1">
        <f>IF($D127="","",IFERROR(INDEX(tblAccounts[Opening Balance],ROW()-1),0))</f>
      </c>
      <c r="F127" s="1">
        <f>IF($D127="","",IFERROR(SUMIFS(tblTransactions[Amount],tblTransactions[Transaction Type],"Income",tblTransactions[Source Account],$D127,tblTransactions[Transaction Status],"Completed")+SUMIFS(tblTransactions[Amount],tblTransactions[Transaction Type],"Income",tblTransactions[Source Account],$D127,tblTransactions[Transaction Status],"Reconciled")+SUMIFS(tblTransactions[Amount],tblTransactions[Transaction Type],"Transfer",tblTransactions[Destination Type],"Account",tblTransactions[Destination Name],$D127,tblTransactions[Transaction Status],"Completed")+SUMIFS(tblTransactions[Amount],tblTransactions[Transaction Type],"Transfer",tblTransactions[Destination Type],"Account",tblTransactions[Destination Name],$D127,tblTransactions[Transaction Status],"Reconciled")+SUMIFS(tblTransactions[Amount],tblTransactions[Transaction Type],"Adjustment",tblTransactions[Source Account],$D127,tblTransactions[Transaction Status],"Completed",tblTransactions[Amount],"&gt;0")+SUMIFS(tblTransactions[Amount],tblTransactions[Transaction Type],"Adjustment",tblTransactions[Source Account],$D127,tblTransactions[Transaction Status],"Reconciled",tblTransactions[Amount],"&gt;0"),0))</f>
      </c>
      <c r="G127" s="1">
        <f>IF($D127="","",IFERROR(SUMIFS(tblTransactions[Amount],tblTransactions[Transaction Type],"Expense",tblTransactions[Source Account],$D127,tblTransactions[Transaction Status],"Completed")+SUMIFS(tblTransactions[Amount],tblTransactions[Transaction Type],"Expense",tblTransactions[Source Account],$D127,tblTransactions[Transaction Status],"Reconciled")+SUMIFS(tblTransactions[Amount],tblTransactions[Transaction Type],"Transfer",tblTransactions[Source Account],$D127,tblTransactions[Transaction Status],"Completed")+SUMIFS(tblTransactions[Amount],tblTransactions[Transaction Type],"Transfer",tblTransactions[Source Account],$D127,tblTransactions[Transaction Status],"Reconciled")-SUMIFS(tblTransactions[Amount],tblTransactions[Transaction Type],"Adjustment",tblTransactions[Source Account],$D127,tblTransactions[Transaction Status],"Completed",tblTransactions[Amount],"&lt;0")-SUMIFS(tblTransactions[Amount],tblTransactions[Transaction Type],"Adjustment",tblTransactions[Source Account],$D127,tblTransactions[Transaction Status],"Reconciled",tblTransactions[Amount],"&lt;0"),0))</f>
      </c>
      <c r="H127" s="1">
        <f>IF($D127="","",$E127+$F127-$G127)</f>
      </c>
      <c r="I127" s="4">
        <f>IF($D127="","",IFERROR(LOOKUP(2,1/(((tblTransactions[Source Account]=$D127)+((tblTransactions[Transaction Type]="Transfer")*(tblTransactions[Destination Type]="Account")*(tblTransactions[Destination Name]=$D127)))*((tblTransactions[Transaction Status]="Completed")+(tblTransactions[Transaction Status]="Reconciled"))),tblTransactions[Transaction Date]),""))</f>
      </c>
      <c r="J127" s="1">
        <f>IF($D127="","",IFERROR(INDEX(tblAccounts[Account Type],ROW()-1),""))</f>
      </c>
      <c r="K127" s="1">
        <f>IF($D127="","",IFERROR(INDEX(tblAccounts[Include in Dashboard],ROW()-1),""))</f>
      </c>
      <c r="L127" s="1">
        <f>IF($D127="","",IFERROR(INDEX(tblAccounts[Status],ROW()-1),""))</f>
      </c>
    </row>
    <row r="128">
      <c r="D128" s="1">
        <f>IFERROR(IF(INDEX(tblAccounts[Account Name],ROW()-1)="","",INDEX(tblAccounts[Account Name],ROW()-1)),"")</f>
      </c>
      <c r="E128" s="1">
        <f>IF($D128="","",IFERROR(INDEX(tblAccounts[Opening Balance],ROW()-1),0))</f>
      </c>
      <c r="F128" s="1">
        <f>IF($D128="","",IFERROR(SUMIFS(tblTransactions[Amount],tblTransactions[Transaction Type],"Income",tblTransactions[Source Account],$D128,tblTransactions[Transaction Status],"Completed")+SUMIFS(tblTransactions[Amount],tblTransactions[Transaction Type],"Income",tblTransactions[Source Account],$D128,tblTransactions[Transaction Status],"Reconciled")+SUMIFS(tblTransactions[Amount],tblTransactions[Transaction Type],"Transfer",tblTransactions[Destination Type],"Account",tblTransactions[Destination Name],$D128,tblTransactions[Transaction Status],"Completed")+SUMIFS(tblTransactions[Amount],tblTransactions[Transaction Type],"Transfer",tblTransactions[Destination Type],"Account",tblTransactions[Destination Name],$D128,tblTransactions[Transaction Status],"Reconciled")+SUMIFS(tblTransactions[Amount],tblTransactions[Transaction Type],"Adjustment",tblTransactions[Source Account],$D128,tblTransactions[Transaction Status],"Completed",tblTransactions[Amount],"&gt;0")+SUMIFS(tblTransactions[Amount],tblTransactions[Transaction Type],"Adjustment",tblTransactions[Source Account],$D128,tblTransactions[Transaction Status],"Reconciled",tblTransactions[Amount],"&gt;0"),0))</f>
      </c>
      <c r="G128" s="1">
        <f>IF($D128="","",IFERROR(SUMIFS(tblTransactions[Amount],tblTransactions[Transaction Type],"Expense",tblTransactions[Source Account],$D128,tblTransactions[Transaction Status],"Completed")+SUMIFS(tblTransactions[Amount],tblTransactions[Transaction Type],"Expense",tblTransactions[Source Account],$D128,tblTransactions[Transaction Status],"Reconciled")+SUMIFS(tblTransactions[Amount],tblTransactions[Transaction Type],"Transfer",tblTransactions[Source Account],$D128,tblTransactions[Transaction Status],"Completed")+SUMIFS(tblTransactions[Amount],tblTransactions[Transaction Type],"Transfer",tblTransactions[Source Account],$D128,tblTransactions[Transaction Status],"Reconciled")-SUMIFS(tblTransactions[Amount],tblTransactions[Transaction Type],"Adjustment",tblTransactions[Source Account],$D128,tblTransactions[Transaction Status],"Completed",tblTransactions[Amount],"&lt;0")-SUMIFS(tblTransactions[Amount],tblTransactions[Transaction Type],"Adjustment",tblTransactions[Source Account],$D128,tblTransactions[Transaction Status],"Reconciled",tblTransactions[Amount],"&lt;0"),0))</f>
      </c>
      <c r="H128" s="1">
        <f>IF($D128="","",$E128+$F128-$G128)</f>
      </c>
      <c r="I128" s="4">
        <f>IF($D128="","",IFERROR(LOOKUP(2,1/(((tblTransactions[Source Account]=$D128)+((tblTransactions[Transaction Type]="Transfer")*(tblTransactions[Destination Type]="Account")*(tblTransactions[Destination Name]=$D128)))*((tblTransactions[Transaction Status]="Completed")+(tblTransactions[Transaction Status]="Reconciled"))),tblTransactions[Transaction Date]),""))</f>
      </c>
      <c r="J128" s="1">
        <f>IF($D128="","",IFERROR(INDEX(tblAccounts[Account Type],ROW()-1),""))</f>
      </c>
      <c r="K128" s="1">
        <f>IF($D128="","",IFERROR(INDEX(tblAccounts[Include in Dashboard],ROW()-1),""))</f>
      </c>
      <c r="L128" s="1">
        <f>IF($D128="","",IFERROR(INDEX(tblAccounts[Status],ROW()-1),""))</f>
      </c>
    </row>
    <row r="129">
      <c r="D129" s="1">
        <f>IFERROR(IF(INDEX(tblAccounts[Account Name],ROW()-1)="","",INDEX(tblAccounts[Account Name],ROW()-1)),"")</f>
      </c>
      <c r="E129" s="1">
        <f>IF($D129="","",IFERROR(INDEX(tblAccounts[Opening Balance],ROW()-1),0))</f>
      </c>
      <c r="F129" s="1">
        <f>IF($D129="","",IFERROR(SUMIFS(tblTransactions[Amount],tblTransactions[Transaction Type],"Income",tblTransactions[Source Account],$D129,tblTransactions[Transaction Status],"Completed")+SUMIFS(tblTransactions[Amount],tblTransactions[Transaction Type],"Income",tblTransactions[Source Account],$D129,tblTransactions[Transaction Status],"Reconciled")+SUMIFS(tblTransactions[Amount],tblTransactions[Transaction Type],"Transfer",tblTransactions[Destination Type],"Account",tblTransactions[Destination Name],$D129,tblTransactions[Transaction Status],"Completed")+SUMIFS(tblTransactions[Amount],tblTransactions[Transaction Type],"Transfer",tblTransactions[Destination Type],"Account",tblTransactions[Destination Name],$D129,tblTransactions[Transaction Status],"Reconciled")+SUMIFS(tblTransactions[Amount],tblTransactions[Transaction Type],"Adjustment",tblTransactions[Source Account],$D129,tblTransactions[Transaction Status],"Completed",tblTransactions[Amount],"&gt;0")+SUMIFS(tblTransactions[Amount],tblTransactions[Transaction Type],"Adjustment",tblTransactions[Source Account],$D129,tblTransactions[Transaction Status],"Reconciled",tblTransactions[Amount],"&gt;0"),0))</f>
      </c>
      <c r="G129" s="1">
        <f>IF($D129="","",IFERROR(SUMIFS(tblTransactions[Amount],tblTransactions[Transaction Type],"Expense",tblTransactions[Source Account],$D129,tblTransactions[Transaction Status],"Completed")+SUMIFS(tblTransactions[Amount],tblTransactions[Transaction Type],"Expense",tblTransactions[Source Account],$D129,tblTransactions[Transaction Status],"Reconciled")+SUMIFS(tblTransactions[Amount],tblTransactions[Transaction Type],"Transfer",tblTransactions[Source Account],$D129,tblTransactions[Transaction Status],"Completed")+SUMIFS(tblTransactions[Amount],tblTransactions[Transaction Type],"Transfer",tblTransactions[Source Account],$D129,tblTransactions[Transaction Status],"Reconciled")-SUMIFS(tblTransactions[Amount],tblTransactions[Transaction Type],"Adjustment",tblTransactions[Source Account],$D129,tblTransactions[Transaction Status],"Completed",tblTransactions[Amount],"&lt;0")-SUMIFS(tblTransactions[Amount],tblTransactions[Transaction Type],"Adjustment",tblTransactions[Source Account],$D129,tblTransactions[Transaction Status],"Reconciled",tblTransactions[Amount],"&lt;0"),0))</f>
      </c>
      <c r="H129" s="1">
        <f>IF($D129="","",$E129+$F129-$G129)</f>
      </c>
      <c r="I129" s="4">
        <f>IF($D129="","",IFERROR(LOOKUP(2,1/(((tblTransactions[Source Account]=$D129)+((tblTransactions[Transaction Type]="Transfer")*(tblTransactions[Destination Type]="Account")*(tblTransactions[Destination Name]=$D129)))*((tblTransactions[Transaction Status]="Completed")+(tblTransactions[Transaction Status]="Reconciled"))),tblTransactions[Transaction Date]),""))</f>
      </c>
      <c r="J129" s="1">
        <f>IF($D129="","",IFERROR(INDEX(tblAccounts[Account Type],ROW()-1),""))</f>
      </c>
      <c r="K129" s="1">
        <f>IF($D129="","",IFERROR(INDEX(tblAccounts[Include in Dashboard],ROW()-1),""))</f>
      </c>
      <c r="L129" s="1">
        <f>IF($D129="","",IFERROR(INDEX(tblAccounts[Status],ROW()-1),""))</f>
      </c>
    </row>
    <row r="130">
      <c r="D130" s="1">
        <f>IFERROR(IF(INDEX(tblAccounts[Account Name],ROW()-1)="","",INDEX(tblAccounts[Account Name],ROW()-1)),"")</f>
      </c>
      <c r="E130" s="1">
        <f>IF($D130="","",IFERROR(INDEX(tblAccounts[Opening Balance],ROW()-1),0))</f>
      </c>
      <c r="F130" s="1">
        <f>IF($D130="","",IFERROR(SUMIFS(tblTransactions[Amount],tblTransactions[Transaction Type],"Income",tblTransactions[Source Account],$D130,tblTransactions[Transaction Status],"Completed")+SUMIFS(tblTransactions[Amount],tblTransactions[Transaction Type],"Income",tblTransactions[Source Account],$D130,tblTransactions[Transaction Status],"Reconciled")+SUMIFS(tblTransactions[Amount],tblTransactions[Transaction Type],"Transfer",tblTransactions[Destination Type],"Account",tblTransactions[Destination Name],$D130,tblTransactions[Transaction Status],"Completed")+SUMIFS(tblTransactions[Amount],tblTransactions[Transaction Type],"Transfer",tblTransactions[Destination Type],"Account",tblTransactions[Destination Name],$D130,tblTransactions[Transaction Status],"Reconciled")+SUMIFS(tblTransactions[Amount],tblTransactions[Transaction Type],"Adjustment",tblTransactions[Source Account],$D130,tblTransactions[Transaction Status],"Completed",tblTransactions[Amount],"&gt;0")+SUMIFS(tblTransactions[Amount],tblTransactions[Transaction Type],"Adjustment",tblTransactions[Source Account],$D130,tblTransactions[Transaction Status],"Reconciled",tblTransactions[Amount],"&gt;0"),0))</f>
      </c>
      <c r="G130" s="1">
        <f>IF($D130="","",IFERROR(SUMIFS(tblTransactions[Amount],tblTransactions[Transaction Type],"Expense",tblTransactions[Source Account],$D130,tblTransactions[Transaction Status],"Completed")+SUMIFS(tblTransactions[Amount],tblTransactions[Transaction Type],"Expense",tblTransactions[Source Account],$D130,tblTransactions[Transaction Status],"Reconciled")+SUMIFS(tblTransactions[Amount],tblTransactions[Transaction Type],"Transfer",tblTransactions[Source Account],$D130,tblTransactions[Transaction Status],"Completed")+SUMIFS(tblTransactions[Amount],tblTransactions[Transaction Type],"Transfer",tblTransactions[Source Account],$D130,tblTransactions[Transaction Status],"Reconciled")-SUMIFS(tblTransactions[Amount],tblTransactions[Transaction Type],"Adjustment",tblTransactions[Source Account],$D130,tblTransactions[Transaction Status],"Completed",tblTransactions[Amount],"&lt;0")-SUMIFS(tblTransactions[Amount],tblTransactions[Transaction Type],"Adjustment",tblTransactions[Source Account],$D130,tblTransactions[Transaction Status],"Reconciled",tblTransactions[Amount],"&lt;0"),0))</f>
      </c>
      <c r="H130" s="1">
        <f>IF($D130="","",$E130+$F130-$G130)</f>
      </c>
      <c r="I130" s="4">
        <f>IF($D130="","",IFERROR(LOOKUP(2,1/(((tblTransactions[Source Account]=$D130)+((tblTransactions[Transaction Type]="Transfer")*(tblTransactions[Destination Type]="Account")*(tblTransactions[Destination Name]=$D130)))*((tblTransactions[Transaction Status]="Completed")+(tblTransactions[Transaction Status]="Reconciled"))),tblTransactions[Transaction Date]),""))</f>
      </c>
      <c r="J130" s="1">
        <f>IF($D130="","",IFERROR(INDEX(tblAccounts[Account Type],ROW()-1),""))</f>
      </c>
      <c r="K130" s="1">
        <f>IF($D130="","",IFERROR(INDEX(tblAccounts[Include in Dashboard],ROW()-1),""))</f>
      </c>
      <c r="L130" s="1">
        <f>IF($D130="","",IFERROR(INDEX(tblAccounts[Status],ROW()-1),""))</f>
      </c>
    </row>
    <row r="131">
      <c r="D131" s="1">
        <f>IFERROR(IF(INDEX(tblAccounts[Account Name],ROW()-1)="","",INDEX(tblAccounts[Account Name],ROW()-1)),"")</f>
      </c>
      <c r="E131" s="1">
        <f>IF($D131="","",IFERROR(INDEX(tblAccounts[Opening Balance],ROW()-1),0))</f>
      </c>
      <c r="F131" s="1">
        <f>IF($D131="","",IFERROR(SUMIFS(tblTransactions[Amount],tblTransactions[Transaction Type],"Income",tblTransactions[Source Account],$D131,tblTransactions[Transaction Status],"Completed")+SUMIFS(tblTransactions[Amount],tblTransactions[Transaction Type],"Income",tblTransactions[Source Account],$D131,tblTransactions[Transaction Status],"Reconciled")+SUMIFS(tblTransactions[Amount],tblTransactions[Transaction Type],"Transfer",tblTransactions[Destination Type],"Account",tblTransactions[Destination Name],$D131,tblTransactions[Transaction Status],"Completed")+SUMIFS(tblTransactions[Amount],tblTransactions[Transaction Type],"Transfer",tblTransactions[Destination Type],"Account",tblTransactions[Destination Name],$D131,tblTransactions[Transaction Status],"Reconciled")+SUMIFS(tblTransactions[Amount],tblTransactions[Transaction Type],"Adjustment",tblTransactions[Source Account],$D131,tblTransactions[Transaction Status],"Completed",tblTransactions[Amount],"&gt;0")+SUMIFS(tblTransactions[Amount],tblTransactions[Transaction Type],"Adjustment",tblTransactions[Source Account],$D131,tblTransactions[Transaction Status],"Reconciled",tblTransactions[Amount],"&gt;0"),0))</f>
      </c>
      <c r="G131" s="1">
        <f>IF($D131="","",IFERROR(SUMIFS(tblTransactions[Amount],tblTransactions[Transaction Type],"Expense",tblTransactions[Source Account],$D131,tblTransactions[Transaction Status],"Completed")+SUMIFS(tblTransactions[Amount],tblTransactions[Transaction Type],"Expense",tblTransactions[Source Account],$D131,tblTransactions[Transaction Status],"Reconciled")+SUMIFS(tblTransactions[Amount],tblTransactions[Transaction Type],"Transfer",tblTransactions[Source Account],$D131,tblTransactions[Transaction Status],"Completed")+SUMIFS(tblTransactions[Amount],tblTransactions[Transaction Type],"Transfer",tblTransactions[Source Account],$D131,tblTransactions[Transaction Status],"Reconciled")-SUMIFS(tblTransactions[Amount],tblTransactions[Transaction Type],"Adjustment",tblTransactions[Source Account],$D131,tblTransactions[Transaction Status],"Completed",tblTransactions[Amount],"&lt;0")-SUMIFS(tblTransactions[Amount],tblTransactions[Transaction Type],"Adjustment",tblTransactions[Source Account],$D131,tblTransactions[Transaction Status],"Reconciled",tblTransactions[Amount],"&lt;0"),0))</f>
      </c>
      <c r="H131" s="1">
        <f>IF($D131="","",$E131+$F131-$G131)</f>
      </c>
      <c r="I131" s="4">
        <f>IF($D131="","",IFERROR(LOOKUP(2,1/(((tblTransactions[Source Account]=$D131)+((tblTransactions[Transaction Type]="Transfer")*(tblTransactions[Destination Type]="Account")*(tblTransactions[Destination Name]=$D131)))*((tblTransactions[Transaction Status]="Completed")+(tblTransactions[Transaction Status]="Reconciled"))),tblTransactions[Transaction Date]),""))</f>
      </c>
      <c r="J131" s="1">
        <f>IF($D131="","",IFERROR(INDEX(tblAccounts[Account Type],ROW()-1),""))</f>
      </c>
      <c r="K131" s="1">
        <f>IF($D131="","",IFERROR(INDEX(tblAccounts[Include in Dashboard],ROW()-1),""))</f>
      </c>
      <c r="L131" s="1">
        <f>IF($D131="","",IFERROR(INDEX(tblAccounts[Status],ROW()-1),""))</f>
      </c>
    </row>
    <row r="132">
      <c r="D132" s="1">
        <f>IFERROR(IF(INDEX(tblAccounts[Account Name],ROW()-1)="","",INDEX(tblAccounts[Account Name],ROW()-1)),"")</f>
      </c>
      <c r="E132" s="1">
        <f>IF($D132="","",IFERROR(INDEX(tblAccounts[Opening Balance],ROW()-1),0))</f>
      </c>
      <c r="F132" s="1">
        <f>IF($D132="","",IFERROR(SUMIFS(tblTransactions[Amount],tblTransactions[Transaction Type],"Income",tblTransactions[Source Account],$D132,tblTransactions[Transaction Status],"Completed")+SUMIFS(tblTransactions[Amount],tblTransactions[Transaction Type],"Income",tblTransactions[Source Account],$D132,tblTransactions[Transaction Status],"Reconciled")+SUMIFS(tblTransactions[Amount],tblTransactions[Transaction Type],"Transfer",tblTransactions[Destination Type],"Account",tblTransactions[Destination Name],$D132,tblTransactions[Transaction Status],"Completed")+SUMIFS(tblTransactions[Amount],tblTransactions[Transaction Type],"Transfer",tblTransactions[Destination Type],"Account",tblTransactions[Destination Name],$D132,tblTransactions[Transaction Status],"Reconciled")+SUMIFS(tblTransactions[Amount],tblTransactions[Transaction Type],"Adjustment",tblTransactions[Source Account],$D132,tblTransactions[Transaction Status],"Completed",tblTransactions[Amount],"&gt;0")+SUMIFS(tblTransactions[Amount],tblTransactions[Transaction Type],"Adjustment",tblTransactions[Source Account],$D132,tblTransactions[Transaction Status],"Reconciled",tblTransactions[Amount],"&gt;0"),0))</f>
      </c>
      <c r="G132" s="1">
        <f>IF($D132="","",IFERROR(SUMIFS(tblTransactions[Amount],tblTransactions[Transaction Type],"Expense",tblTransactions[Source Account],$D132,tblTransactions[Transaction Status],"Completed")+SUMIFS(tblTransactions[Amount],tblTransactions[Transaction Type],"Expense",tblTransactions[Source Account],$D132,tblTransactions[Transaction Status],"Reconciled")+SUMIFS(tblTransactions[Amount],tblTransactions[Transaction Type],"Transfer",tblTransactions[Source Account],$D132,tblTransactions[Transaction Status],"Completed")+SUMIFS(tblTransactions[Amount],tblTransactions[Transaction Type],"Transfer",tblTransactions[Source Account],$D132,tblTransactions[Transaction Status],"Reconciled")-SUMIFS(tblTransactions[Amount],tblTransactions[Transaction Type],"Adjustment",tblTransactions[Source Account],$D132,tblTransactions[Transaction Status],"Completed",tblTransactions[Amount],"&lt;0")-SUMIFS(tblTransactions[Amount],tblTransactions[Transaction Type],"Adjustment",tblTransactions[Source Account],$D132,tblTransactions[Transaction Status],"Reconciled",tblTransactions[Amount],"&lt;0"),0))</f>
      </c>
      <c r="H132" s="1">
        <f>IF($D132="","",$E132+$F132-$G132)</f>
      </c>
      <c r="I132" s="4">
        <f>IF($D132="","",IFERROR(LOOKUP(2,1/(((tblTransactions[Source Account]=$D132)+((tblTransactions[Transaction Type]="Transfer")*(tblTransactions[Destination Type]="Account")*(tblTransactions[Destination Name]=$D132)))*((tblTransactions[Transaction Status]="Completed")+(tblTransactions[Transaction Status]="Reconciled"))),tblTransactions[Transaction Date]),""))</f>
      </c>
      <c r="J132" s="1">
        <f>IF($D132="","",IFERROR(INDEX(tblAccounts[Account Type],ROW()-1),""))</f>
      </c>
      <c r="K132" s="1">
        <f>IF($D132="","",IFERROR(INDEX(tblAccounts[Include in Dashboard],ROW()-1),""))</f>
      </c>
      <c r="L132" s="1">
        <f>IF($D132="","",IFERROR(INDEX(tblAccounts[Status],ROW()-1),""))</f>
      </c>
    </row>
    <row r="133">
      <c r="D133" s="1">
        <f>IFERROR(IF(INDEX(tblAccounts[Account Name],ROW()-1)="","",INDEX(tblAccounts[Account Name],ROW()-1)),"")</f>
      </c>
      <c r="E133" s="1">
        <f>IF($D133="","",IFERROR(INDEX(tblAccounts[Opening Balance],ROW()-1),0))</f>
      </c>
      <c r="F133" s="1">
        <f>IF($D133="","",IFERROR(SUMIFS(tblTransactions[Amount],tblTransactions[Transaction Type],"Income",tblTransactions[Source Account],$D133,tblTransactions[Transaction Status],"Completed")+SUMIFS(tblTransactions[Amount],tblTransactions[Transaction Type],"Income",tblTransactions[Source Account],$D133,tblTransactions[Transaction Status],"Reconciled")+SUMIFS(tblTransactions[Amount],tblTransactions[Transaction Type],"Transfer",tblTransactions[Destination Type],"Account",tblTransactions[Destination Name],$D133,tblTransactions[Transaction Status],"Completed")+SUMIFS(tblTransactions[Amount],tblTransactions[Transaction Type],"Transfer",tblTransactions[Destination Type],"Account",tblTransactions[Destination Name],$D133,tblTransactions[Transaction Status],"Reconciled")+SUMIFS(tblTransactions[Amount],tblTransactions[Transaction Type],"Adjustment",tblTransactions[Source Account],$D133,tblTransactions[Transaction Status],"Completed",tblTransactions[Amount],"&gt;0")+SUMIFS(tblTransactions[Amount],tblTransactions[Transaction Type],"Adjustment",tblTransactions[Source Account],$D133,tblTransactions[Transaction Status],"Reconciled",tblTransactions[Amount],"&gt;0"),0))</f>
      </c>
      <c r="G133" s="1">
        <f>IF($D133="","",IFERROR(SUMIFS(tblTransactions[Amount],tblTransactions[Transaction Type],"Expense",tblTransactions[Source Account],$D133,tblTransactions[Transaction Status],"Completed")+SUMIFS(tblTransactions[Amount],tblTransactions[Transaction Type],"Expense",tblTransactions[Source Account],$D133,tblTransactions[Transaction Status],"Reconciled")+SUMIFS(tblTransactions[Amount],tblTransactions[Transaction Type],"Transfer",tblTransactions[Source Account],$D133,tblTransactions[Transaction Status],"Completed")+SUMIFS(tblTransactions[Amount],tblTransactions[Transaction Type],"Transfer",tblTransactions[Source Account],$D133,tblTransactions[Transaction Status],"Reconciled")-SUMIFS(tblTransactions[Amount],tblTransactions[Transaction Type],"Adjustment",tblTransactions[Source Account],$D133,tblTransactions[Transaction Status],"Completed",tblTransactions[Amount],"&lt;0")-SUMIFS(tblTransactions[Amount],tblTransactions[Transaction Type],"Adjustment",tblTransactions[Source Account],$D133,tblTransactions[Transaction Status],"Reconciled",tblTransactions[Amount],"&lt;0"),0))</f>
      </c>
      <c r="H133" s="1">
        <f>IF($D133="","",$E133+$F133-$G133)</f>
      </c>
      <c r="I133" s="4">
        <f>IF($D133="","",IFERROR(LOOKUP(2,1/(((tblTransactions[Source Account]=$D133)+((tblTransactions[Transaction Type]="Transfer")*(tblTransactions[Destination Type]="Account")*(tblTransactions[Destination Name]=$D133)))*((tblTransactions[Transaction Status]="Completed")+(tblTransactions[Transaction Status]="Reconciled"))),tblTransactions[Transaction Date]),""))</f>
      </c>
      <c r="J133" s="1">
        <f>IF($D133="","",IFERROR(INDEX(tblAccounts[Account Type],ROW()-1),""))</f>
      </c>
      <c r="K133" s="1">
        <f>IF($D133="","",IFERROR(INDEX(tblAccounts[Include in Dashboard],ROW()-1),""))</f>
      </c>
      <c r="L133" s="1">
        <f>IF($D133="","",IFERROR(INDEX(tblAccounts[Status],ROW()-1),""))</f>
      </c>
    </row>
    <row r="134">
      <c r="D134" s="1">
        <f>IFERROR(IF(INDEX(tblAccounts[Account Name],ROW()-1)="","",INDEX(tblAccounts[Account Name],ROW()-1)),"")</f>
      </c>
      <c r="E134" s="1">
        <f>IF($D134="","",IFERROR(INDEX(tblAccounts[Opening Balance],ROW()-1),0))</f>
      </c>
      <c r="F134" s="1">
        <f>IF($D134="","",IFERROR(SUMIFS(tblTransactions[Amount],tblTransactions[Transaction Type],"Income",tblTransactions[Source Account],$D134,tblTransactions[Transaction Status],"Completed")+SUMIFS(tblTransactions[Amount],tblTransactions[Transaction Type],"Income",tblTransactions[Source Account],$D134,tblTransactions[Transaction Status],"Reconciled")+SUMIFS(tblTransactions[Amount],tblTransactions[Transaction Type],"Transfer",tblTransactions[Destination Type],"Account",tblTransactions[Destination Name],$D134,tblTransactions[Transaction Status],"Completed")+SUMIFS(tblTransactions[Amount],tblTransactions[Transaction Type],"Transfer",tblTransactions[Destination Type],"Account",tblTransactions[Destination Name],$D134,tblTransactions[Transaction Status],"Reconciled")+SUMIFS(tblTransactions[Amount],tblTransactions[Transaction Type],"Adjustment",tblTransactions[Source Account],$D134,tblTransactions[Transaction Status],"Completed",tblTransactions[Amount],"&gt;0")+SUMIFS(tblTransactions[Amount],tblTransactions[Transaction Type],"Adjustment",tblTransactions[Source Account],$D134,tblTransactions[Transaction Status],"Reconciled",tblTransactions[Amount],"&gt;0"),0))</f>
      </c>
      <c r="G134" s="1">
        <f>IF($D134="","",IFERROR(SUMIFS(tblTransactions[Amount],tblTransactions[Transaction Type],"Expense",tblTransactions[Source Account],$D134,tblTransactions[Transaction Status],"Completed")+SUMIFS(tblTransactions[Amount],tblTransactions[Transaction Type],"Expense",tblTransactions[Source Account],$D134,tblTransactions[Transaction Status],"Reconciled")+SUMIFS(tblTransactions[Amount],tblTransactions[Transaction Type],"Transfer",tblTransactions[Source Account],$D134,tblTransactions[Transaction Status],"Completed")+SUMIFS(tblTransactions[Amount],tblTransactions[Transaction Type],"Transfer",tblTransactions[Source Account],$D134,tblTransactions[Transaction Status],"Reconciled")-SUMIFS(tblTransactions[Amount],tblTransactions[Transaction Type],"Adjustment",tblTransactions[Source Account],$D134,tblTransactions[Transaction Status],"Completed",tblTransactions[Amount],"&lt;0")-SUMIFS(tblTransactions[Amount],tblTransactions[Transaction Type],"Adjustment",tblTransactions[Source Account],$D134,tblTransactions[Transaction Status],"Reconciled",tblTransactions[Amount],"&lt;0"),0))</f>
      </c>
      <c r="H134" s="1">
        <f>IF($D134="","",$E134+$F134-$G134)</f>
      </c>
      <c r="I134" s="4">
        <f>IF($D134="","",IFERROR(LOOKUP(2,1/(((tblTransactions[Source Account]=$D134)+((tblTransactions[Transaction Type]="Transfer")*(tblTransactions[Destination Type]="Account")*(tblTransactions[Destination Name]=$D134)))*((tblTransactions[Transaction Status]="Completed")+(tblTransactions[Transaction Status]="Reconciled"))),tblTransactions[Transaction Date]),""))</f>
      </c>
      <c r="J134" s="1">
        <f>IF($D134="","",IFERROR(INDEX(tblAccounts[Account Type],ROW()-1),""))</f>
      </c>
      <c r="K134" s="1">
        <f>IF($D134="","",IFERROR(INDEX(tblAccounts[Include in Dashboard],ROW()-1),""))</f>
      </c>
      <c r="L134" s="1">
        <f>IF($D134="","",IFERROR(INDEX(tblAccounts[Status],ROW()-1),""))</f>
      </c>
    </row>
    <row r="135">
      <c r="D135" s="1">
        <f>IFERROR(IF(INDEX(tblAccounts[Account Name],ROW()-1)="","",INDEX(tblAccounts[Account Name],ROW()-1)),"")</f>
      </c>
      <c r="E135" s="1">
        <f>IF($D135="","",IFERROR(INDEX(tblAccounts[Opening Balance],ROW()-1),0))</f>
      </c>
      <c r="F135" s="1">
        <f>IF($D135="","",IFERROR(SUMIFS(tblTransactions[Amount],tblTransactions[Transaction Type],"Income",tblTransactions[Source Account],$D135,tblTransactions[Transaction Status],"Completed")+SUMIFS(tblTransactions[Amount],tblTransactions[Transaction Type],"Income",tblTransactions[Source Account],$D135,tblTransactions[Transaction Status],"Reconciled")+SUMIFS(tblTransactions[Amount],tblTransactions[Transaction Type],"Transfer",tblTransactions[Destination Type],"Account",tblTransactions[Destination Name],$D135,tblTransactions[Transaction Status],"Completed")+SUMIFS(tblTransactions[Amount],tblTransactions[Transaction Type],"Transfer",tblTransactions[Destination Type],"Account",tblTransactions[Destination Name],$D135,tblTransactions[Transaction Status],"Reconciled")+SUMIFS(tblTransactions[Amount],tblTransactions[Transaction Type],"Adjustment",tblTransactions[Source Account],$D135,tblTransactions[Transaction Status],"Completed",tblTransactions[Amount],"&gt;0")+SUMIFS(tblTransactions[Amount],tblTransactions[Transaction Type],"Adjustment",tblTransactions[Source Account],$D135,tblTransactions[Transaction Status],"Reconciled",tblTransactions[Amount],"&gt;0"),0))</f>
      </c>
      <c r="G135" s="1">
        <f>IF($D135="","",IFERROR(SUMIFS(tblTransactions[Amount],tblTransactions[Transaction Type],"Expense",tblTransactions[Source Account],$D135,tblTransactions[Transaction Status],"Completed")+SUMIFS(tblTransactions[Amount],tblTransactions[Transaction Type],"Expense",tblTransactions[Source Account],$D135,tblTransactions[Transaction Status],"Reconciled")+SUMIFS(tblTransactions[Amount],tblTransactions[Transaction Type],"Transfer",tblTransactions[Source Account],$D135,tblTransactions[Transaction Status],"Completed")+SUMIFS(tblTransactions[Amount],tblTransactions[Transaction Type],"Transfer",tblTransactions[Source Account],$D135,tblTransactions[Transaction Status],"Reconciled")-SUMIFS(tblTransactions[Amount],tblTransactions[Transaction Type],"Adjustment",tblTransactions[Source Account],$D135,tblTransactions[Transaction Status],"Completed",tblTransactions[Amount],"&lt;0")-SUMIFS(tblTransactions[Amount],tblTransactions[Transaction Type],"Adjustment",tblTransactions[Source Account],$D135,tblTransactions[Transaction Status],"Reconciled",tblTransactions[Amount],"&lt;0"),0))</f>
      </c>
      <c r="H135" s="1">
        <f>IF($D135="","",$E135+$F135-$G135)</f>
      </c>
      <c r="I135" s="4">
        <f>IF($D135="","",IFERROR(LOOKUP(2,1/(((tblTransactions[Source Account]=$D135)+((tblTransactions[Transaction Type]="Transfer")*(tblTransactions[Destination Type]="Account")*(tblTransactions[Destination Name]=$D135)))*((tblTransactions[Transaction Status]="Completed")+(tblTransactions[Transaction Status]="Reconciled"))),tblTransactions[Transaction Date]),""))</f>
      </c>
      <c r="J135" s="1">
        <f>IF($D135="","",IFERROR(INDEX(tblAccounts[Account Type],ROW()-1),""))</f>
      </c>
      <c r="K135" s="1">
        <f>IF($D135="","",IFERROR(INDEX(tblAccounts[Include in Dashboard],ROW()-1),""))</f>
      </c>
      <c r="L135" s="1">
        <f>IF($D135="","",IFERROR(INDEX(tblAccounts[Status],ROW()-1),""))</f>
      </c>
    </row>
    <row r="136">
      <c r="D136" s="1">
        <f>IFERROR(IF(INDEX(tblAccounts[Account Name],ROW()-1)="","",INDEX(tblAccounts[Account Name],ROW()-1)),"")</f>
      </c>
      <c r="E136" s="1">
        <f>IF($D136="","",IFERROR(INDEX(tblAccounts[Opening Balance],ROW()-1),0))</f>
      </c>
      <c r="F136" s="1">
        <f>IF($D136="","",IFERROR(SUMIFS(tblTransactions[Amount],tblTransactions[Transaction Type],"Income",tblTransactions[Source Account],$D136,tblTransactions[Transaction Status],"Completed")+SUMIFS(tblTransactions[Amount],tblTransactions[Transaction Type],"Income",tblTransactions[Source Account],$D136,tblTransactions[Transaction Status],"Reconciled")+SUMIFS(tblTransactions[Amount],tblTransactions[Transaction Type],"Transfer",tblTransactions[Destination Type],"Account",tblTransactions[Destination Name],$D136,tblTransactions[Transaction Status],"Completed")+SUMIFS(tblTransactions[Amount],tblTransactions[Transaction Type],"Transfer",tblTransactions[Destination Type],"Account",tblTransactions[Destination Name],$D136,tblTransactions[Transaction Status],"Reconciled")+SUMIFS(tblTransactions[Amount],tblTransactions[Transaction Type],"Adjustment",tblTransactions[Source Account],$D136,tblTransactions[Transaction Status],"Completed",tblTransactions[Amount],"&gt;0")+SUMIFS(tblTransactions[Amount],tblTransactions[Transaction Type],"Adjustment",tblTransactions[Source Account],$D136,tblTransactions[Transaction Status],"Reconciled",tblTransactions[Amount],"&gt;0"),0))</f>
      </c>
      <c r="G136" s="1">
        <f>IF($D136="","",IFERROR(SUMIFS(tblTransactions[Amount],tblTransactions[Transaction Type],"Expense",tblTransactions[Source Account],$D136,tblTransactions[Transaction Status],"Completed")+SUMIFS(tblTransactions[Amount],tblTransactions[Transaction Type],"Expense",tblTransactions[Source Account],$D136,tblTransactions[Transaction Status],"Reconciled")+SUMIFS(tblTransactions[Amount],tblTransactions[Transaction Type],"Transfer",tblTransactions[Source Account],$D136,tblTransactions[Transaction Status],"Completed")+SUMIFS(tblTransactions[Amount],tblTransactions[Transaction Type],"Transfer",tblTransactions[Source Account],$D136,tblTransactions[Transaction Status],"Reconciled")-SUMIFS(tblTransactions[Amount],tblTransactions[Transaction Type],"Adjustment",tblTransactions[Source Account],$D136,tblTransactions[Transaction Status],"Completed",tblTransactions[Amount],"&lt;0")-SUMIFS(tblTransactions[Amount],tblTransactions[Transaction Type],"Adjustment",tblTransactions[Source Account],$D136,tblTransactions[Transaction Status],"Reconciled",tblTransactions[Amount],"&lt;0"),0))</f>
      </c>
      <c r="H136" s="1">
        <f>IF($D136="","",$E136+$F136-$G136)</f>
      </c>
      <c r="I136" s="4">
        <f>IF($D136="","",IFERROR(LOOKUP(2,1/(((tblTransactions[Source Account]=$D136)+((tblTransactions[Transaction Type]="Transfer")*(tblTransactions[Destination Type]="Account")*(tblTransactions[Destination Name]=$D136)))*((tblTransactions[Transaction Status]="Completed")+(tblTransactions[Transaction Status]="Reconciled"))),tblTransactions[Transaction Date]),""))</f>
      </c>
      <c r="J136" s="1">
        <f>IF($D136="","",IFERROR(INDEX(tblAccounts[Account Type],ROW()-1),""))</f>
      </c>
      <c r="K136" s="1">
        <f>IF($D136="","",IFERROR(INDEX(tblAccounts[Include in Dashboard],ROW()-1),""))</f>
      </c>
      <c r="L136" s="1">
        <f>IF($D136="","",IFERROR(INDEX(tblAccounts[Status],ROW()-1),""))</f>
      </c>
    </row>
    <row r="137">
      <c r="D137" s="1">
        <f>IFERROR(IF(INDEX(tblAccounts[Account Name],ROW()-1)="","",INDEX(tblAccounts[Account Name],ROW()-1)),"")</f>
      </c>
      <c r="E137" s="1">
        <f>IF($D137="","",IFERROR(INDEX(tblAccounts[Opening Balance],ROW()-1),0))</f>
      </c>
      <c r="F137" s="1">
        <f>IF($D137="","",IFERROR(SUMIFS(tblTransactions[Amount],tblTransactions[Transaction Type],"Income",tblTransactions[Source Account],$D137,tblTransactions[Transaction Status],"Completed")+SUMIFS(tblTransactions[Amount],tblTransactions[Transaction Type],"Income",tblTransactions[Source Account],$D137,tblTransactions[Transaction Status],"Reconciled")+SUMIFS(tblTransactions[Amount],tblTransactions[Transaction Type],"Transfer",tblTransactions[Destination Type],"Account",tblTransactions[Destination Name],$D137,tblTransactions[Transaction Status],"Completed")+SUMIFS(tblTransactions[Amount],tblTransactions[Transaction Type],"Transfer",tblTransactions[Destination Type],"Account",tblTransactions[Destination Name],$D137,tblTransactions[Transaction Status],"Reconciled")+SUMIFS(tblTransactions[Amount],tblTransactions[Transaction Type],"Adjustment",tblTransactions[Source Account],$D137,tblTransactions[Transaction Status],"Completed",tblTransactions[Amount],"&gt;0")+SUMIFS(tblTransactions[Amount],tblTransactions[Transaction Type],"Adjustment",tblTransactions[Source Account],$D137,tblTransactions[Transaction Status],"Reconciled",tblTransactions[Amount],"&gt;0"),0))</f>
      </c>
      <c r="G137" s="1">
        <f>IF($D137="","",IFERROR(SUMIFS(tblTransactions[Amount],tblTransactions[Transaction Type],"Expense",tblTransactions[Source Account],$D137,tblTransactions[Transaction Status],"Completed")+SUMIFS(tblTransactions[Amount],tblTransactions[Transaction Type],"Expense",tblTransactions[Source Account],$D137,tblTransactions[Transaction Status],"Reconciled")+SUMIFS(tblTransactions[Amount],tblTransactions[Transaction Type],"Transfer",tblTransactions[Source Account],$D137,tblTransactions[Transaction Status],"Completed")+SUMIFS(tblTransactions[Amount],tblTransactions[Transaction Type],"Transfer",tblTransactions[Source Account],$D137,tblTransactions[Transaction Status],"Reconciled")-SUMIFS(tblTransactions[Amount],tblTransactions[Transaction Type],"Adjustment",tblTransactions[Source Account],$D137,tblTransactions[Transaction Status],"Completed",tblTransactions[Amount],"&lt;0")-SUMIFS(tblTransactions[Amount],tblTransactions[Transaction Type],"Adjustment",tblTransactions[Source Account],$D137,tblTransactions[Transaction Status],"Reconciled",tblTransactions[Amount],"&lt;0"),0))</f>
      </c>
      <c r="H137" s="1">
        <f>IF($D137="","",$E137+$F137-$G137)</f>
      </c>
      <c r="I137" s="4">
        <f>IF($D137="","",IFERROR(LOOKUP(2,1/(((tblTransactions[Source Account]=$D137)+((tblTransactions[Transaction Type]="Transfer")*(tblTransactions[Destination Type]="Account")*(tblTransactions[Destination Name]=$D137)))*((tblTransactions[Transaction Status]="Completed")+(tblTransactions[Transaction Status]="Reconciled"))),tblTransactions[Transaction Date]),""))</f>
      </c>
      <c r="J137" s="1">
        <f>IF($D137="","",IFERROR(INDEX(tblAccounts[Account Type],ROW()-1),""))</f>
      </c>
      <c r="K137" s="1">
        <f>IF($D137="","",IFERROR(INDEX(tblAccounts[Include in Dashboard],ROW()-1),""))</f>
      </c>
      <c r="L137" s="1">
        <f>IF($D137="","",IFERROR(INDEX(tblAccounts[Status],ROW()-1),""))</f>
      </c>
    </row>
    <row r="138">
      <c r="D138" s="1">
        <f>IFERROR(IF(INDEX(tblAccounts[Account Name],ROW()-1)="","",INDEX(tblAccounts[Account Name],ROW()-1)),"")</f>
      </c>
      <c r="E138" s="1">
        <f>IF($D138="","",IFERROR(INDEX(tblAccounts[Opening Balance],ROW()-1),0))</f>
      </c>
      <c r="F138" s="1">
        <f>IF($D138="","",IFERROR(SUMIFS(tblTransactions[Amount],tblTransactions[Transaction Type],"Income",tblTransactions[Source Account],$D138,tblTransactions[Transaction Status],"Completed")+SUMIFS(tblTransactions[Amount],tblTransactions[Transaction Type],"Income",tblTransactions[Source Account],$D138,tblTransactions[Transaction Status],"Reconciled")+SUMIFS(tblTransactions[Amount],tblTransactions[Transaction Type],"Transfer",tblTransactions[Destination Type],"Account",tblTransactions[Destination Name],$D138,tblTransactions[Transaction Status],"Completed")+SUMIFS(tblTransactions[Amount],tblTransactions[Transaction Type],"Transfer",tblTransactions[Destination Type],"Account",tblTransactions[Destination Name],$D138,tblTransactions[Transaction Status],"Reconciled")+SUMIFS(tblTransactions[Amount],tblTransactions[Transaction Type],"Adjustment",tblTransactions[Source Account],$D138,tblTransactions[Transaction Status],"Completed",tblTransactions[Amount],"&gt;0")+SUMIFS(tblTransactions[Amount],tblTransactions[Transaction Type],"Adjustment",tblTransactions[Source Account],$D138,tblTransactions[Transaction Status],"Reconciled",tblTransactions[Amount],"&gt;0"),0))</f>
      </c>
      <c r="G138" s="1">
        <f>IF($D138="","",IFERROR(SUMIFS(tblTransactions[Amount],tblTransactions[Transaction Type],"Expense",tblTransactions[Source Account],$D138,tblTransactions[Transaction Status],"Completed")+SUMIFS(tblTransactions[Amount],tblTransactions[Transaction Type],"Expense",tblTransactions[Source Account],$D138,tblTransactions[Transaction Status],"Reconciled")+SUMIFS(tblTransactions[Amount],tblTransactions[Transaction Type],"Transfer",tblTransactions[Source Account],$D138,tblTransactions[Transaction Status],"Completed")+SUMIFS(tblTransactions[Amount],tblTransactions[Transaction Type],"Transfer",tblTransactions[Source Account],$D138,tblTransactions[Transaction Status],"Reconciled")-SUMIFS(tblTransactions[Amount],tblTransactions[Transaction Type],"Adjustment",tblTransactions[Source Account],$D138,tblTransactions[Transaction Status],"Completed",tblTransactions[Amount],"&lt;0")-SUMIFS(tblTransactions[Amount],tblTransactions[Transaction Type],"Adjustment",tblTransactions[Source Account],$D138,tblTransactions[Transaction Status],"Reconciled",tblTransactions[Amount],"&lt;0"),0))</f>
      </c>
      <c r="H138" s="1">
        <f>IF($D138="","",$E138+$F138-$G138)</f>
      </c>
      <c r="I138" s="4">
        <f>IF($D138="","",IFERROR(LOOKUP(2,1/(((tblTransactions[Source Account]=$D138)+((tblTransactions[Transaction Type]="Transfer")*(tblTransactions[Destination Type]="Account")*(tblTransactions[Destination Name]=$D138)))*((tblTransactions[Transaction Status]="Completed")+(tblTransactions[Transaction Status]="Reconciled"))),tblTransactions[Transaction Date]),""))</f>
      </c>
      <c r="J138" s="1">
        <f>IF($D138="","",IFERROR(INDEX(tblAccounts[Account Type],ROW()-1),""))</f>
      </c>
      <c r="K138" s="1">
        <f>IF($D138="","",IFERROR(INDEX(tblAccounts[Include in Dashboard],ROW()-1),""))</f>
      </c>
      <c r="L138" s="1">
        <f>IF($D138="","",IFERROR(INDEX(tblAccounts[Status],ROW()-1),""))</f>
      </c>
    </row>
    <row r="139">
      <c r="D139" s="1">
        <f>IFERROR(IF(INDEX(tblAccounts[Account Name],ROW()-1)="","",INDEX(tblAccounts[Account Name],ROW()-1)),"")</f>
      </c>
      <c r="E139" s="1">
        <f>IF($D139="","",IFERROR(INDEX(tblAccounts[Opening Balance],ROW()-1),0))</f>
      </c>
      <c r="F139" s="1">
        <f>IF($D139="","",IFERROR(SUMIFS(tblTransactions[Amount],tblTransactions[Transaction Type],"Income",tblTransactions[Source Account],$D139,tblTransactions[Transaction Status],"Completed")+SUMIFS(tblTransactions[Amount],tblTransactions[Transaction Type],"Income",tblTransactions[Source Account],$D139,tblTransactions[Transaction Status],"Reconciled")+SUMIFS(tblTransactions[Amount],tblTransactions[Transaction Type],"Transfer",tblTransactions[Destination Type],"Account",tblTransactions[Destination Name],$D139,tblTransactions[Transaction Status],"Completed")+SUMIFS(tblTransactions[Amount],tblTransactions[Transaction Type],"Transfer",tblTransactions[Destination Type],"Account",tblTransactions[Destination Name],$D139,tblTransactions[Transaction Status],"Reconciled")+SUMIFS(tblTransactions[Amount],tblTransactions[Transaction Type],"Adjustment",tblTransactions[Source Account],$D139,tblTransactions[Transaction Status],"Completed",tblTransactions[Amount],"&gt;0")+SUMIFS(tblTransactions[Amount],tblTransactions[Transaction Type],"Adjustment",tblTransactions[Source Account],$D139,tblTransactions[Transaction Status],"Reconciled",tblTransactions[Amount],"&gt;0"),0))</f>
      </c>
      <c r="G139" s="1">
        <f>IF($D139="","",IFERROR(SUMIFS(tblTransactions[Amount],tblTransactions[Transaction Type],"Expense",tblTransactions[Source Account],$D139,tblTransactions[Transaction Status],"Completed")+SUMIFS(tblTransactions[Amount],tblTransactions[Transaction Type],"Expense",tblTransactions[Source Account],$D139,tblTransactions[Transaction Status],"Reconciled")+SUMIFS(tblTransactions[Amount],tblTransactions[Transaction Type],"Transfer",tblTransactions[Source Account],$D139,tblTransactions[Transaction Status],"Completed")+SUMIFS(tblTransactions[Amount],tblTransactions[Transaction Type],"Transfer",tblTransactions[Source Account],$D139,tblTransactions[Transaction Status],"Reconciled")-SUMIFS(tblTransactions[Amount],tblTransactions[Transaction Type],"Adjustment",tblTransactions[Source Account],$D139,tblTransactions[Transaction Status],"Completed",tblTransactions[Amount],"&lt;0")-SUMIFS(tblTransactions[Amount],tblTransactions[Transaction Type],"Adjustment",tblTransactions[Source Account],$D139,tblTransactions[Transaction Status],"Reconciled",tblTransactions[Amount],"&lt;0"),0))</f>
      </c>
      <c r="H139" s="1">
        <f>IF($D139="","",$E139+$F139-$G139)</f>
      </c>
      <c r="I139" s="4">
        <f>IF($D139="","",IFERROR(LOOKUP(2,1/(((tblTransactions[Source Account]=$D139)+((tblTransactions[Transaction Type]="Transfer")*(tblTransactions[Destination Type]="Account")*(tblTransactions[Destination Name]=$D139)))*((tblTransactions[Transaction Status]="Completed")+(tblTransactions[Transaction Status]="Reconciled"))),tblTransactions[Transaction Date]),""))</f>
      </c>
      <c r="J139" s="1">
        <f>IF($D139="","",IFERROR(INDEX(tblAccounts[Account Type],ROW()-1),""))</f>
      </c>
      <c r="K139" s="1">
        <f>IF($D139="","",IFERROR(INDEX(tblAccounts[Include in Dashboard],ROW()-1),""))</f>
      </c>
      <c r="L139" s="1">
        <f>IF($D139="","",IFERROR(INDEX(tblAccounts[Status],ROW()-1),""))</f>
      </c>
    </row>
    <row r="140">
      <c r="D140" s="1">
        <f>IFERROR(IF(INDEX(tblAccounts[Account Name],ROW()-1)="","",INDEX(tblAccounts[Account Name],ROW()-1)),"")</f>
      </c>
      <c r="E140" s="1">
        <f>IF($D140="","",IFERROR(INDEX(tblAccounts[Opening Balance],ROW()-1),0))</f>
      </c>
      <c r="F140" s="1">
        <f>IF($D140="","",IFERROR(SUMIFS(tblTransactions[Amount],tblTransactions[Transaction Type],"Income",tblTransactions[Source Account],$D140,tblTransactions[Transaction Status],"Completed")+SUMIFS(tblTransactions[Amount],tblTransactions[Transaction Type],"Income",tblTransactions[Source Account],$D140,tblTransactions[Transaction Status],"Reconciled")+SUMIFS(tblTransactions[Amount],tblTransactions[Transaction Type],"Transfer",tblTransactions[Destination Type],"Account",tblTransactions[Destination Name],$D140,tblTransactions[Transaction Status],"Completed")+SUMIFS(tblTransactions[Amount],tblTransactions[Transaction Type],"Transfer",tblTransactions[Destination Type],"Account",tblTransactions[Destination Name],$D140,tblTransactions[Transaction Status],"Reconciled")+SUMIFS(tblTransactions[Amount],tblTransactions[Transaction Type],"Adjustment",tblTransactions[Source Account],$D140,tblTransactions[Transaction Status],"Completed",tblTransactions[Amount],"&gt;0")+SUMIFS(tblTransactions[Amount],tblTransactions[Transaction Type],"Adjustment",tblTransactions[Source Account],$D140,tblTransactions[Transaction Status],"Reconciled",tblTransactions[Amount],"&gt;0"),0))</f>
      </c>
      <c r="G140" s="1">
        <f>IF($D140="","",IFERROR(SUMIFS(tblTransactions[Amount],tblTransactions[Transaction Type],"Expense",tblTransactions[Source Account],$D140,tblTransactions[Transaction Status],"Completed")+SUMIFS(tblTransactions[Amount],tblTransactions[Transaction Type],"Expense",tblTransactions[Source Account],$D140,tblTransactions[Transaction Status],"Reconciled")+SUMIFS(tblTransactions[Amount],tblTransactions[Transaction Type],"Transfer",tblTransactions[Source Account],$D140,tblTransactions[Transaction Status],"Completed")+SUMIFS(tblTransactions[Amount],tblTransactions[Transaction Type],"Transfer",tblTransactions[Source Account],$D140,tblTransactions[Transaction Status],"Reconciled")-SUMIFS(tblTransactions[Amount],tblTransactions[Transaction Type],"Adjustment",tblTransactions[Source Account],$D140,tblTransactions[Transaction Status],"Completed",tblTransactions[Amount],"&lt;0")-SUMIFS(tblTransactions[Amount],tblTransactions[Transaction Type],"Adjustment",tblTransactions[Source Account],$D140,tblTransactions[Transaction Status],"Reconciled",tblTransactions[Amount],"&lt;0"),0))</f>
      </c>
      <c r="H140" s="1">
        <f>IF($D140="","",$E140+$F140-$G140)</f>
      </c>
      <c r="I140" s="4">
        <f>IF($D140="","",IFERROR(LOOKUP(2,1/(((tblTransactions[Source Account]=$D140)+((tblTransactions[Transaction Type]="Transfer")*(tblTransactions[Destination Type]="Account")*(tblTransactions[Destination Name]=$D140)))*((tblTransactions[Transaction Status]="Completed")+(tblTransactions[Transaction Status]="Reconciled"))),tblTransactions[Transaction Date]),""))</f>
      </c>
      <c r="J140" s="1">
        <f>IF($D140="","",IFERROR(INDEX(tblAccounts[Account Type],ROW()-1),""))</f>
      </c>
      <c r="K140" s="1">
        <f>IF($D140="","",IFERROR(INDEX(tblAccounts[Include in Dashboard],ROW()-1),""))</f>
      </c>
      <c r="L140" s="1">
        <f>IF($D140="","",IFERROR(INDEX(tblAccounts[Status],ROW()-1),""))</f>
      </c>
    </row>
    <row r="141">
      <c r="D141" s="1">
        <f>IFERROR(IF(INDEX(tblAccounts[Account Name],ROW()-1)="","",INDEX(tblAccounts[Account Name],ROW()-1)),"")</f>
      </c>
      <c r="E141" s="1">
        <f>IF($D141="","",IFERROR(INDEX(tblAccounts[Opening Balance],ROW()-1),0))</f>
      </c>
      <c r="F141" s="1">
        <f>IF($D141="","",IFERROR(SUMIFS(tblTransactions[Amount],tblTransactions[Transaction Type],"Income",tblTransactions[Source Account],$D141,tblTransactions[Transaction Status],"Completed")+SUMIFS(tblTransactions[Amount],tblTransactions[Transaction Type],"Income",tblTransactions[Source Account],$D141,tblTransactions[Transaction Status],"Reconciled")+SUMIFS(tblTransactions[Amount],tblTransactions[Transaction Type],"Transfer",tblTransactions[Destination Type],"Account",tblTransactions[Destination Name],$D141,tblTransactions[Transaction Status],"Completed")+SUMIFS(tblTransactions[Amount],tblTransactions[Transaction Type],"Transfer",tblTransactions[Destination Type],"Account",tblTransactions[Destination Name],$D141,tblTransactions[Transaction Status],"Reconciled")+SUMIFS(tblTransactions[Amount],tblTransactions[Transaction Type],"Adjustment",tblTransactions[Source Account],$D141,tblTransactions[Transaction Status],"Completed",tblTransactions[Amount],"&gt;0")+SUMIFS(tblTransactions[Amount],tblTransactions[Transaction Type],"Adjustment",tblTransactions[Source Account],$D141,tblTransactions[Transaction Status],"Reconciled",tblTransactions[Amount],"&gt;0"),0))</f>
      </c>
      <c r="G141" s="1">
        <f>IF($D141="","",IFERROR(SUMIFS(tblTransactions[Amount],tblTransactions[Transaction Type],"Expense",tblTransactions[Source Account],$D141,tblTransactions[Transaction Status],"Completed")+SUMIFS(tblTransactions[Amount],tblTransactions[Transaction Type],"Expense",tblTransactions[Source Account],$D141,tblTransactions[Transaction Status],"Reconciled")+SUMIFS(tblTransactions[Amount],tblTransactions[Transaction Type],"Transfer",tblTransactions[Source Account],$D141,tblTransactions[Transaction Status],"Completed")+SUMIFS(tblTransactions[Amount],tblTransactions[Transaction Type],"Transfer",tblTransactions[Source Account],$D141,tblTransactions[Transaction Status],"Reconciled")-SUMIFS(tblTransactions[Amount],tblTransactions[Transaction Type],"Adjustment",tblTransactions[Source Account],$D141,tblTransactions[Transaction Status],"Completed",tblTransactions[Amount],"&lt;0")-SUMIFS(tblTransactions[Amount],tblTransactions[Transaction Type],"Adjustment",tblTransactions[Source Account],$D141,tblTransactions[Transaction Status],"Reconciled",tblTransactions[Amount],"&lt;0"),0))</f>
      </c>
      <c r="H141" s="1">
        <f>IF($D141="","",$E141+$F141-$G141)</f>
      </c>
      <c r="I141" s="4">
        <f>IF($D141="","",IFERROR(LOOKUP(2,1/(((tblTransactions[Source Account]=$D141)+((tblTransactions[Transaction Type]="Transfer")*(tblTransactions[Destination Type]="Account")*(tblTransactions[Destination Name]=$D141)))*((tblTransactions[Transaction Status]="Completed")+(tblTransactions[Transaction Status]="Reconciled"))),tblTransactions[Transaction Date]),""))</f>
      </c>
      <c r="J141" s="1">
        <f>IF($D141="","",IFERROR(INDEX(tblAccounts[Account Type],ROW()-1),""))</f>
      </c>
      <c r="K141" s="1">
        <f>IF($D141="","",IFERROR(INDEX(tblAccounts[Include in Dashboard],ROW()-1),""))</f>
      </c>
      <c r="L141" s="1">
        <f>IF($D141="","",IFERROR(INDEX(tblAccounts[Status],ROW()-1),""))</f>
      </c>
    </row>
    <row r="142">
      <c r="D142" s="1">
        <f>IFERROR(IF(INDEX(tblAccounts[Account Name],ROW()-1)="","",INDEX(tblAccounts[Account Name],ROW()-1)),"")</f>
      </c>
      <c r="E142" s="1">
        <f>IF($D142="","",IFERROR(INDEX(tblAccounts[Opening Balance],ROW()-1),0))</f>
      </c>
      <c r="F142" s="1">
        <f>IF($D142="","",IFERROR(SUMIFS(tblTransactions[Amount],tblTransactions[Transaction Type],"Income",tblTransactions[Source Account],$D142,tblTransactions[Transaction Status],"Completed")+SUMIFS(tblTransactions[Amount],tblTransactions[Transaction Type],"Income",tblTransactions[Source Account],$D142,tblTransactions[Transaction Status],"Reconciled")+SUMIFS(tblTransactions[Amount],tblTransactions[Transaction Type],"Transfer",tblTransactions[Destination Type],"Account",tblTransactions[Destination Name],$D142,tblTransactions[Transaction Status],"Completed")+SUMIFS(tblTransactions[Amount],tblTransactions[Transaction Type],"Transfer",tblTransactions[Destination Type],"Account",tblTransactions[Destination Name],$D142,tblTransactions[Transaction Status],"Reconciled")+SUMIFS(tblTransactions[Amount],tblTransactions[Transaction Type],"Adjustment",tblTransactions[Source Account],$D142,tblTransactions[Transaction Status],"Completed",tblTransactions[Amount],"&gt;0")+SUMIFS(tblTransactions[Amount],tblTransactions[Transaction Type],"Adjustment",tblTransactions[Source Account],$D142,tblTransactions[Transaction Status],"Reconciled",tblTransactions[Amount],"&gt;0"),0))</f>
      </c>
      <c r="G142" s="1">
        <f>IF($D142="","",IFERROR(SUMIFS(tblTransactions[Amount],tblTransactions[Transaction Type],"Expense",tblTransactions[Source Account],$D142,tblTransactions[Transaction Status],"Completed")+SUMIFS(tblTransactions[Amount],tblTransactions[Transaction Type],"Expense",tblTransactions[Source Account],$D142,tblTransactions[Transaction Status],"Reconciled")+SUMIFS(tblTransactions[Amount],tblTransactions[Transaction Type],"Transfer",tblTransactions[Source Account],$D142,tblTransactions[Transaction Status],"Completed")+SUMIFS(tblTransactions[Amount],tblTransactions[Transaction Type],"Transfer",tblTransactions[Source Account],$D142,tblTransactions[Transaction Status],"Reconciled")-SUMIFS(tblTransactions[Amount],tblTransactions[Transaction Type],"Adjustment",tblTransactions[Source Account],$D142,tblTransactions[Transaction Status],"Completed",tblTransactions[Amount],"&lt;0")-SUMIFS(tblTransactions[Amount],tblTransactions[Transaction Type],"Adjustment",tblTransactions[Source Account],$D142,tblTransactions[Transaction Status],"Reconciled",tblTransactions[Amount],"&lt;0"),0))</f>
      </c>
      <c r="H142" s="1">
        <f>IF($D142="","",$E142+$F142-$G142)</f>
      </c>
      <c r="I142" s="4">
        <f>IF($D142="","",IFERROR(LOOKUP(2,1/(((tblTransactions[Source Account]=$D142)+((tblTransactions[Transaction Type]="Transfer")*(tblTransactions[Destination Type]="Account")*(tblTransactions[Destination Name]=$D142)))*((tblTransactions[Transaction Status]="Completed")+(tblTransactions[Transaction Status]="Reconciled"))),tblTransactions[Transaction Date]),""))</f>
      </c>
      <c r="J142" s="1">
        <f>IF($D142="","",IFERROR(INDEX(tblAccounts[Account Type],ROW()-1),""))</f>
      </c>
      <c r="K142" s="1">
        <f>IF($D142="","",IFERROR(INDEX(tblAccounts[Include in Dashboard],ROW()-1),""))</f>
      </c>
      <c r="L142" s="1">
        <f>IF($D142="","",IFERROR(INDEX(tblAccounts[Status],ROW()-1),""))</f>
      </c>
    </row>
    <row r="143">
      <c r="D143" s="1">
        <f>IFERROR(IF(INDEX(tblAccounts[Account Name],ROW()-1)="","",INDEX(tblAccounts[Account Name],ROW()-1)),"")</f>
      </c>
      <c r="E143" s="1">
        <f>IF($D143="","",IFERROR(INDEX(tblAccounts[Opening Balance],ROW()-1),0))</f>
      </c>
      <c r="F143" s="1">
        <f>IF($D143="","",IFERROR(SUMIFS(tblTransactions[Amount],tblTransactions[Transaction Type],"Income",tblTransactions[Source Account],$D143,tblTransactions[Transaction Status],"Completed")+SUMIFS(tblTransactions[Amount],tblTransactions[Transaction Type],"Income",tblTransactions[Source Account],$D143,tblTransactions[Transaction Status],"Reconciled")+SUMIFS(tblTransactions[Amount],tblTransactions[Transaction Type],"Transfer",tblTransactions[Destination Type],"Account",tblTransactions[Destination Name],$D143,tblTransactions[Transaction Status],"Completed")+SUMIFS(tblTransactions[Amount],tblTransactions[Transaction Type],"Transfer",tblTransactions[Destination Type],"Account",tblTransactions[Destination Name],$D143,tblTransactions[Transaction Status],"Reconciled")+SUMIFS(tblTransactions[Amount],tblTransactions[Transaction Type],"Adjustment",tblTransactions[Source Account],$D143,tblTransactions[Transaction Status],"Completed",tblTransactions[Amount],"&gt;0")+SUMIFS(tblTransactions[Amount],tblTransactions[Transaction Type],"Adjustment",tblTransactions[Source Account],$D143,tblTransactions[Transaction Status],"Reconciled",tblTransactions[Amount],"&gt;0"),0))</f>
      </c>
      <c r="G143" s="1">
        <f>IF($D143="","",IFERROR(SUMIFS(tblTransactions[Amount],tblTransactions[Transaction Type],"Expense",tblTransactions[Source Account],$D143,tblTransactions[Transaction Status],"Completed")+SUMIFS(tblTransactions[Amount],tblTransactions[Transaction Type],"Expense",tblTransactions[Source Account],$D143,tblTransactions[Transaction Status],"Reconciled")+SUMIFS(tblTransactions[Amount],tblTransactions[Transaction Type],"Transfer",tblTransactions[Source Account],$D143,tblTransactions[Transaction Status],"Completed")+SUMIFS(tblTransactions[Amount],tblTransactions[Transaction Type],"Transfer",tblTransactions[Source Account],$D143,tblTransactions[Transaction Status],"Reconciled")-SUMIFS(tblTransactions[Amount],tblTransactions[Transaction Type],"Adjustment",tblTransactions[Source Account],$D143,tblTransactions[Transaction Status],"Completed",tblTransactions[Amount],"&lt;0")-SUMIFS(tblTransactions[Amount],tblTransactions[Transaction Type],"Adjustment",tblTransactions[Source Account],$D143,tblTransactions[Transaction Status],"Reconciled",tblTransactions[Amount],"&lt;0"),0))</f>
      </c>
      <c r="H143" s="1">
        <f>IF($D143="","",$E143+$F143-$G143)</f>
      </c>
      <c r="I143" s="4">
        <f>IF($D143="","",IFERROR(LOOKUP(2,1/(((tblTransactions[Source Account]=$D143)+((tblTransactions[Transaction Type]="Transfer")*(tblTransactions[Destination Type]="Account")*(tblTransactions[Destination Name]=$D143)))*((tblTransactions[Transaction Status]="Completed")+(tblTransactions[Transaction Status]="Reconciled"))),tblTransactions[Transaction Date]),""))</f>
      </c>
      <c r="J143" s="1">
        <f>IF($D143="","",IFERROR(INDEX(tblAccounts[Account Type],ROW()-1),""))</f>
      </c>
      <c r="K143" s="1">
        <f>IF($D143="","",IFERROR(INDEX(tblAccounts[Include in Dashboard],ROW()-1),""))</f>
      </c>
      <c r="L143" s="1">
        <f>IF($D143="","",IFERROR(INDEX(tblAccounts[Status],ROW()-1),""))</f>
      </c>
    </row>
    <row r="144">
      <c r="D144" s="1">
        <f>IFERROR(IF(INDEX(tblAccounts[Account Name],ROW()-1)="","",INDEX(tblAccounts[Account Name],ROW()-1)),"")</f>
      </c>
      <c r="E144" s="1">
        <f>IF($D144="","",IFERROR(INDEX(tblAccounts[Opening Balance],ROW()-1),0))</f>
      </c>
      <c r="F144" s="1">
        <f>IF($D144="","",IFERROR(SUMIFS(tblTransactions[Amount],tblTransactions[Transaction Type],"Income",tblTransactions[Source Account],$D144,tblTransactions[Transaction Status],"Completed")+SUMIFS(tblTransactions[Amount],tblTransactions[Transaction Type],"Income",tblTransactions[Source Account],$D144,tblTransactions[Transaction Status],"Reconciled")+SUMIFS(tblTransactions[Amount],tblTransactions[Transaction Type],"Transfer",tblTransactions[Destination Type],"Account",tblTransactions[Destination Name],$D144,tblTransactions[Transaction Status],"Completed")+SUMIFS(tblTransactions[Amount],tblTransactions[Transaction Type],"Transfer",tblTransactions[Destination Type],"Account",tblTransactions[Destination Name],$D144,tblTransactions[Transaction Status],"Reconciled")+SUMIFS(tblTransactions[Amount],tblTransactions[Transaction Type],"Adjustment",tblTransactions[Source Account],$D144,tblTransactions[Transaction Status],"Completed",tblTransactions[Amount],"&gt;0")+SUMIFS(tblTransactions[Amount],tblTransactions[Transaction Type],"Adjustment",tblTransactions[Source Account],$D144,tblTransactions[Transaction Status],"Reconciled",tblTransactions[Amount],"&gt;0"),0))</f>
      </c>
      <c r="G144" s="1">
        <f>IF($D144="","",IFERROR(SUMIFS(tblTransactions[Amount],tblTransactions[Transaction Type],"Expense",tblTransactions[Source Account],$D144,tblTransactions[Transaction Status],"Completed")+SUMIFS(tblTransactions[Amount],tblTransactions[Transaction Type],"Expense",tblTransactions[Source Account],$D144,tblTransactions[Transaction Status],"Reconciled")+SUMIFS(tblTransactions[Amount],tblTransactions[Transaction Type],"Transfer",tblTransactions[Source Account],$D144,tblTransactions[Transaction Status],"Completed")+SUMIFS(tblTransactions[Amount],tblTransactions[Transaction Type],"Transfer",tblTransactions[Source Account],$D144,tblTransactions[Transaction Status],"Reconciled")-SUMIFS(tblTransactions[Amount],tblTransactions[Transaction Type],"Adjustment",tblTransactions[Source Account],$D144,tblTransactions[Transaction Status],"Completed",tblTransactions[Amount],"&lt;0")-SUMIFS(tblTransactions[Amount],tblTransactions[Transaction Type],"Adjustment",tblTransactions[Source Account],$D144,tblTransactions[Transaction Status],"Reconciled",tblTransactions[Amount],"&lt;0"),0))</f>
      </c>
      <c r="H144" s="1">
        <f>IF($D144="","",$E144+$F144-$G144)</f>
      </c>
      <c r="I144" s="4">
        <f>IF($D144="","",IFERROR(LOOKUP(2,1/(((tblTransactions[Source Account]=$D144)+((tblTransactions[Transaction Type]="Transfer")*(tblTransactions[Destination Type]="Account")*(tblTransactions[Destination Name]=$D144)))*((tblTransactions[Transaction Status]="Completed")+(tblTransactions[Transaction Status]="Reconciled"))),tblTransactions[Transaction Date]),""))</f>
      </c>
      <c r="J144" s="1">
        <f>IF($D144="","",IFERROR(INDEX(tblAccounts[Account Type],ROW()-1),""))</f>
      </c>
      <c r="K144" s="1">
        <f>IF($D144="","",IFERROR(INDEX(tblAccounts[Include in Dashboard],ROW()-1),""))</f>
      </c>
      <c r="L144" s="1">
        <f>IF($D144="","",IFERROR(INDEX(tblAccounts[Status],ROW()-1),""))</f>
      </c>
    </row>
    <row r="145">
      <c r="D145" s="1">
        <f>IFERROR(IF(INDEX(tblAccounts[Account Name],ROW()-1)="","",INDEX(tblAccounts[Account Name],ROW()-1)),"")</f>
      </c>
      <c r="E145" s="1">
        <f>IF($D145="","",IFERROR(INDEX(tblAccounts[Opening Balance],ROW()-1),0))</f>
      </c>
      <c r="F145" s="1">
        <f>IF($D145="","",IFERROR(SUMIFS(tblTransactions[Amount],tblTransactions[Transaction Type],"Income",tblTransactions[Source Account],$D145,tblTransactions[Transaction Status],"Completed")+SUMIFS(tblTransactions[Amount],tblTransactions[Transaction Type],"Income",tblTransactions[Source Account],$D145,tblTransactions[Transaction Status],"Reconciled")+SUMIFS(tblTransactions[Amount],tblTransactions[Transaction Type],"Transfer",tblTransactions[Destination Type],"Account",tblTransactions[Destination Name],$D145,tblTransactions[Transaction Status],"Completed")+SUMIFS(tblTransactions[Amount],tblTransactions[Transaction Type],"Transfer",tblTransactions[Destination Type],"Account",tblTransactions[Destination Name],$D145,tblTransactions[Transaction Status],"Reconciled")+SUMIFS(tblTransactions[Amount],tblTransactions[Transaction Type],"Adjustment",tblTransactions[Source Account],$D145,tblTransactions[Transaction Status],"Completed",tblTransactions[Amount],"&gt;0")+SUMIFS(tblTransactions[Amount],tblTransactions[Transaction Type],"Adjustment",tblTransactions[Source Account],$D145,tblTransactions[Transaction Status],"Reconciled",tblTransactions[Amount],"&gt;0"),0))</f>
      </c>
      <c r="G145" s="1">
        <f>IF($D145="","",IFERROR(SUMIFS(tblTransactions[Amount],tblTransactions[Transaction Type],"Expense",tblTransactions[Source Account],$D145,tblTransactions[Transaction Status],"Completed")+SUMIFS(tblTransactions[Amount],tblTransactions[Transaction Type],"Expense",tblTransactions[Source Account],$D145,tblTransactions[Transaction Status],"Reconciled")+SUMIFS(tblTransactions[Amount],tblTransactions[Transaction Type],"Transfer",tblTransactions[Source Account],$D145,tblTransactions[Transaction Status],"Completed")+SUMIFS(tblTransactions[Amount],tblTransactions[Transaction Type],"Transfer",tblTransactions[Source Account],$D145,tblTransactions[Transaction Status],"Reconciled")-SUMIFS(tblTransactions[Amount],tblTransactions[Transaction Type],"Adjustment",tblTransactions[Source Account],$D145,tblTransactions[Transaction Status],"Completed",tblTransactions[Amount],"&lt;0")-SUMIFS(tblTransactions[Amount],tblTransactions[Transaction Type],"Adjustment",tblTransactions[Source Account],$D145,tblTransactions[Transaction Status],"Reconciled",tblTransactions[Amount],"&lt;0"),0))</f>
      </c>
      <c r="H145" s="1">
        <f>IF($D145="","",$E145+$F145-$G145)</f>
      </c>
      <c r="I145" s="4">
        <f>IF($D145="","",IFERROR(LOOKUP(2,1/(((tblTransactions[Source Account]=$D145)+((tblTransactions[Transaction Type]="Transfer")*(tblTransactions[Destination Type]="Account")*(tblTransactions[Destination Name]=$D145)))*((tblTransactions[Transaction Status]="Completed")+(tblTransactions[Transaction Status]="Reconciled"))),tblTransactions[Transaction Date]),""))</f>
      </c>
      <c r="J145" s="1">
        <f>IF($D145="","",IFERROR(INDEX(tblAccounts[Account Type],ROW()-1),""))</f>
      </c>
      <c r="K145" s="1">
        <f>IF($D145="","",IFERROR(INDEX(tblAccounts[Include in Dashboard],ROW()-1),""))</f>
      </c>
      <c r="L145" s="1">
        <f>IF($D145="","",IFERROR(INDEX(tblAccounts[Status],ROW()-1),""))</f>
      </c>
    </row>
    <row r="146">
      <c r="D146" s="1">
        <f>IFERROR(IF(INDEX(tblAccounts[Account Name],ROW()-1)="","",INDEX(tblAccounts[Account Name],ROW()-1)),"")</f>
      </c>
      <c r="E146" s="1">
        <f>IF($D146="","",IFERROR(INDEX(tblAccounts[Opening Balance],ROW()-1),0))</f>
      </c>
      <c r="F146" s="1">
        <f>IF($D146="","",IFERROR(SUMIFS(tblTransactions[Amount],tblTransactions[Transaction Type],"Income",tblTransactions[Source Account],$D146,tblTransactions[Transaction Status],"Completed")+SUMIFS(tblTransactions[Amount],tblTransactions[Transaction Type],"Income",tblTransactions[Source Account],$D146,tblTransactions[Transaction Status],"Reconciled")+SUMIFS(tblTransactions[Amount],tblTransactions[Transaction Type],"Transfer",tblTransactions[Destination Type],"Account",tblTransactions[Destination Name],$D146,tblTransactions[Transaction Status],"Completed")+SUMIFS(tblTransactions[Amount],tblTransactions[Transaction Type],"Transfer",tblTransactions[Destination Type],"Account",tblTransactions[Destination Name],$D146,tblTransactions[Transaction Status],"Reconciled")+SUMIFS(tblTransactions[Amount],tblTransactions[Transaction Type],"Adjustment",tblTransactions[Source Account],$D146,tblTransactions[Transaction Status],"Completed",tblTransactions[Amount],"&gt;0")+SUMIFS(tblTransactions[Amount],tblTransactions[Transaction Type],"Adjustment",tblTransactions[Source Account],$D146,tblTransactions[Transaction Status],"Reconciled",tblTransactions[Amount],"&gt;0"),0))</f>
      </c>
      <c r="G146" s="1">
        <f>IF($D146="","",IFERROR(SUMIFS(tblTransactions[Amount],tblTransactions[Transaction Type],"Expense",tblTransactions[Source Account],$D146,tblTransactions[Transaction Status],"Completed")+SUMIFS(tblTransactions[Amount],tblTransactions[Transaction Type],"Expense",tblTransactions[Source Account],$D146,tblTransactions[Transaction Status],"Reconciled")+SUMIFS(tblTransactions[Amount],tblTransactions[Transaction Type],"Transfer",tblTransactions[Source Account],$D146,tblTransactions[Transaction Status],"Completed")+SUMIFS(tblTransactions[Amount],tblTransactions[Transaction Type],"Transfer",tblTransactions[Source Account],$D146,tblTransactions[Transaction Status],"Reconciled")-SUMIFS(tblTransactions[Amount],tblTransactions[Transaction Type],"Adjustment",tblTransactions[Source Account],$D146,tblTransactions[Transaction Status],"Completed",tblTransactions[Amount],"&lt;0")-SUMIFS(tblTransactions[Amount],tblTransactions[Transaction Type],"Adjustment",tblTransactions[Source Account],$D146,tblTransactions[Transaction Status],"Reconciled",tblTransactions[Amount],"&lt;0"),0))</f>
      </c>
      <c r="H146" s="1">
        <f>IF($D146="","",$E146+$F146-$G146)</f>
      </c>
      <c r="I146" s="4">
        <f>IF($D146="","",IFERROR(LOOKUP(2,1/(((tblTransactions[Source Account]=$D146)+((tblTransactions[Transaction Type]="Transfer")*(tblTransactions[Destination Type]="Account")*(tblTransactions[Destination Name]=$D146)))*((tblTransactions[Transaction Status]="Completed")+(tblTransactions[Transaction Status]="Reconciled"))),tblTransactions[Transaction Date]),""))</f>
      </c>
      <c r="J146" s="1">
        <f>IF($D146="","",IFERROR(INDEX(tblAccounts[Account Type],ROW()-1),""))</f>
      </c>
      <c r="K146" s="1">
        <f>IF($D146="","",IFERROR(INDEX(tblAccounts[Include in Dashboard],ROW()-1),""))</f>
      </c>
      <c r="L146" s="1">
        <f>IF($D146="","",IFERROR(INDEX(tblAccounts[Status],ROW()-1),""))</f>
      </c>
    </row>
    <row r="147">
      <c r="D147" s="1">
        <f>IFERROR(IF(INDEX(tblAccounts[Account Name],ROW()-1)="","",INDEX(tblAccounts[Account Name],ROW()-1)),"")</f>
      </c>
      <c r="E147" s="1">
        <f>IF($D147="","",IFERROR(INDEX(tblAccounts[Opening Balance],ROW()-1),0))</f>
      </c>
      <c r="F147" s="1">
        <f>IF($D147="","",IFERROR(SUMIFS(tblTransactions[Amount],tblTransactions[Transaction Type],"Income",tblTransactions[Source Account],$D147,tblTransactions[Transaction Status],"Completed")+SUMIFS(tblTransactions[Amount],tblTransactions[Transaction Type],"Income",tblTransactions[Source Account],$D147,tblTransactions[Transaction Status],"Reconciled")+SUMIFS(tblTransactions[Amount],tblTransactions[Transaction Type],"Transfer",tblTransactions[Destination Type],"Account",tblTransactions[Destination Name],$D147,tblTransactions[Transaction Status],"Completed")+SUMIFS(tblTransactions[Amount],tblTransactions[Transaction Type],"Transfer",tblTransactions[Destination Type],"Account",tblTransactions[Destination Name],$D147,tblTransactions[Transaction Status],"Reconciled")+SUMIFS(tblTransactions[Amount],tblTransactions[Transaction Type],"Adjustment",tblTransactions[Source Account],$D147,tblTransactions[Transaction Status],"Completed",tblTransactions[Amount],"&gt;0")+SUMIFS(tblTransactions[Amount],tblTransactions[Transaction Type],"Adjustment",tblTransactions[Source Account],$D147,tblTransactions[Transaction Status],"Reconciled",tblTransactions[Amount],"&gt;0"),0))</f>
      </c>
      <c r="G147" s="1">
        <f>IF($D147="","",IFERROR(SUMIFS(tblTransactions[Amount],tblTransactions[Transaction Type],"Expense",tblTransactions[Source Account],$D147,tblTransactions[Transaction Status],"Completed")+SUMIFS(tblTransactions[Amount],tblTransactions[Transaction Type],"Expense",tblTransactions[Source Account],$D147,tblTransactions[Transaction Status],"Reconciled")+SUMIFS(tblTransactions[Amount],tblTransactions[Transaction Type],"Transfer",tblTransactions[Source Account],$D147,tblTransactions[Transaction Status],"Completed")+SUMIFS(tblTransactions[Amount],tblTransactions[Transaction Type],"Transfer",tblTransactions[Source Account],$D147,tblTransactions[Transaction Status],"Reconciled")-SUMIFS(tblTransactions[Amount],tblTransactions[Transaction Type],"Adjustment",tblTransactions[Source Account],$D147,tblTransactions[Transaction Status],"Completed",tblTransactions[Amount],"&lt;0")-SUMIFS(tblTransactions[Amount],tblTransactions[Transaction Type],"Adjustment",tblTransactions[Source Account],$D147,tblTransactions[Transaction Status],"Reconciled",tblTransactions[Amount],"&lt;0"),0))</f>
      </c>
      <c r="H147" s="1">
        <f>IF($D147="","",$E147+$F147-$G147)</f>
      </c>
      <c r="I147" s="4">
        <f>IF($D147="","",IFERROR(LOOKUP(2,1/(((tblTransactions[Source Account]=$D147)+((tblTransactions[Transaction Type]="Transfer")*(tblTransactions[Destination Type]="Account")*(tblTransactions[Destination Name]=$D147)))*((tblTransactions[Transaction Status]="Completed")+(tblTransactions[Transaction Status]="Reconciled"))),tblTransactions[Transaction Date]),""))</f>
      </c>
      <c r="J147" s="1">
        <f>IF($D147="","",IFERROR(INDEX(tblAccounts[Account Type],ROW()-1),""))</f>
      </c>
      <c r="K147" s="1">
        <f>IF($D147="","",IFERROR(INDEX(tblAccounts[Include in Dashboard],ROW()-1),""))</f>
      </c>
      <c r="L147" s="1">
        <f>IF($D147="","",IFERROR(INDEX(tblAccounts[Status],ROW()-1),""))</f>
      </c>
    </row>
    <row r="148">
      <c r="D148" s="1">
        <f>IFERROR(IF(INDEX(tblAccounts[Account Name],ROW()-1)="","",INDEX(tblAccounts[Account Name],ROW()-1)),"")</f>
      </c>
      <c r="E148" s="1">
        <f>IF($D148="","",IFERROR(INDEX(tblAccounts[Opening Balance],ROW()-1),0))</f>
      </c>
      <c r="F148" s="1">
        <f>IF($D148="","",IFERROR(SUMIFS(tblTransactions[Amount],tblTransactions[Transaction Type],"Income",tblTransactions[Source Account],$D148,tblTransactions[Transaction Status],"Completed")+SUMIFS(tblTransactions[Amount],tblTransactions[Transaction Type],"Income",tblTransactions[Source Account],$D148,tblTransactions[Transaction Status],"Reconciled")+SUMIFS(tblTransactions[Amount],tblTransactions[Transaction Type],"Transfer",tblTransactions[Destination Type],"Account",tblTransactions[Destination Name],$D148,tblTransactions[Transaction Status],"Completed")+SUMIFS(tblTransactions[Amount],tblTransactions[Transaction Type],"Transfer",tblTransactions[Destination Type],"Account",tblTransactions[Destination Name],$D148,tblTransactions[Transaction Status],"Reconciled")+SUMIFS(tblTransactions[Amount],tblTransactions[Transaction Type],"Adjustment",tblTransactions[Source Account],$D148,tblTransactions[Transaction Status],"Completed",tblTransactions[Amount],"&gt;0")+SUMIFS(tblTransactions[Amount],tblTransactions[Transaction Type],"Adjustment",tblTransactions[Source Account],$D148,tblTransactions[Transaction Status],"Reconciled",tblTransactions[Amount],"&gt;0"),0))</f>
      </c>
      <c r="G148" s="1">
        <f>IF($D148="","",IFERROR(SUMIFS(tblTransactions[Amount],tblTransactions[Transaction Type],"Expense",tblTransactions[Source Account],$D148,tblTransactions[Transaction Status],"Completed")+SUMIFS(tblTransactions[Amount],tblTransactions[Transaction Type],"Expense",tblTransactions[Source Account],$D148,tblTransactions[Transaction Status],"Reconciled")+SUMIFS(tblTransactions[Amount],tblTransactions[Transaction Type],"Transfer",tblTransactions[Source Account],$D148,tblTransactions[Transaction Status],"Completed")+SUMIFS(tblTransactions[Amount],tblTransactions[Transaction Type],"Transfer",tblTransactions[Source Account],$D148,tblTransactions[Transaction Status],"Reconciled")-SUMIFS(tblTransactions[Amount],tblTransactions[Transaction Type],"Adjustment",tblTransactions[Source Account],$D148,tblTransactions[Transaction Status],"Completed",tblTransactions[Amount],"&lt;0")-SUMIFS(tblTransactions[Amount],tblTransactions[Transaction Type],"Adjustment",tblTransactions[Source Account],$D148,tblTransactions[Transaction Status],"Reconciled",tblTransactions[Amount],"&lt;0"),0))</f>
      </c>
      <c r="H148" s="1">
        <f>IF($D148="","",$E148+$F148-$G148)</f>
      </c>
      <c r="I148" s="4">
        <f>IF($D148="","",IFERROR(LOOKUP(2,1/(((tblTransactions[Source Account]=$D148)+((tblTransactions[Transaction Type]="Transfer")*(tblTransactions[Destination Type]="Account")*(tblTransactions[Destination Name]=$D148)))*((tblTransactions[Transaction Status]="Completed")+(tblTransactions[Transaction Status]="Reconciled"))),tblTransactions[Transaction Date]),""))</f>
      </c>
      <c r="J148" s="1">
        <f>IF($D148="","",IFERROR(INDEX(tblAccounts[Account Type],ROW()-1),""))</f>
      </c>
      <c r="K148" s="1">
        <f>IF($D148="","",IFERROR(INDEX(tblAccounts[Include in Dashboard],ROW()-1),""))</f>
      </c>
      <c r="L148" s="1">
        <f>IF($D148="","",IFERROR(INDEX(tblAccounts[Status],ROW()-1),""))</f>
      </c>
    </row>
    <row r="149">
      <c r="D149" s="1">
        <f>IFERROR(IF(INDEX(tblAccounts[Account Name],ROW()-1)="","",INDEX(tblAccounts[Account Name],ROW()-1)),"")</f>
      </c>
      <c r="E149" s="1">
        <f>IF($D149="","",IFERROR(INDEX(tblAccounts[Opening Balance],ROW()-1),0))</f>
      </c>
      <c r="F149" s="1">
        <f>IF($D149="","",IFERROR(SUMIFS(tblTransactions[Amount],tblTransactions[Transaction Type],"Income",tblTransactions[Source Account],$D149,tblTransactions[Transaction Status],"Completed")+SUMIFS(tblTransactions[Amount],tblTransactions[Transaction Type],"Income",tblTransactions[Source Account],$D149,tblTransactions[Transaction Status],"Reconciled")+SUMIFS(tblTransactions[Amount],tblTransactions[Transaction Type],"Transfer",tblTransactions[Destination Type],"Account",tblTransactions[Destination Name],$D149,tblTransactions[Transaction Status],"Completed")+SUMIFS(tblTransactions[Amount],tblTransactions[Transaction Type],"Transfer",tblTransactions[Destination Type],"Account",tblTransactions[Destination Name],$D149,tblTransactions[Transaction Status],"Reconciled")+SUMIFS(tblTransactions[Amount],tblTransactions[Transaction Type],"Adjustment",tblTransactions[Source Account],$D149,tblTransactions[Transaction Status],"Completed",tblTransactions[Amount],"&gt;0")+SUMIFS(tblTransactions[Amount],tblTransactions[Transaction Type],"Adjustment",tblTransactions[Source Account],$D149,tblTransactions[Transaction Status],"Reconciled",tblTransactions[Amount],"&gt;0"),0))</f>
      </c>
      <c r="G149" s="1">
        <f>IF($D149="","",IFERROR(SUMIFS(tblTransactions[Amount],tblTransactions[Transaction Type],"Expense",tblTransactions[Source Account],$D149,tblTransactions[Transaction Status],"Completed")+SUMIFS(tblTransactions[Amount],tblTransactions[Transaction Type],"Expense",tblTransactions[Source Account],$D149,tblTransactions[Transaction Status],"Reconciled")+SUMIFS(tblTransactions[Amount],tblTransactions[Transaction Type],"Transfer",tblTransactions[Source Account],$D149,tblTransactions[Transaction Status],"Completed")+SUMIFS(tblTransactions[Amount],tblTransactions[Transaction Type],"Transfer",tblTransactions[Source Account],$D149,tblTransactions[Transaction Status],"Reconciled")-SUMIFS(tblTransactions[Amount],tblTransactions[Transaction Type],"Adjustment",tblTransactions[Source Account],$D149,tblTransactions[Transaction Status],"Completed",tblTransactions[Amount],"&lt;0")-SUMIFS(tblTransactions[Amount],tblTransactions[Transaction Type],"Adjustment",tblTransactions[Source Account],$D149,tblTransactions[Transaction Status],"Reconciled",tblTransactions[Amount],"&lt;0"),0))</f>
      </c>
      <c r="H149" s="1">
        <f>IF($D149="","",$E149+$F149-$G149)</f>
      </c>
      <c r="I149" s="4">
        <f>IF($D149="","",IFERROR(LOOKUP(2,1/(((tblTransactions[Source Account]=$D149)+((tblTransactions[Transaction Type]="Transfer")*(tblTransactions[Destination Type]="Account")*(tblTransactions[Destination Name]=$D149)))*((tblTransactions[Transaction Status]="Completed")+(tblTransactions[Transaction Status]="Reconciled"))),tblTransactions[Transaction Date]),""))</f>
      </c>
      <c r="J149" s="1">
        <f>IF($D149="","",IFERROR(INDEX(tblAccounts[Account Type],ROW()-1),""))</f>
      </c>
      <c r="K149" s="1">
        <f>IF($D149="","",IFERROR(INDEX(tblAccounts[Include in Dashboard],ROW()-1),""))</f>
      </c>
      <c r="L149" s="1">
        <f>IF($D149="","",IFERROR(INDEX(tblAccounts[Status],ROW()-1),""))</f>
      </c>
    </row>
    <row r="150">
      <c r="D150" s="1">
        <f>IFERROR(IF(INDEX(tblAccounts[Account Name],ROW()-1)="","",INDEX(tblAccounts[Account Name],ROW()-1)),"")</f>
      </c>
      <c r="E150" s="1">
        <f>IF($D150="","",IFERROR(INDEX(tblAccounts[Opening Balance],ROW()-1),0))</f>
      </c>
      <c r="F150" s="1">
        <f>IF($D150="","",IFERROR(SUMIFS(tblTransactions[Amount],tblTransactions[Transaction Type],"Income",tblTransactions[Source Account],$D150,tblTransactions[Transaction Status],"Completed")+SUMIFS(tblTransactions[Amount],tblTransactions[Transaction Type],"Income",tblTransactions[Source Account],$D150,tblTransactions[Transaction Status],"Reconciled")+SUMIFS(tblTransactions[Amount],tblTransactions[Transaction Type],"Transfer",tblTransactions[Destination Type],"Account",tblTransactions[Destination Name],$D150,tblTransactions[Transaction Status],"Completed")+SUMIFS(tblTransactions[Amount],tblTransactions[Transaction Type],"Transfer",tblTransactions[Destination Type],"Account",tblTransactions[Destination Name],$D150,tblTransactions[Transaction Status],"Reconciled")+SUMIFS(tblTransactions[Amount],tblTransactions[Transaction Type],"Adjustment",tblTransactions[Source Account],$D150,tblTransactions[Transaction Status],"Completed",tblTransactions[Amount],"&gt;0")+SUMIFS(tblTransactions[Amount],tblTransactions[Transaction Type],"Adjustment",tblTransactions[Source Account],$D150,tblTransactions[Transaction Status],"Reconciled",tblTransactions[Amount],"&gt;0"),0))</f>
      </c>
      <c r="G150" s="1">
        <f>IF($D150="","",IFERROR(SUMIFS(tblTransactions[Amount],tblTransactions[Transaction Type],"Expense",tblTransactions[Source Account],$D150,tblTransactions[Transaction Status],"Completed")+SUMIFS(tblTransactions[Amount],tblTransactions[Transaction Type],"Expense",tblTransactions[Source Account],$D150,tblTransactions[Transaction Status],"Reconciled")+SUMIFS(tblTransactions[Amount],tblTransactions[Transaction Type],"Transfer",tblTransactions[Source Account],$D150,tblTransactions[Transaction Status],"Completed")+SUMIFS(tblTransactions[Amount],tblTransactions[Transaction Type],"Transfer",tblTransactions[Source Account],$D150,tblTransactions[Transaction Status],"Reconciled")-SUMIFS(tblTransactions[Amount],tblTransactions[Transaction Type],"Adjustment",tblTransactions[Source Account],$D150,tblTransactions[Transaction Status],"Completed",tblTransactions[Amount],"&lt;0")-SUMIFS(tblTransactions[Amount],tblTransactions[Transaction Type],"Adjustment",tblTransactions[Source Account],$D150,tblTransactions[Transaction Status],"Reconciled",tblTransactions[Amount],"&lt;0"),0))</f>
      </c>
      <c r="H150" s="1">
        <f>IF($D150="","",$E150+$F150-$G150)</f>
      </c>
      <c r="I150" s="4">
        <f>IF($D150="","",IFERROR(LOOKUP(2,1/(((tblTransactions[Source Account]=$D150)+((tblTransactions[Transaction Type]="Transfer")*(tblTransactions[Destination Type]="Account")*(tblTransactions[Destination Name]=$D150)))*((tblTransactions[Transaction Status]="Completed")+(tblTransactions[Transaction Status]="Reconciled"))),tblTransactions[Transaction Date]),""))</f>
      </c>
      <c r="J150" s="1">
        <f>IF($D150="","",IFERROR(INDEX(tblAccounts[Account Type],ROW()-1),""))</f>
      </c>
      <c r="K150" s="1">
        <f>IF($D150="","",IFERROR(INDEX(tblAccounts[Include in Dashboard],ROW()-1),""))</f>
      </c>
      <c r="L150" s="1">
        <f>IF($D150="","",IFERROR(INDEX(tblAccounts[Status],ROW()-1),""))</f>
      </c>
    </row>
    <row r="151">
      <c r="D151" s="1">
        <f>IFERROR(IF(INDEX(tblAccounts[Account Name],ROW()-1)="","",INDEX(tblAccounts[Account Name],ROW()-1)),"")</f>
      </c>
      <c r="E151" s="1">
        <f>IF($D151="","",IFERROR(INDEX(tblAccounts[Opening Balance],ROW()-1),0))</f>
      </c>
      <c r="F151" s="1">
        <f>IF($D151="","",IFERROR(SUMIFS(tblTransactions[Amount],tblTransactions[Transaction Type],"Income",tblTransactions[Source Account],$D151,tblTransactions[Transaction Status],"Completed")+SUMIFS(tblTransactions[Amount],tblTransactions[Transaction Type],"Income",tblTransactions[Source Account],$D151,tblTransactions[Transaction Status],"Reconciled")+SUMIFS(tblTransactions[Amount],tblTransactions[Transaction Type],"Transfer",tblTransactions[Destination Type],"Account",tblTransactions[Destination Name],$D151,tblTransactions[Transaction Status],"Completed")+SUMIFS(tblTransactions[Amount],tblTransactions[Transaction Type],"Transfer",tblTransactions[Destination Type],"Account",tblTransactions[Destination Name],$D151,tblTransactions[Transaction Status],"Reconciled")+SUMIFS(tblTransactions[Amount],tblTransactions[Transaction Type],"Adjustment",tblTransactions[Source Account],$D151,tblTransactions[Transaction Status],"Completed",tblTransactions[Amount],"&gt;0")+SUMIFS(tblTransactions[Amount],tblTransactions[Transaction Type],"Adjustment",tblTransactions[Source Account],$D151,tblTransactions[Transaction Status],"Reconciled",tblTransactions[Amount],"&gt;0"),0))</f>
      </c>
      <c r="G151" s="1">
        <f>IF($D151="","",IFERROR(SUMIFS(tblTransactions[Amount],tblTransactions[Transaction Type],"Expense",tblTransactions[Source Account],$D151,tblTransactions[Transaction Status],"Completed")+SUMIFS(tblTransactions[Amount],tblTransactions[Transaction Type],"Expense",tblTransactions[Source Account],$D151,tblTransactions[Transaction Status],"Reconciled")+SUMIFS(tblTransactions[Amount],tblTransactions[Transaction Type],"Transfer",tblTransactions[Source Account],$D151,tblTransactions[Transaction Status],"Completed")+SUMIFS(tblTransactions[Amount],tblTransactions[Transaction Type],"Transfer",tblTransactions[Source Account],$D151,tblTransactions[Transaction Status],"Reconciled")-SUMIFS(tblTransactions[Amount],tblTransactions[Transaction Type],"Adjustment",tblTransactions[Source Account],$D151,tblTransactions[Transaction Status],"Completed",tblTransactions[Amount],"&lt;0")-SUMIFS(tblTransactions[Amount],tblTransactions[Transaction Type],"Adjustment",tblTransactions[Source Account],$D151,tblTransactions[Transaction Status],"Reconciled",tblTransactions[Amount],"&lt;0"),0))</f>
      </c>
      <c r="H151" s="1">
        <f>IF($D151="","",$E151+$F151-$G151)</f>
      </c>
      <c r="I151" s="4">
        <f>IF($D151="","",IFERROR(LOOKUP(2,1/(((tblTransactions[Source Account]=$D151)+((tblTransactions[Transaction Type]="Transfer")*(tblTransactions[Destination Type]="Account")*(tblTransactions[Destination Name]=$D151)))*((tblTransactions[Transaction Status]="Completed")+(tblTransactions[Transaction Status]="Reconciled"))),tblTransactions[Transaction Date]),""))</f>
      </c>
      <c r="J151" s="1">
        <f>IF($D151="","",IFERROR(INDEX(tblAccounts[Account Type],ROW()-1),""))</f>
      </c>
      <c r="K151" s="1">
        <f>IF($D151="","",IFERROR(INDEX(tblAccounts[Include in Dashboard],ROW()-1),""))</f>
      </c>
      <c r="L151" s="1">
        <f>IF($D151="","",IFERROR(INDEX(tblAccounts[Status],ROW()-1),""))</f>
      </c>
    </row>
    <row r="152">
      <c r="D152" s="1">
        <f>IFERROR(IF(INDEX(tblAccounts[Account Name],ROW()-1)="","",INDEX(tblAccounts[Account Name],ROW()-1)),"")</f>
      </c>
      <c r="E152" s="1">
        <f>IF($D152="","",IFERROR(INDEX(tblAccounts[Opening Balance],ROW()-1),0))</f>
      </c>
      <c r="F152" s="1">
        <f>IF($D152="","",IFERROR(SUMIFS(tblTransactions[Amount],tblTransactions[Transaction Type],"Income",tblTransactions[Source Account],$D152,tblTransactions[Transaction Status],"Completed")+SUMIFS(tblTransactions[Amount],tblTransactions[Transaction Type],"Income",tblTransactions[Source Account],$D152,tblTransactions[Transaction Status],"Reconciled")+SUMIFS(tblTransactions[Amount],tblTransactions[Transaction Type],"Transfer",tblTransactions[Destination Type],"Account",tblTransactions[Destination Name],$D152,tblTransactions[Transaction Status],"Completed")+SUMIFS(tblTransactions[Amount],tblTransactions[Transaction Type],"Transfer",tblTransactions[Destination Type],"Account",tblTransactions[Destination Name],$D152,tblTransactions[Transaction Status],"Reconciled")+SUMIFS(tblTransactions[Amount],tblTransactions[Transaction Type],"Adjustment",tblTransactions[Source Account],$D152,tblTransactions[Transaction Status],"Completed",tblTransactions[Amount],"&gt;0")+SUMIFS(tblTransactions[Amount],tblTransactions[Transaction Type],"Adjustment",tblTransactions[Source Account],$D152,tblTransactions[Transaction Status],"Reconciled",tblTransactions[Amount],"&gt;0"),0))</f>
      </c>
      <c r="G152" s="1">
        <f>IF($D152="","",IFERROR(SUMIFS(tblTransactions[Amount],tblTransactions[Transaction Type],"Expense",tblTransactions[Source Account],$D152,tblTransactions[Transaction Status],"Completed")+SUMIFS(tblTransactions[Amount],tblTransactions[Transaction Type],"Expense",tblTransactions[Source Account],$D152,tblTransactions[Transaction Status],"Reconciled")+SUMIFS(tblTransactions[Amount],tblTransactions[Transaction Type],"Transfer",tblTransactions[Source Account],$D152,tblTransactions[Transaction Status],"Completed")+SUMIFS(tblTransactions[Amount],tblTransactions[Transaction Type],"Transfer",tblTransactions[Source Account],$D152,tblTransactions[Transaction Status],"Reconciled")-SUMIFS(tblTransactions[Amount],tblTransactions[Transaction Type],"Adjustment",tblTransactions[Source Account],$D152,tblTransactions[Transaction Status],"Completed",tblTransactions[Amount],"&lt;0")-SUMIFS(tblTransactions[Amount],tblTransactions[Transaction Type],"Adjustment",tblTransactions[Source Account],$D152,tblTransactions[Transaction Status],"Reconciled",tblTransactions[Amount],"&lt;0"),0))</f>
      </c>
      <c r="H152" s="1">
        <f>IF($D152="","",$E152+$F152-$G152)</f>
      </c>
      <c r="I152" s="4">
        <f>IF($D152="","",IFERROR(LOOKUP(2,1/(((tblTransactions[Source Account]=$D152)+((tblTransactions[Transaction Type]="Transfer")*(tblTransactions[Destination Type]="Account")*(tblTransactions[Destination Name]=$D152)))*((tblTransactions[Transaction Status]="Completed")+(tblTransactions[Transaction Status]="Reconciled"))),tblTransactions[Transaction Date]),""))</f>
      </c>
      <c r="J152" s="1">
        <f>IF($D152="","",IFERROR(INDEX(tblAccounts[Account Type],ROW()-1),""))</f>
      </c>
      <c r="K152" s="1">
        <f>IF($D152="","",IFERROR(INDEX(tblAccounts[Include in Dashboard],ROW()-1),""))</f>
      </c>
      <c r="L152" s="1">
        <f>IF($D152="","",IFERROR(INDEX(tblAccounts[Status],ROW()-1),""))</f>
      </c>
    </row>
    <row r="153">
      <c r="D153" s="1">
        <f>IFERROR(IF(INDEX(tblAccounts[Account Name],ROW()-1)="","",INDEX(tblAccounts[Account Name],ROW()-1)),"")</f>
      </c>
      <c r="E153" s="1">
        <f>IF($D153="","",IFERROR(INDEX(tblAccounts[Opening Balance],ROW()-1),0))</f>
      </c>
      <c r="F153" s="1">
        <f>IF($D153="","",IFERROR(SUMIFS(tblTransactions[Amount],tblTransactions[Transaction Type],"Income",tblTransactions[Source Account],$D153,tblTransactions[Transaction Status],"Completed")+SUMIFS(tblTransactions[Amount],tblTransactions[Transaction Type],"Income",tblTransactions[Source Account],$D153,tblTransactions[Transaction Status],"Reconciled")+SUMIFS(tblTransactions[Amount],tblTransactions[Transaction Type],"Transfer",tblTransactions[Destination Type],"Account",tblTransactions[Destination Name],$D153,tblTransactions[Transaction Status],"Completed")+SUMIFS(tblTransactions[Amount],tblTransactions[Transaction Type],"Transfer",tblTransactions[Destination Type],"Account",tblTransactions[Destination Name],$D153,tblTransactions[Transaction Status],"Reconciled")+SUMIFS(tblTransactions[Amount],tblTransactions[Transaction Type],"Adjustment",tblTransactions[Source Account],$D153,tblTransactions[Transaction Status],"Completed",tblTransactions[Amount],"&gt;0")+SUMIFS(tblTransactions[Amount],tblTransactions[Transaction Type],"Adjustment",tblTransactions[Source Account],$D153,tblTransactions[Transaction Status],"Reconciled",tblTransactions[Amount],"&gt;0"),0))</f>
      </c>
      <c r="G153" s="1">
        <f>IF($D153="","",IFERROR(SUMIFS(tblTransactions[Amount],tblTransactions[Transaction Type],"Expense",tblTransactions[Source Account],$D153,tblTransactions[Transaction Status],"Completed")+SUMIFS(tblTransactions[Amount],tblTransactions[Transaction Type],"Expense",tblTransactions[Source Account],$D153,tblTransactions[Transaction Status],"Reconciled")+SUMIFS(tblTransactions[Amount],tblTransactions[Transaction Type],"Transfer",tblTransactions[Source Account],$D153,tblTransactions[Transaction Status],"Completed")+SUMIFS(tblTransactions[Amount],tblTransactions[Transaction Type],"Transfer",tblTransactions[Source Account],$D153,tblTransactions[Transaction Status],"Reconciled")-SUMIFS(tblTransactions[Amount],tblTransactions[Transaction Type],"Adjustment",tblTransactions[Source Account],$D153,tblTransactions[Transaction Status],"Completed",tblTransactions[Amount],"&lt;0")-SUMIFS(tblTransactions[Amount],tblTransactions[Transaction Type],"Adjustment",tblTransactions[Source Account],$D153,tblTransactions[Transaction Status],"Reconciled",tblTransactions[Amount],"&lt;0"),0))</f>
      </c>
      <c r="H153" s="1">
        <f>IF($D153="","",$E153+$F153-$G153)</f>
      </c>
      <c r="I153" s="4">
        <f>IF($D153="","",IFERROR(LOOKUP(2,1/(((tblTransactions[Source Account]=$D153)+((tblTransactions[Transaction Type]="Transfer")*(tblTransactions[Destination Type]="Account")*(tblTransactions[Destination Name]=$D153)))*((tblTransactions[Transaction Status]="Completed")+(tblTransactions[Transaction Status]="Reconciled"))),tblTransactions[Transaction Date]),""))</f>
      </c>
      <c r="J153" s="1">
        <f>IF($D153="","",IFERROR(INDEX(tblAccounts[Account Type],ROW()-1),""))</f>
      </c>
      <c r="K153" s="1">
        <f>IF($D153="","",IFERROR(INDEX(tblAccounts[Include in Dashboard],ROW()-1),""))</f>
      </c>
      <c r="L153" s="1">
        <f>IF($D153="","",IFERROR(INDEX(tblAccounts[Status],ROW()-1),""))</f>
      </c>
    </row>
    <row r="154">
      <c r="D154" s="1">
        <f>IFERROR(IF(INDEX(tblAccounts[Account Name],ROW()-1)="","",INDEX(tblAccounts[Account Name],ROW()-1)),"")</f>
      </c>
      <c r="E154" s="1">
        <f>IF($D154="","",IFERROR(INDEX(tblAccounts[Opening Balance],ROW()-1),0))</f>
      </c>
      <c r="F154" s="1">
        <f>IF($D154="","",IFERROR(SUMIFS(tblTransactions[Amount],tblTransactions[Transaction Type],"Income",tblTransactions[Source Account],$D154,tblTransactions[Transaction Status],"Completed")+SUMIFS(tblTransactions[Amount],tblTransactions[Transaction Type],"Income",tblTransactions[Source Account],$D154,tblTransactions[Transaction Status],"Reconciled")+SUMIFS(tblTransactions[Amount],tblTransactions[Transaction Type],"Transfer",tblTransactions[Destination Type],"Account",tblTransactions[Destination Name],$D154,tblTransactions[Transaction Status],"Completed")+SUMIFS(tblTransactions[Amount],tblTransactions[Transaction Type],"Transfer",tblTransactions[Destination Type],"Account",tblTransactions[Destination Name],$D154,tblTransactions[Transaction Status],"Reconciled")+SUMIFS(tblTransactions[Amount],tblTransactions[Transaction Type],"Adjustment",tblTransactions[Source Account],$D154,tblTransactions[Transaction Status],"Completed",tblTransactions[Amount],"&gt;0")+SUMIFS(tblTransactions[Amount],tblTransactions[Transaction Type],"Adjustment",tblTransactions[Source Account],$D154,tblTransactions[Transaction Status],"Reconciled",tblTransactions[Amount],"&gt;0"),0))</f>
      </c>
      <c r="G154" s="1">
        <f>IF($D154="","",IFERROR(SUMIFS(tblTransactions[Amount],tblTransactions[Transaction Type],"Expense",tblTransactions[Source Account],$D154,tblTransactions[Transaction Status],"Completed")+SUMIFS(tblTransactions[Amount],tblTransactions[Transaction Type],"Expense",tblTransactions[Source Account],$D154,tblTransactions[Transaction Status],"Reconciled")+SUMIFS(tblTransactions[Amount],tblTransactions[Transaction Type],"Transfer",tblTransactions[Source Account],$D154,tblTransactions[Transaction Status],"Completed")+SUMIFS(tblTransactions[Amount],tblTransactions[Transaction Type],"Transfer",tblTransactions[Source Account],$D154,tblTransactions[Transaction Status],"Reconciled")-SUMIFS(tblTransactions[Amount],tblTransactions[Transaction Type],"Adjustment",tblTransactions[Source Account],$D154,tblTransactions[Transaction Status],"Completed",tblTransactions[Amount],"&lt;0")-SUMIFS(tblTransactions[Amount],tblTransactions[Transaction Type],"Adjustment",tblTransactions[Source Account],$D154,tblTransactions[Transaction Status],"Reconciled",tblTransactions[Amount],"&lt;0"),0))</f>
      </c>
      <c r="H154" s="1">
        <f>IF($D154="","",$E154+$F154-$G154)</f>
      </c>
      <c r="I154" s="4">
        <f>IF($D154="","",IFERROR(LOOKUP(2,1/(((tblTransactions[Source Account]=$D154)+((tblTransactions[Transaction Type]="Transfer")*(tblTransactions[Destination Type]="Account")*(tblTransactions[Destination Name]=$D154)))*((tblTransactions[Transaction Status]="Completed")+(tblTransactions[Transaction Status]="Reconciled"))),tblTransactions[Transaction Date]),""))</f>
      </c>
      <c r="J154" s="1">
        <f>IF($D154="","",IFERROR(INDEX(tblAccounts[Account Type],ROW()-1),""))</f>
      </c>
      <c r="K154" s="1">
        <f>IF($D154="","",IFERROR(INDEX(tblAccounts[Include in Dashboard],ROW()-1),""))</f>
      </c>
      <c r="L154" s="1">
        <f>IF($D154="","",IFERROR(INDEX(tblAccounts[Status],ROW()-1),""))</f>
      </c>
    </row>
    <row r="155">
      <c r="D155" s="1">
        <f>IFERROR(IF(INDEX(tblAccounts[Account Name],ROW()-1)="","",INDEX(tblAccounts[Account Name],ROW()-1)),"")</f>
      </c>
      <c r="E155" s="1">
        <f>IF($D155="","",IFERROR(INDEX(tblAccounts[Opening Balance],ROW()-1),0))</f>
      </c>
      <c r="F155" s="1">
        <f>IF($D155="","",IFERROR(SUMIFS(tblTransactions[Amount],tblTransactions[Transaction Type],"Income",tblTransactions[Source Account],$D155,tblTransactions[Transaction Status],"Completed")+SUMIFS(tblTransactions[Amount],tblTransactions[Transaction Type],"Income",tblTransactions[Source Account],$D155,tblTransactions[Transaction Status],"Reconciled")+SUMIFS(tblTransactions[Amount],tblTransactions[Transaction Type],"Transfer",tblTransactions[Destination Type],"Account",tblTransactions[Destination Name],$D155,tblTransactions[Transaction Status],"Completed")+SUMIFS(tblTransactions[Amount],tblTransactions[Transaction Type],"Transfer",tblTransactions[Destination Type],"Account",tblTransactions[Destination Name],$D155,tblTransactions[Transaction Status],"Reconciled")+SUMIFS(tblTransactions[Amount],tblTransactions[Transaction Type],"Adjustment",tblTransactions[Source Account],$D155,tblTransactions[Transaction Status],"Completed",tblTransactions[Amount],"&gt;0")+SUMIFS(tblTransactions[Amount],tblTransactions[Transaction Type],"Adjustment",tblTransactions[Source Account],$D155,tblTransactions[Transaction Status],"Reconciled",tblTransactions[Amount],"&gt;0"),0))</f>
      </c>
      <c r="G155" s="1">
        <f>IF($D155="","",IFERROR(SUMIFS(tblTransactions[Amount],tblTransactions[Transaction Type],"Expense",tblTransactions[Source Account],$D155,tblTransactions[Transaction Status],"Completed")+SUMIFS(tblTransactions[Amount],tblTransactions[Transaction Type],"Expense",tblTransactions[Source Account],$D155,tblTransactions[Transaction Status],"Reconciled")+SUMIFS(tblTransactions[Amount],tblTransactions[Transaction Type],"Transfer",tblTransactions[Source Account],$D155,tblTransactions[Transaction Status],"Completed")+SUMIFS(tblTransactions[Amount],tblTransactions[Transaction Type],"Transfer",tblTransactions[Source Account],$D155,tblTransactions[Transaction Status],"Reconciled")-SUMIFS(tblTransactions[Amount],tblTransactions[Transaction Type],"Adjustment",tblTransactions[Source Account],$D155,tblTransactions[Transaction Status],"Completed",tblTransactions[Amount],"&lt;0")-SUMIFS(tblTransactions[Amount],tblTransactions[Transaction Type],"Adjustment",tblTransactions[Source Account],$D155,tblTransactions[Transaction Status],"Reconciled",tblTransactions[Amount],"&lt;0"),0))</f>
      </c>
      <c r="H155" s="1">
        <f>IF($D155="","",$E155+$F155-$G155)</f>
      </c>
      <c r="I155" s="4">
        <f>IF($D155="","",IFERROR(LOOKUP(2,1/(((tblTransactions[Source Account]=$D155)+((tblTransactions[Transaction Type]="Transfer")*(tblTransactions[Destination Type]="Account")*(tblTransactions[Destination Name]=$D155)))*((tblTransactions[Transaction Status]="Completed")+(tblTransactions[Transaction Status]="Reconciled"))),tblTransactions[Transaction Date]),""))</f>
      </c>
      <c r="J155" s="1">
        <f>IF($D155="","",IFERROR(INDEX(tblAccounts[Account Type],ROW()-1),""))</f>
      </c>
      <c r="K155" s="1">
        <f>IF($D155="","",IFERROR(INDEX(tblAccounts[Include in Dashboard],ROW()-1),""))</f>
      </c>
      <c r="L155" s="1">
        <f>IF($D155="","",IFERROR(INDEX(tblAccounts[Status],ROW()-1),""))</f>
      </c>
    </row>
    <row r="156">
      <c r="D156" s="1">
        <f>IFERROR(IF(INDEX(tblAccounts[Account Name],ROW()-1)="","",INDEX(tblAccounts[Account Name],ROW()-1)),"")</f>
      </c>
      <c r="E156" s="1">
        <f>IF($D156="","",IFERROR(INDEX(tblAccounts[Opening Balance],ROW()-1),0))</f>
      </c>
      <c r="F156" s="1">
        <f>IF($D156="","",IFERROR(SUMIFS(tblTransactions[Amount],tblTransactions[Transaction Type],"Income",tblTransactions[Source Account],$D156,tblTransactions[Transaction Status],"Completed")+SUMIFS(tblTransactions[Amount],tblTransactions[Transaction Type],"Income",tblTransactions[Source Account],$D156,tblTransactions[Transaction Status],"Reconciled")+SUMIFS(tblTransactions[Amount],tblTransactions[Transaction Type],"Transfer",tblTransactions[Destination Type],"Account",tblTransactions[Destination Name],$D156,tblTransactions[Transaction Status],"Completed")+SUMIFS(tblTransactions[Amount],tblTransactions[Transaction Type],"Transfer",tblTransactions[Destination Type],"Account",tblTransactions[Destination Name],$D156,tblTransactions[Transaction Status],"Reconciled")+SUMIFS(tblTransactions[Amount],tblTransactions[Transaction Type],"Adjustment",tblTransactions[Source Account],$D156,tblTransactions[Transaction Status],"Completed",tblTransactions[Amount],"&gt;0")+SUMIFS(tblTransactions[Amount],tblTransactions[Transaction Type],"Adjustment",tblTransactions[Source Account],$D156,tblTransactions[Transaction Status],"Reconciled",tblTransactions[Amount],"&gt;0"),0))</f>
      </c>
      <c r="G156" s="1">
        <f>IF($D156="","",IFERROR(SUMIFS(tblTransactions[Amount],tblTransactions[Transaction Type],"Expense",tblTransactions[Source Account],$D156,tblTransactions[Transaction Status],"Completed")+SUMIFS(tblTransactions[Amount],tblTransactions[Transaction Type],"Expense",tblTransactions[Source Account],$D156,tblTransactions[Transaction Status],"Reconciled")+SUMIFS(tblTransactions[Amount],tblTransactions[Transaction Type],"Transfer",tblTransactions[Source Account],$D156,tblTransactions[Transaction Status],"Completed")+SUMIFS(tblTransactions[Amount],tblTransactions[Transaction Type],"Transfer",tblTransactions[Source Account],$D156,tblTransactions[Transaction Status],"Reconciled")-SUMIFS(tblTransactions[Amount],tblTransactions[Transaction Type],"Adjustment",tblTransactions[Source Account],$D156,tblTransactions[Transaction Status],"Completed",tblTransactions[Amount],"&lt;0")-SUMIFS(tblTransactions[Amount],tblTransactions[Transaction Type],"Adjustment",tblTransactions[Source Account],$D156,tblTransactions[Transaction Status],"Reconciled",tblTransactions[Amount],"&lt;0"),0))</f>
      </c>
      <c r="H156" s="1">
        <f>IF($D156="","",$E156+$F156-$G156)</f>
      </c>
      <c r="I156" s="4">
        <f>IF($D156="","",IFERROR(LOOKUP(2,1/(((tblTransactions[Source Account]=$D156)+((tblTransactions[Transaction Type]="Transfer")*(tblTransactions[Destination Type]="Account")*(tblTransactions[Destination Name]=$D156)))*((tblTransactions[Transaction Status]="Completed")+(tblTransactions[Transaction Status]="Reconciled"))),tblTransactions[Transaction Date]),""))</f>
      </c>
      <c r="J156" s="1">
        <f>IF($D156="","",IFERROR(INDEX(tblAccounts[Account Type],ROW()-1),""))</f>
      </c>
      <c r="K156" s="1">
        <f>IF($D156="","",IFERROR(INDEX(tblAccounts[Include in Dashboard],ROW()-1),""))</f>
      </c>
      <c r="L156" s="1">
        <f>IF($D156="","",IFERROR(INDEX(tblAccounts[Status],ROW()-1),""))</f>
      </c>
    </row>
    <row r="157">
      <c r="D157" s="1">
        <f>IFERROR(IF(INDEX(tblAccounts[Account Name],ROW()-1)="","",INDEX(tblAccounts[Account Name],ROW()-1)),"")</f>
      </c>
      <c r="E157" s="1">
        <f>IF($D157="","",IFERROR(INDEX(tblAccounts[Opening Balance],ROW()-1),0))</f>
      </c>
      <c r="F157" s="1">
        <f>IF($D157="","",IFERROR(SUMIFS(tblTransactions[Amount],tblTransactions[Transaction Type],"Income",tblTransactions[Source Account],$D157,tblTransactions[Transaction Status],"Completed")+SUMIFS(tblTransactions[Amount],tblTransactions[Transaction Type],"Income",tblTransactions[Source Account],$D157,tblTransactions[Transaction Status],"Reconciled")+SUMIFS(tblTransactions[Amount],tblTransactions[Transaction Type],"Transfer",tblTransactions[Destination Type],"Account",tblTransactions[Destination Name],$D157,tblTransactions[Transaction Status],"Completed")+SUMIFS(tblTransactions[Amount],tblTransactions[Transaction Type],"Transfer",tblTransactions[Destination Type],"Account",tblTransactions[Destination Name],$D157,tblTransactions[Transaction Status],"Reconciled")+SUMIFS(tblTransactions[Amount],tblTransactions[Transaction Type],"Adjustment",tblTransactions[Source Account],$D157,tblTransactions[Transaction Status],"Completed",tblTransactions[Amount],"&gt;0")+SUMIFS(tblTransactions[Amount],tblTransactions[Transaction Type],"Adjustment",tblTransactions[Source Account],$D157,tblTransactions[Transaction Status],"Reconciled",tblTransactions[Amount],"&gt;0"),0))</f>
      </c>
      <c r="G157" s="1">
        <f>IF($D157="","",IFERROR(SUMIFS(tblTransactions[Amount],tblTransactions[Transaction Type],"Expense",tblTransactions[Source Account],$D157,tblTransactions[Transaction Status],"Completed")+SUMIFS(tblTransactions[Amount],tblTransactions[Transaction Type],"Expense",tblTransactions[Source Account],$D157,tblTransactions[Transaction Status],"Reconciled")+SUMIFS(tblTransactions[Amount],tblTransactions[Transaction Type],"Transfer",tblTransactions[Source Account],$D157,tblTransactions[Transaction Status],"Completed")+SUMIFS(tblTransactions[Amount],tblTransactions[Transaction Type],"Transfer",tblTransactions[Source Account],$D157,tblTransactions[Transaction Status],"Reconciled")-SUMIFS(tblTransactions[Amount],tblTransactions[Transaction Type],"Adjustment",tblTransactions[Source Account],$D157,tblTransactions[Transaction Status],"Completed",tblTransactions[Amount],"&lt;0")-SUMIFS(tblTransactions[Amount],tblTransactions[Transaction Type],"Adjustment",tblTransactions[Source Account],$D157,tblTransactions[Transaction Status],"Reconciled",tblTransactions[Amount],"&lt;0"),0))</f>
      </c>
      <c r="H157" s="1">
        <f>IF($D157="","",$E157+$F157-$G157)</f>
      </c>
      <c r="I157" s="4">
        <f>IF($D157="","",IFERROR(LOOKUP(2,1/(((tblTransactions[Source Account]=$D157)+((tblTransactions[Transaction Type]="Transfer")*(tblTransactions[Destination Type]="Account")*(tblTransactions[Destination Name]=$D157)))*((tblTransactions[Transaction Status]="Completed")+(tblTransactions[Transaction Status]="Reconciled"))),tblTransactions[Transaction Date]),""))</f>
      </c>
      <c r="J157" s="1">
        <f>IF($D157="","",IFERROR(INDEX(tblAccounts[Account Type],ROW()-1),""))</f>
      </c>
      <c r="K157" s="1">
        <f>IF($D157="","",IFERROR(INDEX(tblAccounts[Include in Dashboard],ROW()-1),""))</f>
      </c>
      <c r="L157" s="1">
        <f>IF($D157="","",IFERROR(INDEX(tblAccounts[Status],ROW()-1),""))</f>
      </c>
    </row>
    <row r="158">
      <c r="D158" s="1">
        <f>IFERROR(IF(INDEX(tblAccounts[Account Name],ROW()-1)="","",INDEX(tblAccounts[Account Name],ROW()-1)),"")</f>
      </c>
      <c r="E158" s="1">
        <f>IF($D158="","",IFERROR(INDEX(tblAccounts[Opening Balance],ROW()-1),0))</f>
      </c>
      <c r="F158" s="1">
        <f>IF($D158="","",IFERROR(SUMIFS(tblTransactions[Amount],tblTransactions[Transaction Type],"Income",tblTransactions[Source Account],$D158,tblTransactions[Transaction Status],"Completed")+SUMIFS(tblTransactions[Amount],tblTransactions[Transaction Type],"Income",tblTransactions[Source Account],$D158,tblTransactions[Transaction Status],"Reconciled")+SUMIFS(tblTransactions[Amount],tblTransactions[Transaction Type],"Transfer",tblTransactions[Destination Type],"Account",tblTransactions[Destination Name],$D158,tblTransactions[Transaction Status],"Completed")+SUMIFS(tblTransactions[Amount],tblTransactions[Transaction Type],"Transfer",tblTransactions[Destination Type],"Account",tblTransactions[Destination Name],$D158,tblTransactions[Transaction Status],"Reconciled")+SUMIFS(tblTransactions[Amount],tblTransactions[Transaction Type],"Adjustment",tblTransactions[Source Account],$D158,tblTransactions[Transaction Status],"Completed",tblTransactions[Amount],"&gt;0")+SUMIFS(tblTransactions[Amount],tblTransactions[Transaction Type],"Adjustment",tblTransactions[Source Account],$D158,tblTransactions[Transaction Status],"Reconciled",tblTransactions[Amount],"&gt;0"),0))</f>
      </c>
      <c r="G158" s="1">
        <f>IF($D158="","",IFERROR(SUMIFS(tblTransactions[Amount],tblTransactions[Transaction Type],"Expense",tblTransactions[Source Account],$D158,tblTransactions[Transaction Status],"Completed")+SUMIFS(tblTransactions[Amount],tblTransactions[Transaction Type],"Expense",tblTransactions[Source Account],$D158,tblTransactions[Transaction Status],"Reconciled")+SUMIFS(tblTransactions[Amount],tblTransactions[Transaction Type],"Transfer",tblTransactions[Source Account],$D158,tblTransactions[Transaction Status],"Completed")+SUMIFS(tblTransactions[Amount],tblTransactions[Transaction Type],"Transfer",tblTransactions[Source Account],$D158,tblTransactions[Transaction Status],"Reconciled")-SUMIFS(tblTransactions[Amount],tblTransactions[Transaction Type],"Adjustment",tblTransactions[Source Account],$D158,tblTransactions[Transaction Status],"Completed",tblTransactions[Amount],"&lt;0")-SUMIFS(tblTransactions[Amount],tblTransactions[Transaction Type],"Adjustment",tblTransactions[Source Account],$D158,tblTransactions[Transaction Status],"Reconciled",tblTransactions[Amount],"&lt;0"),0))</f>
      </c>
      <c r="H158" s="1">
        <f>IF($D158="","",$E158+$F158-$G158)</f>
      </c>
      <c r="I158" s="4">
        <f>IF($D158="","",IFERROR(LOOKUP(2,1/(((tblTransactions[Source Account]=$D158)+((tblTransactions[Transaction Type]="Transfer")*(tblTransactions[Destination Type]="Account")*(tblTransactions[Destination Name]=$D158)))*((tblTransactions[Transaction Status]="Completed")+(tblTransactions[Transaction Status]="Reconciled"))),tblTransactions[Transaction Date]),""))</f>
      </c>
      <c r="J158" s="1">
        <f>IF($D158="","",IFERROR(INDEX(tblAccounts[Account Type],ROW()-1),""))</f>
      </c>
      <c r="K158" s="1">
        <f>IF($D158="","",IFERROR(INDEX(tblAccounts[Include in Dashboard],ROW()-1),""))</f>
      </c>
      <c r="L158" s="1">
        <f>IF($D158="","",IFERROR(INDEX(tblAccounts[Status],ROW()-1),""))</f>
      </c>
    </row>
    <row r="159">
      <c r="D159" s="1">
        <f>IFERROR(IF(INDEX(tblAccounts[Account Name],ROW()-1)="","",INDEX(tblAccounts[Account Name],ROW()-1)),"")</f>
      </c>
      <c r="E159" s="1">
        <f>IF($D159="","",IFERROR(INDEX(tblAccounts[Opening Balance],ROW()-1),0))</f>
      </c>
      <c r="F159" s="1">
        <f>IF($D159="","",IFERROR(SUMIFS(tblTransactions[Amount],tblTransactions[Transaction Type],"Income",tblTransactions[Source Account],$D159,tblTransactions[Transaction Status],"Completed")+SUMIFS(tblTransactions[Amount],tblTransactions[Transaction Type],"Income",tblTransactions[Source Account],$D159,tblTransactions[Transaction Status],"Reconciled")+SUMIFS(tblTransactions[Amount],tblTransactions[Transaction Type],"Transfer",tblTransactions[Destination Type],"Account",tblTransactions[Destination Name],$D159,tblTransactions[Transaction Status],"Completed")+SUMIFS(tblTransactions[Amount],tblTransactions[Transaction Type],"Transfer",tblTransactions[Destination Type],"Account",tblTransactions[Destination Name],$D159,tblTransactions[Transaction Status],"Reconciled")+SUMIFS(tblTransactions[Amount],tblTransactions[Transaction Type],"Adjustment",tblTransactions[Source Account],$D159,tblTransactions[Transaction Status],"Completed",tblTransactions[Amount],"&gt;0")+SUMIFS(tblTransactions[Amount],tblTransactions[Transaction Type],"Adjustment",tblTransactions[Source Account],$D159,tblTransactions[Transaction Status],"Reconciled",tblTransactions[Amount],"&gt;0"),0))</f>
      </c>
      <c r="G159" s="1">
        <f>IF($D159="","",IFERROR(SUMIFS(tblTransactions[Amount],tblTransactions[Transaction Type],"Expense",tblTransactions[Source Account],$D159,tblTransactions[Transaction Status],"Completed")+SUMIFS(tblTransactions[Amount],tblTransactions[Transaction Type],"Expense",tblTransactions[Source Account],$D159,tblTransactions[Transaction Status],"Reconciled")+SUMIFS(tblTransactions[Amount],tblTransactions[Transaction Type],"Transfer",tblTransactions[Source Account],$D159,tblTransactions[Transaction Status],"Completed")+SUMIFS(tblTransactions[Amount],tblTransactions[Transaction Type],"Transfer",tblTransactions[Source Account],$D159,tblTransactions[Transaction Status],"Reconciled")-SUMIFS(tblTransactions[Amount],tblTransactions[Transaction Type],"Adjustment",tblTransactions[Source Account],$D159,tblTransactions[Transaction Status],"Completed",tblTransactions[Amount],"&lt;0")-SUMIFS(tblTransactions[Amount],tblTransactions[Transaction Type],"Adjustment",tblTransactions[Source Account],$D159,tblTransactions[Transaction Status],"Reconciled",tblTransactions[Amount],"&lt;0"),0))</f>
      </c>
      <c r="H159" s="1">
        <f>IF($D159="","",$E159+$F159-$G159)</f>
      </c>
      <c r="I159" s="4">
        <f>IF($D159="","",IFERROR(LOOKUP(2,1/(((tblTransactions[Source Account]=$D159)+((tblTransactions[Transaction Type]="Transfer")*(tblTransactions[Destination Type]="Account")*(tblTransactions[Destination Name]=$D159)))*((tblTransactions[Transaction Status]="Completed")+(tblTransactions[Transaction Status]="Reconciled"))),tblTransactions[Transaction Date]),""))</f>
      </c>
      <c r="J159" s="1">
        <f>IF($D159="","",IFERROR(INDEX(tblAccounts[Account Type],ROW()-1),""))</f>
      </c>
      <c r="K159" s="1">
        <f>IF($D159="","",IFERROR(INDEX(tblAccounts[Include in Dashboard],ROW()-1),""))</f>
      </c>
      <c r="L159" s="1">
        <f>IF($D159="","",IFERROR(INDEX(tblAccounts[Status],ROW()-1),""))</f>
      </c>
    </row>
    <row r="160">
      <c r="D160" s="1">
        <f>IFERROR(IF(INDEX(tblAccounts[Account Name],ROW()-1)="","",INDEX(tblAccounts[Account Name],ROW()-1)),"")</f>
      </c>
      <c r="E160" s="1">
        <f>IF($D160="","",IFERROR(INDEX(tblAccounts[Opening Balance],ROW()-1),0))</f>
      </c>
      <c r="F160" s="1">
        <f>IF($D160="","",IFERROR(SUMIFS(tblTransactions[Amount],tblTransactions[Transaction Type],"Income",tblTransactions[Source Account],$D160,tblTransactions[Transaction Status],"Completed")+SUMIFS(tblTransactions[Amount],tblTransactions[Transaction Type],"Income",tblTransactions[Source Account],$D160,tblTransactions[Transaction Status],"Reconciled")+SUMIFS(tblTransactions[Amount],tblTransactions[Transaction Type],"Transfer",tblTransactions[Destination Type],"Account",tblTransactions[Destination Name],$D160,tblTransactions[Transaction Status],"Completed")+SUMIFS(tblTransactions[Amount],tblTransactions[Transaction Type],"Transfer",tblTransactions[Destination Type],"Account",tblTransactions[Destination Name],$D160,tblTransactions[Transaction Status],"Reconciled")+SUMIFS(tblTransactions[Amount],tblTransactions[Transaction Type],"Adjustment",tblTransactions[Source Account],$D160,tblTransactions[Transaction Status],"Completed",tblTransactions[Amount],"&gt;0")+SUMIFS(tblTransactions[Amount],tblTransactions[Transaction Type],"Adjustment",tblTransactions[Source Account],$D160,tblTransactions[Transaction Status],"Reconciled",tblTransactions[Amount],"&gt;0"),0))</f>
      </c>
      <c r="G160" s="1">
        <f>IF($D160="","",IFERROR(SUMIFS(tblTransactions[Amount],tblTransactions[Transaction Type],"Expense",tblTransactions[Source Account],$D160,tblTransactions[Transaction Status],"Completed")+SUMIFS(tblTransactions[Amount],tblTransactions[Transaction Type],"Expense",tblTransactions[Source Account],$D160,tblTransactions[Transaction Status],"Reconciled")+SUMIFS(tblTransactions[Amount],tblTransactions[Transaction Type],"Transfer",tblTransactions[Source Account],$D160,tblTransactions[Transaction Status],"Completed")+SUMIFS(tblTransactions[Amount],tblTransactions[Transaction Type],"Transfer",tblTransactions[Source Account],$D160,tblTransactions[Transaction Status],"Reconciled")-SUMIFS(tblTransactions[Amount],tblTransactions[Transaction Type],"Adjustment",tblTransactions[Source Account],$D160,tblTransactions[Transaction Status],"Completed",tblTransactions[Amount],"&lt;0")-SUMIFS(tblTransactions[Amount],tblTransactions[Transaction Type],"Adjustment",tblTransactions[Source Account],$D160,tblTransactions[Transaction Status],"Reconciled",tblTransactions[Amount],"&lt;0"),0))</f>
      </c>
      <c r="H160" s="1">
        <f>IF($D160="","",$E160+$F160-$G160)</f>
      </c>
      <c r="I160" s="4">
        <f>IF($D160="","",IFERROR(LOOKUP(2,1/(((tblTransactions[Source Account]=$D160)+((tblTransactions[Transaction Type]="Transfer")*(tblTransactions[Destination Type]="Account")*(tblTransactions[Destination Name]=$D160)))*((tblTransactions[Transaction Status]="Completed")+(tblTransactions[Transaction Status]="Reconciled"))),tblTransactions[Transaction Date]),""))</f>
      </c>
      <c r="J160" s="1">
        <f>IF($D160="","",IFERROR(INDEX(tblAccounts[Account Type],ROW()-1),""))</f>
      </c>
      <c r="K160" s="1">
        <f>IF($D160="","",IFERROR(INDEX(tblAccounts[Include in Dashboard],ROW()-1),""))</f>
      </c>
      <c r="L160" s="1">
        <f>IF($D160="","",IFERROR(INDEX(tblAccounts[Status],ROW()-1),""))</f>
      </c>
    </row>
    <row r="161">
      <c r="D161" s="1">
        <f>IFERROR(IF(INDEX(tblAccounts[Account Name],ROW()-1)="","",INDEX(tblAccounts[Account Name],ROW()-1)),"")</f>
      </c>
      <c r="E161" s="1">
        <f>IF($D161="","",IFERROR(INDEX(tblAccounts[Opening Balance],ROW()-1),0))</f>
      </c>
      <c r="F161" s="1">
        <f>IF($D161="","",IFERROR(SUMIFS(tblTransactions[Amount],tblTransactions[Transaction Type],"Income",tblTransactions[Source Account],$D161,tblTransactions[Transaction Status],"Completed")+SUMIFS(tblTransactions[Amount],tblTransactions[Transaction Type],"Income",tblTransactions[Source Account],$D161,tblTransactions[Transaction Status],"Reconciled")+SUMIFS(tblTransactions[Amount],tblTransactions[Transaction Type],"Transfer",tblTransactions[Destination Type],"Account",tblTransactions[Destination Name],$D161,tblTransactions[Transaction Status],"Completed")+SUMIFS(tblTransactions[Amount],tblTransactions[Transaction Type],"Transfer",tblTransactions[Destination Type],"Account",tblTransactions[Destination Name],$D161,tblTransactions[Transaction Status],"Reconciled")+SUMIFS(tblTransactions[Amount],tblTransactions[Transaction Type],"Adjustment",tblTransactions[Source Account],$D161,tblTransactions[Transaction Status],"Completed",tblTransactions[Amount],"&gt;0")+SUMIFS(tblTransactions[Amount],tblTransactions[Transaction Type],"Adjustment",tblTransactions[Source Account],$D161,tblTransactions[Transaction Status],"Reconciled",tblTransactions[Amount],"&gt;0"),0))</f>
      </c>
      <c r="G161" s="1">
        <f>IF($D161="","",IFERROR(SUMIFS(tblTransactions[Amount],tblTransactions[Transaction Type],"Expense",tblTransactions[Source Account],$D161,tblTransactions[Transaction Status],"Completed")+SUMIFS(tblTransactions[Amount],tblTransactions[Transaction Type],"Expense",tblTransactions[Source Account],$D161,tblTransactions[Transaction Status],"Reconciled")+SUMIFS(tblTransactions[Amount],tblTransactions[Transaction Type],"Transfer",tblTransactions[Source Account],$D161,tblTransactions[Transaction Status],"Completed")+SUMIFS(tblTransactions[Amount],tblTransactions[Transaction Type],"Transfer",tblTransactions[Source Account],$D161,tblTransactions[Transaction Status],"Reconciled")-SUMIFS(tblTransactions[Amount],tblTransactions[Transaction Type],"Adjustment",tblTransactions[Source Account],$D161,tblTransactions[Transaction Status],"Completed",tblTransactions[Amount],"&lt;0")-SUMIFS(tblTransactions[Amount],tblTransactions[Transaction Type],"Adjustment",tblTransactions[Source Account],$D161,tblTransactions[Transaction Status],"Reconciled",tblTransactions[Amount],"&lt;0"),0))</f>
      </c>
      <c r="H161" s="1">
        <f>IF($D161="","",$E161+$F161-$G161)</f>
      </c>
      <c r="I161" s="4">
        <f>IF($D161="","",IFERROR(LOOKUP(2,1/(((tblTransactions[Source Account]=$D161)+((tblTransactions[Transaction Type]="Transfer")*(tblTransactions[Destination Type]="Account")*(tblTransactions[Destination Name]=$D161)))*((tblTransactions[Transaction Status]="Completed")+(tblTransactions[Transaction Status]="Reconciled"))),tblTransactions[Transaction Date]),""))</f>
      </c>
      <c r="J161" s="1">
        <f>IF($D161="","",IFERROR(INDEX(tblAccounts[Account Type],ROW()-1),""))</f>
      </c>
      <c r="K161" s="1">
        <f>IF($D161="","",IFERROR(INDEX(tblAccounts[Include in Dashboard],ROW()-1),""))</f>
      </c>
      <c r="L161" s="1">
        <f>IF($D161="","",IFERROR(INDEX(tblAccounts[Status],ROW()-1),""))</f>
      </c>
    </row>
    <row r="162">
      <c r="D162" s="1">
        <f>IFERROR(IF(INDEX(tblAccounts[Account Name],ROW()-1)="","",INDEX(tblAccounts[Account Name],ROW()-1)),"")</f>
      </c>
      <c r="E162" s="1">
        <f>IF($D162="","",IFERROR(INDEX(tblAccounts[Opening Balance],ROW()-1),0))</f>
      </c>
      <c r="F162" s="1">
        <f>IF($D162="","",IFERROR(SUMIFS(tblTransactions[Amount],tblTransactions[Transaction Type],"Income",tblTransactions[Source Account],$D162,tblTransactions[Transaction Status],"Completed")+SUMIFS(tblTransactions[Amount],tblTransactions[Transaction Type],"Income",tblTransactions[Source Account],$D162,tblTransactions[Transaction Status],"Reconciled")+SUMIFS(tblTransactions[Amount],tblTransactions[Transaction Type],"Transfer",tblTransactions[Destination Type],"Account",tblTransactions[Destination Name],$D162,tblTransactions[Transaction Status],"Completed")+SUMIFS(tblTransactions[Amount],tblTransactions[Transaction Type],"Transfer",tblTransactions[Destination Type],"Account",tblTransactions[Destination Name],$D162,tblTransactions[Transaction Status],"Reconciled")+SUMIFS(tblTransactions[Amount],tblTransactions[Transaction Type],"Adjustment",tblTransactions[Source Account],$D162,tblTransactions[Transaction Status],"Completed",tblTransactions[Amount],"&gt;0")+SUMIFS(tblTransactions[Amount],tblTransactions[Transaction Type],"Adjustment",tblTransactions[Source Account],$D162,tblTransactions[Transaction Status],"Reconciled",tblTransactions[Amount],"&gt;0"),0))</f>
      </c>
      <c r="G162" s="1">
        <f>IF($D162="","",IFERROR(SUMIFS(tblTransactions[Amount],tblTransactions[Transaction Type],"Expense",tblTransactions[Source Account],$D162,tblTransactions[Transaction Status],"Completed")+SUMIFS(tblTransactions[Amount],tblTransactions[Transaction Type],"Expense",tblTransactions[Source Account],$D162,tblTransactions[Transaction Status],"Reconciled")+SUMIFS(tblTransactions[Amount],tblTransactions[Transaction Type],"Transfer",tblTransactions[Source Account],$D162,tblTransactions[Transaction Status],"Completed")+SUMIFS(tblTransactions[Amount],tblTransactions[Transaction Type],"Transfer",tblTransactions[Source Account],$D162,tblTransactions[Transaction Status],"Reconciled")-SUMIFS(tblTransactions[Amount],tblTransactions[Transaction Type],"Adjustment",tblTransactions[Source Account],$D162,tblTransactions[Transaction Status],"Completed",tblTransactions[Amount],"&lt;0")-SUMIFS(tblTransactions[Amount],tblTransactions[Transaction Type],"Adjustment",tblTransactions[Source Account],$D162,tblTransactions[Transaction Status],"Reconciled",tblTransactions[Amount],"&lt;0"),0))</f>
      </c>
      <c r="H162" s="1">
        <f>IF($D162="","",$E162+$F162-$G162)</f>
      </c>
      <c r="I162" s="4">
        <f>IF($D162="","",IFERROR(LOOKUP(2,1/(((tblTransactions[Source Account]=$D162)+((tblTransactions[Transaction Type]="Transfer")*(tblTransactions[Destination Type]="Account")*(tblTransactions[Destination Name]=$D162)))*((tblTransactions[Transaction Status]="Completed")+(tblTransactions[Transaction Status]="Reconciled"))),tblTransactions[Transaction Date]),""))</f>
      </c>
      <c r="J162" s="1">
        <f>IF($D162="","",IFERROR(INDEX(tblAccounts[Account Type],ROW()-1),""))</f>
      </c>
      <c r="K162" s="1">
        <f>IF($D162="","",IFERROR(INDEX(tblAccounts[Include in Dashboard],ROW()-1),""))</f>
      </c>
      <c r="L162" s="1">
        <f>IF($D162="","",IFERROR(INDEX(tblAccounts[Status],ROW()-1),""))</f>
      </c>
    </row>
    <row r="163">
      <c r="D163" s="1">
        <f>IFERROR(IF(INDEX(tblAccounts[Account Name],ROW()-1)="","",INDEX(tblAccounts[Account Name],ROW()-1)),"")</f>
      </c>
      <c r="E163" s="1">
        <f>IF($D163="","",IFERROR(INDEX(tblAccounts[Opening Balance],ROW()-1),0))</f>
      </c>
      <c r="F163" s="1">
        <f>IF($D163="","",IFERROR(SUMIFS(tblTransactions[Amount],tblTransactions[Transaction Type],"Income",tblTransactions[Source Account],$D163,tblTransactions[Transaction Status],"Completed")+SUMIFS(tblTransactions[Amount],tblTransactions[Transaction Type],"Income",tblTransactions[Source Account],$D163,tblTransactions[Transaction Status],"Reconciled")+SUMIFS(tblTransactions[Amount],tblTransactions[Transaction Type],"Transfer",tblTransactions[Destination Type],"Account",tblTransactions[Destination Name],$D163,tblTransactions[Transaction Status],"Completed")+SUMIFS(tblTransactions[Amount],tblTransactions[Transaction Type],"Transfer",tblTransactions[Destination Type],"Account",tblTransactions[Destination Name],$D163,tblTransactions[Transaction Status],"Reconciled")+SUMIFS(tblTransactions[Amount],tblTransactions[Transaction Type],"Adjustment",tblTransactions[Source Account],$D163,tblTransactions[Transaction Status],"Completed",tblTransactions[Amount],"&gt;0")+SUMIFS(tblTransactions[Amount],tblTransactions[Transaction Type],"Adjustment",tblTransactions[Source Account],$D163,tblTransactions[Transaction Status],"Reconciled",tblTransactions[Amount],"&gt;0"),0))</f>
      </c>
      <c r="G163" s="1">
        <f>IF($D163="","",IFERROR(SUMIFS(tblTransactions[Amount],tblTransactions[Transaction Type],"Expense",tblTransactions[Source Account],$D163,tblTransactions[Transaction Status],"Completed")+SUMIFS(tblTransactions[Amount],tblTransactions[Transaction Type],"Expense",tblTransactions[Source Account],$D163,tblTransactions[Transaction Status],"Reconciled")+SUMIFS(tblTransactions[Amount],tblTransactions[Transaction Type],"Transfer",tblTransactions[Source Account],$D163,tblTransactions[Transaction Status],"Completed")+SUMIFS(tblTransactions[Amount],tblTransactions[Transaction Type],"Transfer",tblTransactions[Source Account],$D163,tblTransactions[Transaction Status],"Reconciled")-SUMIFS(tblTransactions[Amount],tblTransactions[Transaction Type],"Adjustment",tblTransactions[Source Account],$D163,tblTransactions[Transaction Status],"Completed",tblTransactions[Amount],"&lt;0")-SUMIFS(tblTransactions[Amount],tblTransactions[Transaction Type],"Adjustment",tblTransactions[Source Account],$D163,tblTransactions[Transaction Status],"Reconciled",tblTransactions[Amount],"&lt;0"),0))</f>
      </c>
      <c r="H163" s="1">
        <f>IF($D163="","",$E163+$F163-$G163)</f>
      </c>
      <c r="I163" s="4">
        <f>IF($D163="","",IFERROR(LOOKUP(2,1/(((tblTransactions[Source Account]=$D163)+((tblTransactions[Transaction Type]="Transfer")*(tblTransactions[Destination Type]="Account")*(tblTransactions[Destination Name]=$D163)))*((tblTransactions[Transaction Status]="Completed")+(tblTransactions[Transaction Status]="Reconciled"))),tblTransactions[Transaction Date]),""))</f>
      </c>
      <c r="J163" s="1">
        <f>IF($D163="","",IFERROR(INDEX(tblAccounts[Account Type],ROW()-1),""))</f>
      </c>
      <c r="K163" s="1">
        <f>IF($D163="","",IFERROR(INDEX(tblAccounts[Include in Dashboard],ROW()-1),""))</f>
      </c>
      <c r="L163" s="1">
        <f>IF($D163="","",IFERROR(INDEX(tblAccounts[Status],ROW()-1),""))</f>
      </c>
    </row>
    <row r="164">
      <c r="D164" s="1">
        <f>IFERROR(IF(INDEX(tblAccounts[Account Name],ROW()-1)="","",INDEX(tblAccounts[Account Name],ROW()-1)),"")</f>
      </c>
      <c r="E164" s="1">
        <f>IF($D164="","",IFERROR(INDEX(tblAccounts[Opening Balance],ROW()-1),0))</f>
      </c>
      <c r="F164" s="1">
        <f>IF($D164="","",IFERROR(SUMIFS(tblTransactions[Amount],tblTransactions[Transaction Type],"Income",tblTransactions[Source Account],$D164,tblTransactions[Transaction Status],"Completed")+SUMIFS(tblTransactions[Amount],tblTransactions[Transaction Type],"Income",tblTransactions[Source Account],$D164,tblTransactions[Transaction Status],"Reconciled")+SUMIFS(tblTransactions[Amount],tblTransactions[Transaction Type],"Transfer",tblTransactions[Destination Type],"Account",tblTransactions[Destination Name],$D164,tblTransactions[Transaction Status],"Completed")+SUMIFS(tblTransactions[Amount],tblTransactions[Transaction Type],"Transfer",tblTransactions[Destination Type],"Account",tblTransactions[Destination Name],$D164,tblTransactions[Transaction Status],"Reconciled")+SUMIFS(tblTransactions[Amount],tblTransactions[Transaction Type],"Adjustment",tblTransactions[Source Account],$D164,tblTransactions[Transaction Status],"Completed",tblTransactions[Amount],"&gt;0")+SUMIFS(tblTransactions[Amount],tblTransactions[Transaction Type],"Adjustment",tblTransactions[Source Account],$D164,tblTransactions[Transaction Status],"Reconciled",tblTransactions[Amount],"&gt;0"),0))</f>
      </c>
      <c r="G164" s="1">
        <f>IF($D164="","",IFERROR(SUMIFS(tblTransactions[Amount],tblTransactions[Transaction Type],"Expense",tblTransactions[Source Account],$D164,tblTransactions[Transaction Status],"Completed")+SUMIFS(tblTransactions[Amount],tblTransactions[Transaction Type],"Expense",tblTransactions[Source Account],$D164,tblTransactions[Transaction Status],"Reconciled")+SUMIFS(tblTransactions[Amount],tblTransactions[Transaction Type],"Transfer",tblTransactions[Source Account],$D164,tblTransactions[Transaction Status],"Completed")+SUMIFS(tblTransactions[Amount],tblTransactions[Transaction Type],"Transfer",tblTransactions[Source Account],$D164,tblTransactions[Transaction Status],"Reconciled")-SUMIFS(tblTransactions[Amount],tblTransactions[Transaction Type],"Adjustment",tblTransactions[Source Account],$D164,tblTransactions[Transaction Status],"Completed",tblTransactions[Amount],"&lt;0")-SUMIFS(tblTransactions[Amount],tblTransactions[Transaction Type],"Adjustment",tblTransactions[Source Account],$D164,tblTransactions[Transaction Status],"Reconciled",tblTransactions[Amount],"&lt;0"),0))</f>
      </c>
      <c r="H164" s="1">
        <f>IF($D164="","",$E164+$F164-$G164)</f>
      </c>
      <c r="I164" s="4">
        <f>IF($D164="","",IFERROR(LOOKUP(2,1/(((tblTransactions[Source Account]=$D164)+((tblTransactions[Transaction Type]="Transfer")*(tblTransactions[Destination Type]="Account")*(tblTransactions[Destination Name]=$D164)))*((tblTransactions[Transaction Status]="Completed")+(tblTransactions[Transaction Status]="Reconciled"))),tblTransactions[Transaction Date]),""))</f>
      </c>
      <c r="J164" s="1">
        <f>IF($D164="","",IFERROR(INDEX(tblAccounts[Account Type],ROW()-1),""))</f>
      </c>
      <c r="K164" s="1">
        <f>IF($D164="","",IFERROR(INDEX(tblAccounts[Include in Dashboard],ROW()-1),""))</f>
      </c>
      <c r="L164" s="1">
        <f>IF($D164="","",IFERROR(INDEX(tblAccounts[Status],ROW()-1),""))</f>
      </c>
    </row>
    <row r="165">
      <c r="D165" s="1">
        <f>IFERROR(IF(INDEX(tblAccounts[Account Name],ROW()-1)="","",INDEX(tblAccounts[Account Name],ROW()-1)),"")</f>
      </c>
      <c r="E165" s="1">
        <f>IF($D165="","",IFERROR(INDEX(tblAccounts[Opening Balance],ROW()-1),0))</f>
      </c>
      <c r="F165" s="1">
        <f>IF($D165="","",IFERROR(SUMIFS(tblTransactions[Amount],tblTransactions[Transaction Type],"Income",tblTransactions[Source Account],$D165,tblTransactions[Transaction Status],"Completed")+SUMIFS(tblTransactions[Amount],tblTransactions[Transaction Type],"Income",tblTransactions[Source Account],$D165,tblTransactions[Transaction Status],"Reconciled")+SUMIFS(tblTransactions[Amount],tblTransactions[Transaction Type],"Transfer",tblTransactions[Destination Type],"Account",tblTransactions[Destination Name],$D165,tblTransactions[Transaction Status],"Completed")+SUMIFS(tblTransactions[Amount],tblTransactions[Transaction Type],"Transfer",tblTransactions[Destination Type],"Account",tblTransactions[Destination Name],$D165,tblTransactions[Transaction Status],"Reconciled")+SUMIFS(tblTransactions[Amount],tblTransactions[Transaction Type],"Adjustment",tblTransactions[Source Account],$D165,tblTransactions[Transaction Status],"Completed",tblTransactions[Amount],"&gt;0")+SUMIFS(tblTransactions[Amount],tblTransactions[Transaction Type],"Adjustment",tblTransactions[Source Account],$D165,tblTransactions[Transaction Status],"Reconciled",tblTransactions[Amount],"&gt;0"),0))</f>
      </c>
      <c r="G165" s="1">
        <f>IF($D165="","",IFERROR(SUMIFS(tblTransactions[Amount],tblTransactions[Transaction Type],"Expense",tblTransactions[Source Account],$D165,tblTransactions[Transaction Status],"Completed")+SUMIFS(tblTransactions[Amount],tblTransactions[Transaction Type],"Expense",tblTransactions[Source Account],$D165,tblTransactions[Transaction Status],"Reconciled")+SUMIFS(tblTransactions[Amount],tblTransactions[Transaction Type],"Transfer",tblTransactions[Source Account],$D165,tblTransactions[Transaction Status],"Completed")+SUMIFS(tblTransactions[Amount],tblTransactions[Transaction Type],"Transfer",tblTransactions[Source Account],$D165,tblTransactions[Transaction Status],"Reconciled")-SUMIFS(tblTransactions[Amount],tblTransactions[Transaction Type],"Adjustment",tblTransactions[Source Account],$D165,tblTransactions[Transaction Status],"Completed",tblTransactions[Amount],"&lt;0")-SUMIFS(tblTransactions[Amount],tblTransactions[Transaction Type],"Adjustment",tblTransactions[Source Account],$D165,tblTransactions[Transaction Status],"Reconciled",tblTransactions[Amount],"&lt;0"),0))</f>
      </c>
      <c r="H165" s="1">
        <f>IF($D165="","",$E165+$F165-$G165)</f>
      </c>
      <c r="I165" s="4">
        <f>IF($D165="","",IFERROR(LOOKUP(2,1/(((tblTransactions[Source Account]=$D165)+((tblTransactions[Transaction Type]="Transfer")*(tblTransactions[Destination Type]="Account")*(tblTransactions[Destination Name]=$D165)))*((tblTransactions[Transaction Status]="Completed")+(tblTransactions[Transaction Status]="Reconciled"))),tblTransactions[Transaction Date]),""))</f>
      </c>
      <c r="J165" s="1">
        <f>IF($D165="","",IFERROR(INDEX(tblAccounts[Account Type],ROW()-1),""))</f>
      </c>
      <c r="K165" s="1">
        <f>IF($D165="","",IFERROR(INDEX(tblAccounts[Include in Dashboard],ROW()-1),""))</f>
      </c>
      <c r="L165" s="1">
        <f>IF($D165="","",IFERROR(INDEX(tblAccounts[Status],ROW()-1),""))</f>
      </c>
    </row>
    <row r="166">
      <c r="D166" s="1">
        <f>IFERROR(IF(INDEX(tblAccounts[Account Name],ROW()-1)="","",INDEX(tblAccounts[Account Name],ROW()-1)),"")</f>
      </c>
      <c r="E166" s="1">
        <f>IF($D166="","",IFERROR(INDEX(tblAccounts[Opening Balance],ROW()-1),0))</f>
      </c>
      <c r="F166" s="1">
        <f>IF($D166="","",IFERROR(SUMIFS(tblTransactions[Amount],tblTransactions[Transaction Type],"Income",tblTransactions[Source Account],$D166,tblTransactions[Transaction Status],"Completed")+SUMIFS(tblTransactions[Amount],tblTransactions[Transaction Type],"Income",tblTransactions[Source Account],$D166,tblTransactions[Transaction Status],"Reconciled")+SUMIFS(tblTransactions[Amount],tblTransactions[Transaction Type],"Transfer",tblTransactions[Destination Type],"Account",tblTransactions[Destination Name],$D166,tblTransactions[Transaction Status],"Completed")+SUMIFS(tblTransactions[Amount],tblTransactions[Transaction Type],"Transfer",tblTransactions[Destination Type],"Account",tblTransactions[Destination Name],$D166,tblTransactions[Transaction Status],"Reconciled")+SUMIFS(tblTransactions[Amount],tblTransactions[Transaction Type],"Adjustment",tblTransactions[Source Account],$D166,tblTransactions[Transaction Status],"Completed",tblTransactions[Amount],"&gt;0")+SUMIFS(tblTransactions[Amount],tblTransactions[Transaction Type],"Adjustment",tblTransactions[Source Account],$D166,tblTransactions[Transaction Status],"Reconciled",tblTransactions[Amount],"&gt;0"),0))</f>
      </c>
      <c r="G166" s="1">
        <f>IF($D166="","",IFERROR(SUMIFS(tblTransactions[Amount],tblTransactions[Transaction Type],"Expense",tblTransactions[Source Account],$D166,tblTransactions[Transaction Status],"Completed")+SUMIFS(tblTransactions[Amount],tblTransactions[Transaction Type],"Expense",tblTransactions[Source Account],$D166,tblTransactions[Transaction Status],"Reconciled")+SUMIFS(tblTransactions[Amount],tblTransactions[Transaction Type],"Transfer",tblTransactions[Source Account],$D166,tblTransactions[Transaction Status],"Completed")+SUMIFS(tblTransactions[Amount],tblTransactions[Transaction Type],"Transfer",tblTransactions[Source Account],$D166,tblTransactions[Transaction Status],"Reconciled")-SUMIFS(tblTransactions[Amount],tblTransactions[Transaction Type],"Adjustment",tblTransactions[Source Account],$D166,tblTransactions[Transaction Status],"Completed",tblTransactions[Amount],"&lt;0")-SUMIFS(tblTransactions[Amount],tblTransactions[Transaction Type],"Adjustment",tblTransactions[Source Account],$D166,tblTransactions[Transaction Status],"Reconciled",tblTransactions[Amount],"&lt;0"),0))</f>
      </c>
      <c r="H166" s="1">
        <f>IF($D166="","",$E166+$F166-$G166)</f>
      </c>
      <c r="I166" s="4">
        <f>IF($D166="","",IFERROR(LOOKUP(2,1/(((tblTransactions[Source Account]=$D166)+((tblTransactions[Transaction Type]="Transfer")*(tblTransactions[Destination Type]="Account")*(tblTransactions[Destination Name]=$D166)))*((tblTransactions[Transaction Status]="Completed")+(tblTransactions[Transaction Status]="Reconciled"))),tblTransactions[Transaction Date]),""))</f>
      </c>
      <c r="J166" s="1">
        <f>IF($D166="","",IFERROR(INDEX(tblAccounts[Account Type],ROW()-1),""))</f>
      </c>
      <c r="K166" s="1">
        <f>IF($D166="","",IFERROR(INDEX(tblAccounts[Include in Dashboard],ROW()-1),""))</f>
      </c>
      <c r="L166" s="1">
        <f>IF($D166="","",IFERROR(INDEX(tblAccounts[Status],ROW()-1),""))</f>
      </c>
    </row>
    <row r="167">
      <c r="D167" s="1">
        <f>IFERROR(IF(INDEX(tblAccounts[Account Name],ROW()-1)="","",INDEX(tblAccounts[Account Name],ROW()-1)),"")</f>
      </c>
      <c r="E167" s="1">
        <f>IF($D167="","",IFERROR(INDEX(tblAccounts[Opening Balance],ROW()-1),0))</f>
      </c>
      <c r="F167" s="1">
        <f>IF($D167="","",IFERROR(SUMIFS(tblTransactions[Amount],tblTransactions[Transaction Type],"Income",tblTransactions[Source Account],$D167,tblTransactions[Transaction Status],"Completed")+SUMIFS(tblTransactions[Amount],tblTransactions[Transaction Type],"Income",tblTransactions[Source Account],$D167,tblTransactions[Transaction Status],"Reconciled")+SUMIFS(tblTransactions[Amount],tblTransactions[Transaction Type],"Transfer",tblTransactions[Destination Type],"Account",tblTransactions[Destination Name],$D167,tblTransactions[Transaction Status],"Completed")+SUMIFS(tblTransactions[Amount],tblTransactions[Transaction Type],"Transfer",tblTransactions[Destination Type],"Account",tblTransactions[Destination Name],$D167,tblTransactions[Transaction Status],"Reconciled")+SUMIFS(tblTransactions[Amount],tblTransactions[Transaction Type],"Adjustment",tblTransactions[Source Account],$D167,tblTransactions[Transaction Status],"Completed",tblTransactions[Amount],"&gt;0")+SUMIFS(tblTransactions[Amount],tblTransactions[Transaction Type],"Adjustment",tblTransactions[Source Account],$D167,tblTransactions[Transaction Status],"Reconciled",tblTransactions[Amount],"&gt;0"),0))</f>
      </c>
      <c r="G167" s="1">
        <f>IF($D167="","",IFERROR(SUMIFS(tblTransactions[Amount],tblTransactions[Transaction Type],"Expense",tblTransactions[Source Account],$D167,tblTransactions[Transaction Status],"Completed")+SUMIFS(tblTransactions[Amount],tblTransactions[Transaction Type],"Expense",tblTransactions[Source Account],$D167,tblTransactions[Transaction Status],"Reconciled")+SUMIFS(tblTransactions[Amount],tblTransactions[Transaction Type],"Transfer",tblTransactions[Source Account],$D167,tblTransactions[Transaction Status],"Completed")+SUMIFS(tblTransactions[Amount],tblTransactions[Transaction Type],"Transfer",tblTransactions[Source Account],$D167,tblTransactions[Transaction Status],"Reconciled")-SUMIFS(tblTransactions[Amount],tblTransactions[Transaction Type],"Adjustment",tblTransactions[Source Account],$D167,tblTransactions[Transaction Status],"Completed",tblTransactions[Amount],"&lt;0")-SUMIFS(tblTransactions[Amount],tblTransactions[Transaction Type],"Adjustment",tblTransactions[Source Account],$D167,tblTransactions[Transaction Status],"Reconciled",tblTransactions[Amount],"&lt;0"),0))</f>
      </c>
      <c r="H167" s="1">
        <f>IF($D167="","",$E167+$F167-$G167)</f>
      </c>
      <c r="I167" s="4">
        <f>IF($D167="","",IFERROR(LOOKUP(2,1/(((tblTransactions[Source Account]=$D167)+((tblTransactions[Transaction Type]="Transfer")*(tblTransactions[Destination Type]="Account")*(tblTransactions[Destination Name]=$D167)))*((tblTransactions[Transaction Status]="Completed")+(tblTransactions[Transaction Status]="Reconciled"))),tblTransactions[Transaction Date]),""))</f>
      </c>
      <c r="J167" s="1">
        <f>IF($D167="","",IFERROR(INDEX(tblAccounts[Account Type],ROW()-1),""))</f>
      </c>
      <c r="K167" s="1">
        <f>IF($D167="","",IFERROR(INDEX(tblAccounts[Include in Dashboard],ROW()-1),""))</f>
      </c>
      <c r="L167" s="1">
        <f>IF($D167="","",IFERROR(INDEX(tblAccounts[Status],ROW()-1),""))</f>
      </c>
    </row>
    <row r="168">
      <c r="D168" s="1">
        <f>IFERROR(IF(INDEX(tblAccounts[Account Name],ROW()-1)="","",INDEX(tblAccounts[Account Name],ROW()-1)),"")</f>
      </c>
      <c r="E168" s="1">
        <f>IF($D168="","",IFERROR(INDEX(tblAccounts[Opening Balance],ROW()-1),0))</f>
      </c>
      <c r="F168" s="1">
        <f>IF($D168="","",IFERROR(SUMIFS(tblTransactions[Amount],tblTransactions[Transaction Type],"Income",tblTransactions[Source Account],$D168,tblTransactions[Transaction Status],"Completed")+SUMIFS(tblTransactions[Amount],tblTransactions[Transaction Type],"Income",tblTransactions[Source Account],$D168,tblTransactions[Transaction Status],"Reconciled")+SUMIFS(tblTransactions[Amount],tblTransactions[Transaction Type],"Transfer",tblTransactions[Destination Type],"Account",tblTransactions[Destination Name],$D168,tblTransactions[Transaction Status],"Completed")+SUMIFS(tblTransactions[Amount],tblTransactions[Transaction Type],"Transfer",tblTransactions[Destination Type],"Account",tblTransactions[Destination Name],$D168,tblTransactions[Transaction Status],"Reconciled")+SUMIFS(tblTransactions[Amount],tblTransactions[Transaction Type],"Adjustment",tblTransactions[Source Account],$D168,tblTransactions[Transaction Status],"Completed",tblTransactions[Amount],"&gt;0")+SUMIFS(tblTransactions[Amount],tblTransactions[Transaction Type],"Adjustment",tblTransactions[Source Account],$D168,tblTransactions[Transaction Status],"Reconciled",tblTransactions[Amount],"&gt;0"),0))</f>
      </c>
      <c r="G168" s="1">
        <f>IF($D168="","",IFERROR(SUMIFS(tblTransactions[Amount],tblTransactions[Transaction Type],"Expense",tblTransactions[Source Account],$D168,tblTransactions[Transaction Status],"Completed")+SUMIFS(tblTransactions[Amount],tblTransactions[Transaction Type],"Expense",tblTransactions[Source Account],$D168,tblTransactions[Transaction Status],"Reconciled")+SUMIFS(tblTransactions[Amount],tblTransactions[Transaction Type],"Transfer",tblTransactions[Source Account],$D168,tblTransactions[Transaction Status],"Completed")+SUMIFS(tblTransactions[Amount],tblTransactions[Transaction Type],"Transfer",tblTransactions[Source Account],$D168,tblTransactions[Transaction Status],"Reconciled")-SUMIFS(tblTransactions[Amount],tblTransactions[Transaction Type],"Adjustment",tblTransactions[Source Account],$D168,tblTransactions[Transaction Status],"Completed",tblTransactions[Amount],"&lt;0")-SUMIFS(tblTransactions[Amount],tblTransactions[Transaction Type],"Adjustment",tblTransactions[Source Account],$D168,tblTransactions[Transaction Status],"Reconciled",tblTransactions[Amount],"&lt;0"),0))</f>
      </c>
      <c r="H168" s="1">
        <f>IF($D168="","",$E168+$F168-$G168)</f>
      </c>
      <c r="I168" s="4">
        <f>IF($D168="","",IFERROR(LOOKUP(2,1/(((tblTransactions[Source Account]=$D168)+((tblTransactions[Transaction Type]="Transfer")*(tblTransactions[Destination Type]="Account")*(tblTransactions[Destination Name]=$D168)))*((tblTransactions[Transaction Status]="Completed")+(tblTransactions[Transaction Status]="Reconciled"))),tblTransactions[Transaction Date]),""))</f>
      </c>
      <c r="J168" s="1">
        <f>IF($D168="","",IFERROR(INDEX(tblAccounts[Account Type],ROW()-1),""))</f>
      </c>
      <c r="K168" s="1">
        <f>IF($D168="","",IFERROR(INDEX(tblAccounts[Include in Dashboard],ROW()-1),""))</f>
      </c>
      <c r="L168" s="1">
        <f>IF($D168="","",IFERROR(INDEX(tblAccounts[Status],ROW()-1),""))</f>
      </c>
    </row>
    <row r="169">
      <c r="D169" s="1">
        <f>IFERROR(IF(INDEX(tblAccounts[Account Name],ROW()-1)="","",INDEX(tblAccounts[Account Name],ROW()-1)),"")</f>
      </c>
      <c r="E169" s="1">
        <f>IF($D169="","",IFERROR(INDEX(tblAccounts[Opening Balance],ROW()-1),0))</f>
      </c>
      <c r="F169" s="1">
        <f>IF($D169="","",IFERROR(SUMIFS(tblTransactions[Amount],tblTransactions[Transaction Type],"Income",tblTransactions[Source Account],$D169,tblTransactions[Transaction Status],"Completed")+SUMIFS(tblTransactions[Amount],tblTransactions[Transaction Type],"Income",tblTransactions[Source Account],$D169,tblTransactions[Transaction Status],"Reconciled")+SUMIFS(tblTransactions[Amount],tblTransactions[Transaction Type],"Transfer",tblTransactions[Destination Type],"Account",tblTransactions[Destination Name],$D169,tblTransactions[Transaction Status],"Completed")+SUMIFS(tblTransactions[Amount],tblTransactions[Transaction Type],"Transfer",tblTransactions[Destination Type],"Account",tblTransactions[Destination Name],$D169,tblTransactions[Transaction Status],"Reconciled")+SUMIFS(tblTransactions[Amount],tblTransactions[Transaction Type],"Adjustment",tblTransactions[Source Account],$D169,tblTransactions[Transaction Status],"Completed",tblTransactions[Amount],"&gt;0")+SUMIFS(tblTransactions[Amount],tblTransactions[Transaction Type],"Adjustment",tblTransactions[Source Account],$D169,tblTransactions[Transaction Status],"Reconciled",tblTransactions[Amount],"&gt;0"),0))</f>
      </c>
      <c r="G169" s="1">
        <f>IF($D169="","",IFERROR(SUMIFS(tblTransactions[Amount],tblTransactions[Transaction Type],"Expense",tblTransactions[Source Account],$D169,tblTransactions[Transaction Status],"Completed")+SUMIFS(tblTransactions[Amount],tblTransactions[Transaction Type],"Expense",tblTransactions[Source Account],$D169,tblTransactions[Transaction Status],"Reconciled")+SUMIFS(tblTransactions[Amount],tblTransactions[Transaction Type],"Transfer",tblTransactions[Source Account],$D169,tblTransactions[Transaction Status],"Completed")+SUMIFS(tblTransactions[Amount],tblTransactions[Transaction Type],"Transfer",tblTransactions[Source Account],$D169,tblTransactions[Transaction Status],"Reconciled")-SUMIFS(tblTransactions[Amount],tblTransactions[Transaction Type],"Adjustment",tblTransactions[Source Account],$D169,tblTransactions[Transaction Status],"Completed",tblTransactions[Amount],"&lt;0")-SUMIFS(tblTransactions[Amount],tblTransactions[Transaction Type],"Adjustment",tblTransactions[Source Account],$D169,tblTransactions[Transaction Status],"Reconciled",tblTransactions[Amount],"&lt;0"),0))</f>
      </c>
      <c r="H169" s="1">
        <f>IF($D169="","",$E169+$F169-$G169)</f>
      </c>
      <c r="I169" s="4">
        <f>IF($D169="","",IFERROR(LOOKUP(2,1/(((tblTransactions[Source Account]=$D169)+((tblTransactions[Transaction Type]="Transfer")*(tblTransactions[Destination Type]="Account")*(tblTransactions[Destination Name]=$D169)))*((tblTransactions[Transaction Status]="Completed")+(tblTransactions[Transaction Status]="Reconciled"))),tblTransactions[Transaction Date]),""))</f>
      </c>
      <c r="J169" s="1">
        <f>IF($D169="","",IFERROR(INDEX(tblAccounts[Account Type],ROW()-1),""))</f>
      </c>
      <c r="K169" s="1">
        <f>IF($D169="","",IFERROR(INDEX(tblAccounts[Include in Dashboard],ROW()-1),""))</f>
      </c>
      <c r="L169" s="1">
        <f>IF($D169="","",IFERROR(INDEX(tblAccounts[Status],ROW()-1),""))</f>
      </c>
    </row>
    <row r="170">
      <c r="D170" s="1">
        <f>IFERROR(IF(INDEX(tblAccounts[Account Name],ROW()-1)="","",INDEX(tblAccounts[Account Name],ROW()-1)),"")</f>
      </c>
      <c r="E170" s="1">
        <f>IF($D170="","",IFERROR(INDEX(tblAccounts[Opening Balance],ROW()-1),0))</f>
      </c>
      <c r="F170" s="1">
        <f>IF($D170="","",IFERROR(SUMIFS(tblTransactions[Amount],tblTransactions[Transaction Type],"Income",tblTransactions[Source Account],$D170,tblTransactions[Transaction Status],"Completed")+SUMIFS(tblTransactions[Amount],tblTransactions[Transaction Type],"Income",tblTransactions[Source Account],$D170,tblTransactions[Transaction Status],"Reconciled")+SUMIFS(tblTransactions[Amount],tblTransactions[Transaction Type],"Transfer",tblTransactions[Destination Type],"Account",tblTransactions[Destination Name],$D170,tblTransactions[Transaction Status],"Completed")+SUMIFS(tblTransactions[Amount],tblTransactions[Transaction Type],"Transfer",tblTransactions[Destination Type],"Account",tblTransactions[Destination Name],$D170,tblTransactions[Transaction Status],"Reconciled")+SUMIFS(tblTransactions[Amount],tblTransactions[Transaction Type],"Adjustment",tblTransactions[Source Account],$D170,tblTransactions[Transaction Status],"Completed",tblTransactions[Amount],"&gt;0")+SUMIFS(tblTransactions[Amount],tblTransactions[Transaction Type],"Adjustment",tblTransactions[Source Account],$D170,tblTransactions[Transaction Status],"Reconciled",tblTransactions[Amount],"&gt;0"),0))</f>
      </c>
      <c r="G170" s="1">
        <f>IF($D170="","",IFERROR(SUMIFS(tblTransactions[Amount],tblTransactions[Transaction Type],"Expense",tblTransactions[Source Account],$D170,tblTransactions[Transaction Status],"Completed")+SUMIFS(tblTransactions[Amount],tblTransactions[Transaction Type],"Expense",tblTransactions[Source Account],$D170,tblTransactions[Transaction Status],"Reconciled")+SUMIFS(tblTransactions[Amount],tblTransactions[Transaction Type],"Transfer",tblTransactions[Source Account],$D170,tblTransactions[Transaction Status],"Completed")+SUMIFS(tblTransactions[Amount],tblTransactions[Transaction Type],"Transfer",tblTransactions[Source Account],$D170,tblTransactions[Transaction Status],"Reconciled")-SUMIFS(tblTransactions[Amount],tblTransactions[Transaction Type],"Adjustment",tblTransactions[Source Account],$D170,tblTransactions[Transaction Status],"Completed",tblTransactions[Amount],"&lt;0")-SUMIFS(tblTransactions[Amount],tblTransactions[Transaction Type],"Adjustment",tblTransactions[Source Account],$D170,tblTransactions[Transaction Status],"Reconciled",tblTransactions[Amount],"&lt;0"),0))</f>
      </c>
      <c r="H170" s="1">
        <f>IF($D170="","",$E170+$F170-$G170)</f>
      </c>
      <c r="I170" s="4">
        <f>IF($D170="","",IFERROR(LOOKUP(2,1/(((tblTransactions[Source Account]=$D170)+((tblTransactions[Transaction Type]="Transfer")*(tblTransactions[Destination Type]="Account")*(tblTransactions[Destination Name]=$D170)))*((tblTransactions[Transaction Status]="Completed")+(tblTransactions[Transaction Status]="Reconciled"))),tblTransactions[Transaction Date]),""))</f>
      </c>
      <c r="J170" s="1">
        <f>IF($D170="","",IFERROR(INDEX(tblAccounts[Account Type],ROW()-1),""))</f>
      </c>
      <c r="K170" s="1">
        <f>IF($D170="","",IFERROR(INDEX(tblAccounts[Include in Dashboard],ROW()-1),""))</f>
      </c>
      <c r="L170" s="1">
        <f>IF($D170="","",IFERROR(INDEX(tblAccounts[Status],ROW()-1),""))</f>
      </c>
    </row>
    <row r="171">
      <c r="D171" s="1">
        <f>IFERROR(IF(INDEX(tblAccounts[Account Name],ROW()-1)="","",INDEX(tblAccounts[Account Name],ROW()-1)),"")</f>
      </c>
      <c r="E171" s="1">
        <f>IF($D171="","",IFERROR(INDEX(tblAccounts[Opening Balance],ROW()-1),0))</f>
      </c>
      <c r="F171" s="1">
        <f>IF($D171="","",IFERROR(SUMIFS(tblTransactions[Amount],tblTransactions[Transaction Type],"Income",tblTransactions[Source Account],$D171,tblTransactions[Transaction Status],"Completed")+SUMIFS(tblTransactions[Amount],tblTransactions[Transaction Type],"Income",tblTransactions[Source Account],$D171,tblTransactions[Transaction Status],"Reconciled")+SUMIFS(tblTransactions[Amount],tblTransactions[Transaction Type],"Transfer",tblTransactions[Destination Type],"Account",tblTransactions[Destination Name],$D171,tblTransactions[Transaction Status],"Completed")+SUMIFS(tblTransactions[Amount],tblTransactions[Transaction Type],"Transfer",tblTransactions[Destination Type],"Account",tblTransactions[Destination Name],$D171,tblTransactions[Transaction Status],"Reconciled")+SUMIFS(tblTransactions[Amount],tblTransactions[Transaction Type],"Adjustment",tblTransactions[Source Account],$D171,tblTransactions[Transaction Status],"Completed",tblTransactions[Amount],"&gt;0")+SUMIFS(tblTransactions[Amount],tblTransactions[Transaction Type],"Adjustment",tblTransactions[Source Account],$D171,tblTransactions[Transaction Status],"Reconciled",tblTransactions[Amount],"&gt;0"),0))</f>
      </c>
      <c r="G171" s="1">
        <f>IF($D171="","",IFERROR(SUMIFS(tblTransactions[Amount],tblTransactions[Transaction Type],"Expense",tblTransactions[Source Account],$D171,tblTransactions[Transaction Status],"Completed")+SUMIFS(tblTransactions[Amount],tblTransactions[Transaction Type],"Expense",tblTransactions[Source Account],$D171,tblTransactions[Transaction Status],"Reconciled")+SUMIFS(tblTransactions[Amount],tblTransactions[Transaction Type],"Transfer",tblTransactions[Source Account],$D171,tblTransactions[Transaction Status],"Completed")+SUMIFS(tblTransactions[Amount],tblTransactions[Transaction Type],"Transfer",tblTransactions[Source Account],$D171,tblTransactions[Transaction Status],"Reconciled")-SUMIFS(tblTransactions[Amount],tblTransactions[Transaction Type],"Adjustment",tblTransactions[Source Account],$D171,tblTransactions[Transaction Status],"Completed",tblTransactions[Amount],"&lt;0")-SUMIFS(tblTransactions[Amount],tblTransactions[Transaction Type],"Adjustment",tblTransactions[Source Account],$D171,tblTransactions[Transaction Status],"Reconciled",tblTransactions[Amount],"&lt;0"),0))</f>
      </c>
      <c r="H171" s="1">
        <f>IF($D171="","",$E171+$F171-$G171)</f>
      </c>
      <c r="I171" s="4">
        <f>IF($D171="","",IFERROR(LOOKUP(2,1/(((tblTransactions[Source Account]=$D171)+((tblTransactions[Transaction Type]="Transfer")*(tblTransactions[Destination Type]="Account")*(tblTransactions[Destination Name]=$D171)))*((tblTransactions[Transaction Status]="Completed")+(tblTransactions[Transaction Status]="Reconciled"))),tblTransactions[Transaction Date]),""))</f>
      </c>
      <c r="J171" s="1">
        <f>IF($D171="","",IFERROR(INDEX(tblAccounts[Account Type],ROW()-1),""))</f>
      </c>
      <c r="K171" s="1">
        <f>IF($D171="","",IFERROR(INDEX(tblAccounts[Include in Dashboard],ROW()-1),""))</f>
      </c>
      <c r="L171" s="1">
        <f>IF($D171="","",IFERROR(INDEX(tblAccounts[Status],ROW()-1),""))</f>
      </c>
    </row>
    <row r="172">
      <c r="D172" s="1">
        <f>IFERROR(IF(INDEX(tblAccounts[Account Name],ROW()-1)="","",INDEX(tblAccounts[Account Name],ROW()-1)),"")</f>
      </c>
      <c r="E172" s="1">
        <f>IF($D172="","",IFERROR(INDEX(tblAccounts[Opening Balance],ROW()-1),0))</f>
      </c>
      <c r="F172" s="1">
        <f>IF($D172="","",IFERROR(SUMIFS(tblTransactions[Amount],tblTransactions[Transaction Type],"Income",tblTransactions[Source Account],$D172,tblTransactions[Transaction Status],"Completed")+SUMIFS(tblTransactions[Amount],tblTransactions[Transaction Type],"Income",tblTransactions[Source Account],$D172,tblTransactions[Transaction Status],"Reconciled")+SUMIFS(tblTransactions[Amount],tblTransactions[Transaction Type],"Transfer",tblTransactions[Destination Type],"Account",tblTransactions[Destination Name],$D172,tblTransactions[Transaction Status],"Completed")+SUMIFS(tblTransactions[Amount],tblTransactions[Transaction Type],"Transfer",tblTransactions[Destination Type],"Account",tblTransactions[Destination Name],$D172,tblTransactions[Transaction Status],"Reconciled")+SUMIFS(tblTransactions[Amount],tblTransactions[Transaction Type],"Adjustment",tblTransactions[Source Account],$D172,tblTransactions[Transaction Status],"Completed",tblTransactions[Amount],"&gt;0")+SUMIFS(tblTransactions[Amount],tblTransactions[Transaction Type],"Adjustment",tblTransactions[Source Account],$D172,tblTransactions[Transaction Status],"Reconciled",tblTransactions[Amount],"&gt;0"),0))</f>
      </c>
      <c r="G172" s="1">
        <f>IF($D172="","",IFERROR(SUMIFS(tblTransactions[Amount],tblTransactions[Transaction Type],"Expense",tblTransactions[Source Account],$D172,tblTransactions[Transaction Status],"Completed")+SUMIFS(tblTransactions[Amount],tblTransactions[Transaction Type],"Expense",tblTransactions[Source Account],$D172,tblTransactions[Transaction Status],"Reconciled")+SUMIFS(tblTransactions[Amount],tblTransactions[Transaction Type],"Transfer",tblTransactions[Source Account],$D172,tblTransactions[Transaction Status],"Completed")+SUMIFS(tblTransactions[Amount],tblTransactions[Transaction Type],"Transfer",tblTransactions[Source Account],$D172,tblTransactions[Transaction Status],"Reconciled")-SUMIFS(tblTransactions[Amount],tblTransactions[Transaction Type],"Adjustment",tblTransactions[Source Account],$D172,tblTransactions[Transaction Status],"Completed",tblTransactions[Amount],"&lt;0")-SUMIFS(tblTransactions[Amount],tblTransactions[Transaction Type],"Adjustment",tblTransactions[Source Account],$D172,tblTransactions[Transaction Status],"Reconciled",tblTransactions[Amount],"&lt;0"),0))</f>
      </c>
      <c r="H172" s="1">
        <f>IF($D172="","",$E172+$F172-$G172)</f>
      </c>
      <c r="I172" s="4">
        <f>IF($D172="","",IFERROR(LOOKUP(2,1/(((tblTransactions[Source Account]=$D172)+((tblTransactions[Transaction Type]="Transfer")*(tblTransactions[Destination Type]="Account")*(tblTransactions[Destination Name]=$D172)))*((tblTransactions[Transaction Status]="Completed")+(tblTransactions[Transaction Status]="Reconciled"))),tblTransactions[Transaction Date]),""))</f>
      </c>
      <c r="J172" s="1">
        <f>IF($D172="","",IFERROR(INDEX(tblAccounts[Account Type],ROW()-1),""))</f>
      </c>
      <c r="K172" s="1">
        <f>IF($D172="","",IFERROR(INDEX(tblAccounts[Include in Dashboard],ROW()-1),""))</f>
      </c>
      <c r="L172" s="1">
        <f>IF($D172="","",IFERROR(INDEX(tblAccounts[Status],ROW()-1),""))</f>
      </c>
    </row>
    <row r="173">
      <c r="D173" s="1">
        <f>IFERROR(IF(INDEX(tblAccounts[Account Name],ROW()-1)="","",INDEX(tblAccounts[Account Name],ROW()-1)),"")</f>
      </c>
      <c r="E173" s="1">
        <f>IF($D173="","",IFERROR(INDEX(tblAccounts[Opening Balance],ROW()-1),0))</f>
      </c>
      <c r="F173" s="1">
        <f>IF($D173="","",IFERROR(SUMIFS(tblTransactions[Amount],tblTransactions[Transaction Type],"Income",tblTransactions[Source Account],$D173,tblTransactions[Transaction Status],"Completed")+SUMIFS(tblTransactions[Amount],tblTransactions[Transaction Type],"Income",tblTransactions[Source Account],$D173,tblTransactions[Transaction Status],"Reconciled")+SUMIFS(tblTransactions[Amount],tblTransactions[Transaction Type],"Transfer",tblTransactions[Destination Type],"Account",tblTransactions[Destination Name],$D173,tblTransactions[Transaction Status],"Completed")+SUMIFS(tblTransactions[Amount],tblTransactions[Transaction Type],"Transfer",tblTransactions[Destination Type],"Account",tblTransactions[Destination Name],$D173,tblTransactions[Transaction Status],"Reconciled")+SUMIFS(tblTransactions[Amount],tblTransactions[Transaction Type],"Adjustment",tblTransactions[Source Account],$D173,tblTransactions[Transaction Status],"Completed",tblTransactions[Amount],"&gt;0")+SUMIFS(tblTransactions[Amount],tblTransactions[Transaction Type],"Adjustment",tblTransactions[Source Account],$D173,tblTransactions[Transaction Status],"Reconciled",tblTransactions[Amount],"&gt;0"),0))</f>
      </c>
      <c r="G173" s="1">
        <f>IF($D173="","",IFERROR(SUMIFS(tblTransactions[Amount],tblTransactions[Transaction Type],"Expense",tblTransactions[Source Account],$D173,tblTransactions[Transaction Status],"Completed")+SUMIFS(tblTransactions[Amount],tblTransactions[Transaction Type],"Expense",tblTransactions[Source Account],$D173,tblTransactions[Transaction Status],"Reconciled")+SUMIFS(tblTransactions[Amount],tblTransactions[Transaction Type],"Transfer",tblTransactions[Source Account],$D173,tblTransactions[Transaction Status],"Completed")+SUMIFS(tblTransactions[Amount],tblTransactions[Transaction Type],"Transfer",tblTransactions[Source Account],$D173,tblTransactions[Transaction Status],"Reconciled")-SUMIFS(tblTransactions[Amount],tblTransactions[Transaction Type],"Adjustment",tblTransactions[Source Account],$D173,tblTransactions[Transaction Status],"Completed",tblTransactions[Amount],"&lt;0")-SUMIFS(tblTransactions[Amount],tblTransactions[Transaction Type],"Adjustment",tblTransactions[Source Account],$D173,tblTransactions[Transaction Status],"Reconciled",tblTransactions[Amount],"&lt;0"),0))</f>
      </c>
      <c r="H173" s="1">
        <f>IF($D173="","",$E173+$F173-$G173)</f>
      </c>
      <c r="I173" s="4">
        <f>IF($D173="","",IFERROR(LOOKUP(2,1/(((tblTransactions[Source Account]=$D173)+((tblTransactions[Transaction Type]="Transfer")*(tblTransactions[Destination Type]="Account")*(tblTransactions[Destination Name]=$D173)))*((tblTransactions[Transaction Status]="Completed")+(tblTransactions[Transaction Status]="Reconciled"))),tblTransactions[Transaction Date]),""))</f>
      </c>
      <c r="J173" s="1">
        <f>IF($D173="","",IFERROR(INDEX(tblAccounts[Account Type],ROW()-1),""))</f>
      </c>
      <c r="K173" s="1">
        <f>IF($D173="","",IFERROR(INDEX(tblAccounts[Include in Dashboard],ROW()-1),""))</f>
      </c>
      <c r="L173" s="1">
        <f>IF($D173="","",IFERROR(INDEX(tblAccounts[Status],ROW()-1),""))</f>
      </c>
    </row>
    <row r="174">
      <c r="D174" s="1">
        <f>IFERROR(IF(INDEX(tblAccounts[Account Name],ROW()-1)="","",INDEX(tblAccounts[Account Name],ROW()-1)),"")</f>
      </c>
      <c r="E174" s="1">
        <f>IF($D174="","",IFERROR(INDEX(tblAccounts[Opening Balance],ROW()-1),0))</f>
      </c>
      <c r="F174" s="1">
        <f>IF($D174="","",IFERROR(SUMIFS(tblTransactions[Amount],tblTransactions[Transaction Type],"Income",tblTransactions[Source Account],$D174,tblTransactions[Transaction Status],"Completed")+SUMIFS(tblTransactions[Amount],tblTransactions[Transaction Type],"Income",tblTransactions[Source Account],$D174,tblTransactions[Transaction Status],"Reconciled")+SUMIFS(tblTransactions[Amount],tblTransactions[Transaction Type],"Transfer",tblTransactions[Destination Type],"Account",tblTransactions[Destination Name],$D174,tblTransactions[Transaction Status],"Completed")+SUMIFS(tblTransactions[Amount],tblTransactions[Transaction Type],"Transfer",tblTransactions[Destination Type],"Account",tblTransactions[Destination Name],$D174,tblTransactions[Transaction Status],"Reconciled")+SUMIFS(tblTransactions[Amount],tblTransactions[Transaction Type],"Adjustment",tblTransactions[Source Account],$D174,tblTransactions[Transaction Status],"Completed",tblTransactions[Amount],"&gt;0")+SUMIFS(tblTransactions[Amount],tblTransactions[Transaction Type],"Adjustment",tblTransactions[Source Account],$D174,tblTransactions[Transaction Status],"Reconciled",tblTransactions[Amount],"&gt;0"),0))</f>
      </c>
      <c r="G174" s="1">
        <f>IF($D174="","",IFERROR(SUMIFS(tblTransactions[Amount],tblTransactions[Transaction Type],"Expense",tblTransactions[Source Account],$D174,tblTransactions[Transaction Status],"Completed")+SUMIFS(tblTransactions[Amount],tblTransactions[Transaction Type],"Expense",tblTransactions[Source Account],$D174,tblTransactions[Transaction Status],"Reconciled")+SUMIFS(tblTransactions[Amount],tblTransactions[Transaction Type],"Transfer",tblTransactions[Source Account],$D174,tblTransactions[Transaction Status],"Completed")+SUMIFS(tblTransactions[Amount],tblTransactions[Transaction Type],"Transfer",tblTransactions[Source Account],$D174,tblTransactions[Transaction Status],"Reconciled")-SUMIFS(tblTransactions[Amount],tblTransactions[Transaction Type],"Adjustment",tblTransactions[Source Account],$D174,tblTransactions[Transaction Status],"Completed",tblTransactions[Amount],"&lt;0")-SUMIFS(tblTransactions[Amount],tblTransactions[Transaction Type],"Adjustment",tblTransactions[Source Account],$D174,tblTransactions[Transaction Status],"Reconciled",tblTransactions[Amount],"&lt;0"),0))</f>
      </c>
      <c r="H174" s="1">
        <f>IF($D174="","",$E174+$F174-$G174)</f>
      </c>
      <c r="I174" s="4">
        <f>IF($D174="","",IFERROR(LOOKUP(2,1/(((tblTransactions[Source Account]=$D174)+((tblTransactions[Transaction Type]="Transfer")*(tblTransactions[Destination Type]="Account")*(tblTransactions[Destination Name]=$D174)))*((tblTransactions[Transaction Status]="Completed")+(tblTransactions[Transaction Status]="Reconciled"))),tblTransactions[Transaction Date]),""))</f>
      </c>
      <c r="J174" s="1">
        <f>IF($D174="","",IFERROR(INDEX(tblAccounts[Account Type],ROW()-1),""))</f>
      </c>
      <c r="K174" s="1">
        <f>IF($D174="","",IFERROR(INDEX(tblAccounts[Include in Dashboard],ROW()-1),""))</f>
      </c>
      <c r="L174" s="1">
        <f>IF($D174="","",IFERROR(INDEX(tblAccounts[Status],ROW()-1),""))</f>
      </c>
    </row>
    <row r="175">
      <c r="D175" s="1">
        <f>IFERROR(IF(INDEX(tblAccounts[Account Name],ROW()-1)="","",INDEX(tblAccounts[Account Name],ROW()-1)),"")</f>
      </c>
      <c r="E175" s="1">
        <f>IF($D175="","",IFERROR(INDEX(tblAccounts[Opening Balance],ROW()-1),0))</f>
      </c>
      <c r="F175" s="1">
        <f>IF($D175="","",IFERROR(SUMIFS(tblTransactions[Amount],tblTransactions[Transaction Type],"Income",tblTransactions[Source Account],$D175,tblTransactions[Transaction Status],"Completed")+SUMIFS(tblTransactions[Amount],tblTransactions[Transaction Type],"Income",tblTransactions[Source Account],$D175,tblTransactions[Transaction Status],"Reconciled")+SUMIFS(tblTransactions[Amount],tblTransactions[Transaction Type],"Transfer",tblTransactions[Destination Type],"Account",tblTransactions[Destination Name],$D175,tblTransactions[Transaction Status],"Completed")+SUMIFS(tblTransactions[Amount],tblTransactions[Transaction Type],"Transfer",tblTransactions[Destination Type],"Account",tblTransactions[Destination Name],$D175,tblTransactions[Transaction Status],"Reconciled")+SUMIFS(tblTransactions[Amount],tblTransactions[Transaction Type],"Adjustment",tblTransactions[Source Account],$D175,tblTransactions[Transaction Status],"Completed",tblTransactions[Amount],"&gt;0")+SUMIFS(tblTransactions[Amount],tblTransactions[Transaction Type],"Adjustment",tblTransactions[Source Account],$D175,tblTransactions[Transaction Status],"Reconciled",tblTransactions[Amount],"&gt;0"),0))</f>
      </c>
      <c r="G175" s="1">
        <f>IF($D175="","",IFERROR(SUMIFS(tblTransactions[Amount],tblTransactions[Transaction Type],"Expense",tblTransactions[Source Account],$D175,tblTransactions[Transaction Status],"Completed")+SUMIFS(tblTransactions[Amount],tblTransactions[Transaction Type],"Expense",tblTransactions[Source Account],$D175,tblTransactions[Transaction Status],"Reconciled")+SUMIFS(tblTransactions[Amount],tblTransactions[Transaction Type],"Transfer",tblTransactions[Source Account],$D175,tblTransactions[Transaction Status],"Completed")+SUMIFS(tblTransactions[Amount],tblTransactions[Transaction Type],"Transfer",tblTransactions[Source Account],$D175,tblTransactions[Transaction Status],"Reconciled")-SUMIFS(tblTransactions[Amount],tblTransactions[Transaction Type],"Adjustment",tblTransactions[Source Account],$D175,tblTransactions[Transaction Status],"Completed",tblTransactions[Amount],"&lt;0")-SUMIFS(tblTransactions[Amount],tblTransactions[Transaction Type],"Adjustment",tblTransactions[Source Account],$D175,tblTransactions[Transaction Status],"Reconciled",tblTransactions[Amount],"&lt;0"),0))</f>
      </c>
      <c r="H175" s="1">
        <f>IF($D175="","",$E175+$F175-$G175)</f>
      </c>
      <c r="I175" s="4">
        <f>IF($D175="","",IFERROR(LOOKUP(2,1/(((tblTransactions[Source Account]=$D175)+((tblTransactions[Transaction Type]="Transfer")*(tblTransactions[Destination Type]="Account")*(tblTransactions[Destination Name]=$D175)))*((tblTransactions[Transaction Status]="Completed")+(tblTransactions[Transaction Status]="Reconciled"))),tblTransactions[Transaction Date]),""))</f>
      </c>
      <c r="J175" s="1">
        <f>IF($D175="","",IFERROR(INDEX(tblAccounts[Account Type],ROW()-1),""))</f>
      </c>
      <c r="K175" s="1">
        <f>IF($D175="","",IFERROR(INDEX(tblAccounts[Include in Dashboard],ROW()-1),""))</f>
      </c>
      <c r="L175" s="1">
        <f>IF($D175="","",IFERROR(INDEX(tblAccounts[Status],ROW()-1),""))</f>
      </c>
    </row>
    <row r="176">
      <c r="D176" s="1">
        <f>IFERROR(IF(INDEX(tblAccounts[Account Name],ROW()-1)="","",INDEX(tblAccounts[Account Name],ROW()-1)),"")</f>
      </c>
      <c r="E176" s="1">
        <f>IF($D176="","",IFERROR(INDEX(tblAccounts[Opening Balance],ROW()-1),0))</f>
      </c>
      <c r="F176" s="1">
        <f>IF($D176="","",IFERROR(SUMIFS(tblTransactions[Amount],tblTransactions[Transaction Type],"Income",tblTransactions[Source Account],$D176,tblTransactions[Transaction Status],"Completed")+SUMIFS(tblTransactions[Amount],tblTransactions[Transaction Type],"Income",tblTransactions[Source Account],$D176,tblTransactions[Transaction Status],"Reconciled")+SUMIFS(tblTransactions[Amount],tblTransactions[Transaction Type],"Transfer",tblTransactions[Destination Type],"Account",tblTransactions[Destination Name],$D176,tblTransactions[Transaction Status],"Completed")+SUMIFS(tblTransactions[Amount],tblTransactions[Transaction Type],"Transfer",tblTransactions[Destination Type],"Account",tblTransactions[Destination Name],$D176,tblTransactions[Transaction Status],"Reconciled")+SUMIFS(tblTransactions[Amount],tblTransactions[Transaction Type],"Adjustment",tblTransactions[Source Account],$D176,tblTransactions[Transaction Status],"Completed",tblTransactions[Amount],"&gt;0")+SUMIFS(tblTransactions[Amount],tblTransactions[Transaction Type],"Adjustment",tblTransactions[Source Account],$D176,tblTransactions[Transaction Status],"Reconciled",tblTransactions[Amount],"&gt;0"),0))</f>
      </c>
      <c r="G176" s="1">
        <f>IF($D176="","",IFERROR(SUMIFS(tblTransactions[Amount],tblTransactions[Transaction Type],"Expense",tblTransactions[Source Account],$D176,tblTransactions[Transaction Status],"Completed")+SUMIFS(tblTransactions[Amount],tblTransactions[Transaction Type],"Expense",tblTransactions[Source Account],$D176,tblTransactions[Transaction Status],"Reconciled")+SUMIFS(tblTransactions[Amount],tblTransactions[Transaction Type],"Transfer",tblTransactions[Source Account],$D176,tblTransactions[Transaction Status],"Completed")+SUMIFS(tblTransactions[Amount],tblTransactions[Transaction Type],"Transfer",tblTransactions[Source Account],$D176,tblTransactions[Transaction Status],"Reconciled")-SUMIFS(tblTransactions[Amount],tblTransactions[Transaction Type],"Adjustment",tblTransactions[Source Account],$D176,tblTransactions[Transaction Status],"Completed",tblTransactions[Amount],"&lt;0")-SUMIFS(tblTransactions[Amount],tblTransactions[Transaction Type],"Adjustment",tblTransactions[Source Account],$D176,tblTransactions[Transaction Status],"Reconciled",tblTransactions[Amount],"&lt;0"),0))</f>
      </c>
      <c r="H176" s="1">
        <f>IF($D176="","",$E176+$F176-$G176)</f>
      </c>
      <c r="I176" s="4">
        <f>IF($D176="","",IFERROR(LOOKUP(2,1/(((tblTransactions[Source Account]=$D176)+((tblTransactions[Transaction Type]="Transfer")*(tblTransactions[Destination Type]="Account")*(tblTransactions[Destination Name]=$D176)))*((tblTransactions[Transaction Status]="Completed")+(tblTransactions[Transaction Status]="Reconciled"))),tblTransactions[Transaction Date]),""))</f>
      </c>
      <c r="J176" s="1">
        <f>IF($D176="","",IFERROR(INDEX(tblAccounts[Account Type],ROW()-1),""))</f>
      </c>
      <c r="K176" s="1">
        <f>IF($D176="","",IFERROR(INDEX(tblAccounts[Include in Dashboard],ROW()-1),""))</f>
      </c>
      <c r="L176" s="1">
        <f>IF($D176="","",IFERROR(INDEX(tblAccounts[Status],ROW()-1),""))</f>
      </c>
    </row>
    <row r="177">
      <c r="D177" s="1">
        <f>IFERROR(IF(INDEX(tblAccounts[Account Name],ROW()-1)="","",INDEX(tblAccounts[Account Name],ROW()-1)),"")</f>
      </c>
      <c r="E177" s="1">
        <f>IF($D177="","",IFERROR(INDEX(tblAccounts[Opening Balance],ROW()-1),0))</f>
      </c>
      <c r="F177" s="1">
        <f>IF($D177="","",IFERROR(SUMIFS(tblTransactions[Amount],tblTransactions[Transaction Type],"Income",tblTransactions[Source Account],$D177,tblTransactions[Transaction Status],"Completed")+SUMIFS(tblTransactions[Amount],tblTransactions[Transaction Type],"Income",tblTransactions[Source Account],$D177,tblTransactions[Transaction Status],"Reconciled")+SUMIFS(tblTransactions[Amount],tblTransactions[Transaction Type],"Transfer",tblTransactions[Destination Type],"Account",tblTransactions[Destination Name],$D177,tblTransactions[Transaction Status],"Completed")+SUMIFS(tblTransactions[Amount],tblTransactions[Transaction Type],"Transfer",tblTransactions[Destination Type],"Account",tblTransactions[Destination Name],$D177,tblTransactions[Transaction Status],"Reconciled")+SUMIFS(tblTransactions[Amount],tblTransactions[Transaction Type],"Adjustment",tblTransactions[Source Account],$D177,tblTransactions[Transaction Status],"Completed",tblTransactions[Amount],"&gt;0")+SUMIFS(tblTransactions[Amount],tblTransactions[Transaction Type],"Adjustment",tblTransactions[Source Account],$D177,tblTransactions[Transaction Status],"Reconciled",tblTransactions[Amount],"&gt;0"),0))</f>
      </c>
      <c r="G177" s="1">
        <f>IF($D177="","",IFERROR(SUMIFS(tblTransactions[Amount],tblTransactions[Transaction Type],"Expense",tblTransactions[Source Account],$D177,tblTransactions[Transaction Status],"Completed")+SUMIFS(tblTransactions[Amount],tblTransactions[Transaction Type],"Expense",tblTransactions[Source Account],$D177,tblTransactions[Transaction Status],"Reconciled")+SUMIFS(tblTransactions[Amount],tblTransactions[Transaction Type],"Transfer",tblTransactions[Source Account],$D177,tblTransactions[Transaction Status],"Completed")+SUMIFS(tblTransactions[Amount],tblTransactions[Transaction Type],"Transfer",tblTransactions[Source Account],$D177,tblTransactions[Transaction Status],"Reconciled")-SUMIFS(tblTransactions[Amount],tblTransactions[Transaction Type],"Adjustment",tblTransactions[Source Account],$D177,tblTransactions[Transaction Status],"Completed",tblTransactions[Amount],"&lt;0")-SUMIFS(tblTransactions[Amount],tblTransactions[Transaction Type],"Adjustment",tblTransactions[Source Account],$D177,tblTransactions[Transaction Status],"Reconciled",tblTransactions[Amount],"&lt;0"),0))</f>
      </c>
      <c r="H177" s="1">
        <f>IF($D177="","",$E177+$F177-$G177)</f>
      </c>
      <c r="I177" s="4">
        <f>IF($D177="","",IFERROR(LOOKUP(2,1/(((tblTransactions[Source Account]=$D177)+((tblTransactions[Transaction Type]="Transfer")*(tblTransactions[Destination Type]="Account")*(tblTransactions[Destination Name]=$D177)))*((tblTransactions[Transaction Status]="Completed")+(tblTransactions[Transaction Status]="Reconciled"))),tblTransactions[Transaction Date]),""))</f>
      </c>
      <c r="J177" s="1">
        <f>IF($D177="","",IFERROR(INDEX(tblAccounts[Account Type],ROW()-1),""))</f>
      </c>
      <c r="K177" s="1">
        <f>IF($D177="","",IFERROR(INDEX(tblAccounts[Include in Dashboard],ROW()-1),""))</f>
      </c>
      <c r="L177" s="1">
        <f>IF($D177="","",IFERROR(INDEX(tblAccounts[Status],ROW()-1),""))</f>
      </c>
    </row>
    <row r="178">
      <c r="D178" s="1">
        <f>IFERROR(IF(INDEX(tblAccounts[Account Name],ROW()-1)="","",INDEX(tblAccounts[Account Name],ROW()-1)),"")</f>
      </c>
      <c r="E178" s="1">
        <f>IF($D178="","",IFERROR(INDEX(tblAccounts[Opening Balance],ROW()-1),0))</f>
      </c>
      <c r="F178" s="1">
        <f>IF($D178="","",IFERROR(SUMIFS(tblTransactions[Amount],tblTransactions[Transaction Type],"Income",tblTransactions[Source Account],$D178,tblTransactions[Transaction Status],"Completed")+SUMIFS(tblTransactions[Amount],tblTransactions[Transaction Type],"Income",tblTransactions[Source Account],$D178,tblTransactions[Transaction Status],"Reconciled")+SUMIFS(tblTransactions[Amount],tblTransactions[Transaction Type],"Transfer",tblTransactions[Destination Type],"Account",tblTransactions[Destination Name],$D178,tblTransactions[Transaction Status],"Completed")+SUMIFS(tblTransactions[Amount],tblTransactions[Transaction Type],"Transfer",tblTransactions[Destination Type],"Account",tblTransactions[Destination Name],$D178,tblTransactions[Transaction Status],"Reconciled")+SUMIFS(tblTransactions[Amount],tblTransactions[Transaction Type],"Adjustment",tblTransactions[Source Account],$D178,tblTransactions[Transaction Status],"Completed",tblTransactions[Amount],"&gt;0")+SUMIFS(tblTransactions[Amount],tblTransactions[Transaction Type],"Adjustment",tblTransactions[Source Account],$D178,tblTransactions[Transaction Status],"Reconciled",tblTransactions[Amount],"&gt;0"),0))</f>
      </c>
      <c r="G178" s="1">
        <f>IF($D178="","",IFERROR(SUMIFS(tblTransactions[Amount],tblTransactions[Transaction Type],"Expense",tblTransactions[Source Account],$D178,tblTransactions[Transaction Status],"Completed")+SUMIFS(tblTransactions[Amount],tblTransactions[Transaction Type],"Expense",tblTransactions[Source Account],$D178,tblTransactions[Transaction Status],"Reconciled")+SUMIFS(tblTransactions[Amount],tblTransactions[Transaction Type],"Transfer",tblTransactions[Source Account],$D178,tblTransactions[Transaction Status],"Completed")+SUMIFS(tblTransactions[Amount],tblTransactions[Transaction Type],"Transfer",tblTransactions[Source Account],$D178,tblTransactions[Transaction Status],"Reconciled")-SUMIFS(tblTransactions[Amount],tblTransactions[Transaction Type],"Adjustment",tblTransactions[Source Account],$D178,tblTransactions[Transaction Status],"Completed",tblTransactions[Amount],"&lt;0")-SUMIFS(tblTransactions[Amount],tblTransactions[Transaction Type],"Adjustment",tblTransactions[Source Account],$D178,tblTransactions[Transaction Status],"Reconciled",tblTransactions[Amount],"&lt;0"),0))</f>
      </c>
      <c r="H178" s="1">
        <f>IF($D178="","",$E178+$F178-$G178)</f>
      </c>
      <c r="I178" s="4">
        <f>IF($D178="","",IFERROR(LOOKUP(2,1/(((tblTransactions[Source Account]=$D178)+((tblTransactions[Transaction Type]="Transfer")*(tblTransactions[Destination Type]="Account")*(tblTransactions[Destination Name]=$D178)))*((tblTransactions[Transaction Status]="Completed")+(tblTransactions[Transaction Status]="Reconciled"))),tblTransactions[Transaction Date]),""))</f>
      </c>
      <c r="J178" s="1">
        <f>IF($D178="","",IFERROR(INDEX(tblAccounts[Account Type],ROW()-1),""))</f>
      </c>
      <c r="K178" s="1">
        <f>IF($D178="","",IFERROR(INDEX(tblAccounts[Include in Dashboard],ROW()-1),""))</f>
      </c>
      <c r="L178" s="1">
        <f>IF($D178="","",IFERROR(INDEX(tblAccounts[Status],ROW()-1),""))</f>
      </c>
    </row>
    <row r="179">
      <c r="D179" s="1">
        <f>IFERROR(IF(INDEX(tblAccounts[Account Name],ROW()-1)="","",INDEX(tblAccounts[Account Name],ROW()-1)),"")</f>
      </c>
      <c r="E179" s="1">
        <f>IF($D179="","",IFERROR(INDEX(tblAccounts[Opening Balance],ROW()-1),0))</f>
      </c>
      <c r="F179" s="1">
        <f>IF($D179="","",IFERROR(SUMIFS(tblTransactions[Amount],tblTransactions[Transaction Type],"Income",tblTransactions[Source Account],$D179,tblTransactions[Transaction Status],"Completed")+SUMIFS(tblTransactions[Amount],tblTransactions[Transaction Type],"Income",tblTransactions[Source Account],$D179,tblTransactions[Transaction Status],"Reconciled")+SUMIFS(tblTransactions[Amount],tblTransactions[Transaction Type],"Transfer",tblTransactions[Destination Type],"Account",tblTransactions[Destination Name],$D179,tblTransactions[Transaction Status],"Completed")+SUMIFS(tblTransactions[Amount],tblTransactions[Transaction Type],"Transfer",tblTransactions[Destination Type],"Account",tblTransactions[Destination Name],$D179,tblTransactions[Transaction Status],"Reconciled")+SUMIFS(tblTransactions[Amount],tblTransactions[Transaction Type],"Adjustment",tblTransactions[Source Account],$D179,tblTransactions[Transaction Status],"Completed",tblTransactions[Amount],"&gt;0")+SUMIFS(tblTransactions[Amount],tblTransactions[Transaction Type],"Adjustment",tblTransactions[Source Account],$D179,tblTransactions[Transaction Status],"Reconciled",tblTransactions[Amount],"&gt;0"),0))</f>
      </c>
      <c r="G179" s="1">
        <f>IF($D179="","",IFERROR(SUMIFS(tblTransactions[Amount],tblTransactions[Transaction Type],"Expense",tblTransactions[Source Account],$D179,tblTransactions[Transaction Status],"Completed")+SUMIFS(tblTransactions[Amount],tblTransactions[Transaction Type],"Expense",tblTransactions[Source Account],$D179,tblTransactions[Transaction Status],"Reconciled")+SUMIFS(tblTransactions[Amount],tblTransactions[Transaction Type],"Transfer",tblTransactions[Source Account],$D179,tblTransactions[Transaction Status],"Completed")+SUMIFS(tblTransactions[Amount],tblTransactions[Transaction Type],"Transfer",tblTransactions[Source Account],$D179,tblTransactions[Transaction Status],"Reconciled")-SUMIFS(tblTransactions[Amount],tblTransactions[Transaction Type],"Adjustment",tblTransactions[Source Account],$D179,tblTransactions[Transaction Status],"Completed",tblTransactions[Amount],"&lt;0")-SUMIFS(tblTransactions[Amount],tblTransactions[Transaction Type],"Adjustment",tblTransactions[Source Account],$D179,tblTransactions[Transaction Status],"Reconciled",tblTransactions[Amount],"&lt;0"),0))</f>
      </c>
      <c r="H179" s="1">
        <f>IF($D179="","",$E179+$F179-$G179)</f>
      </c>
      <c r="I179" s="4">
        <f>IF($D179="","",IFERROR(LOOKUP(2,1/(((tblTransactions[Source Account]=$D179)+((tblTransactions[Transaction Type]="Transfer")*(tblTransactions[Destination Type]="Account")*(tblTransactions[Destination Name]=$D179)))*((tblTransactions[Transaction Status]="Completed")+(tblTransactions[Transaction Status]="Reconciled"))),tblTransactions[Transaction Date]),""))</f>
      </c>
      <c r="J179" s="1">
        <f>IF($D179="","",IFERROR(INDEX(tblAccounts[Account Type],ROW()-1),""))</f>
      </c>
      <c r="K179" s="1">
        <f>IF($D179="","",IFERROR(INDEX(tblAccounts[Include in Dashboard],ROW()-1),""))</f>
      </c>
      <c r="L179" s="1">
        <f>IF($D179="","",IFERROR(INDEX(tblAccounts[Status],ROW()-1),""))</f>
      </c>
    </row>
    <row r="180">
      <c r="D180" s="1">
        <f>IFERROR(IF(INDEX(tblAccounts[Account Name],ROW()-1)="","",INDEX(tblAccounts[Account Name],ROW()-1)),"")</f>
      </c>
      <c r="E180" s="1">
        <f>IF($D180="","",IFERROR(INDEX(tblAccounts[Opening Balance],ROW()-1),0))</f>
      </c>
      <c r="F180" s="1">
        <f>IF($D180="","",IFERROR(SUMIFS(tblTransactions[Amount],tblTransactions[Transaction Type],"Income",tblTransactions[Source Account],$D180,tblTransactions[Transaction Status],"Completed")+SUMIFS(tblTransactions[Amount],tblTransactions[Transaction Type],"Income",tblTransactions[Source Account],$D180,tblTransactions[Transaction Status],"Reconciled")+SUMIFS(tblTransactions[Amount],tblTransactions[Transaction Type],"Transfer",tblTransactions[Destination Type],"Account",tblTransactions[Destination Name],$D180,tblTransactions[Transaction Status],"Completed")+SUMIFS(tblTransactions[Amount],tblTransactions[Transaction Type],"Transfer",tblTransactions[Destination Type],"Account",tblTransactions[Destination Name],$D180,tblTransactions[Transaction Status],"Reconciled")+SUMIFS(tblTransactions[Amount],tblTransactions[Transaction Type],"Adjustment",tblTransactions[Source Account],$D180,tblTransactions[Transaction Status],"Completed",tblTransactions[Amount],"&gt;0")+SUMIFS(tblTransactions[Amount],tblTransactions[Transaction Type],"Adjustment",tblTransactions[Source Account],$D180,tblTransactions[Transaction Status],"Reconciled",tblTransactions[Amount],"&gt;0"),0))</f>
      </c>
      <c r="G180" s="1">
        <f>IF($D180="","",IFERROR(SUMIFS(tblTransactions[Amount],tblTransactions[Transaction Type],"Expense",tblTransactions[Source Account],$D180,tblTransactions[Transaction Status],"Completed")+SUMIFS(tblTransactions[Amount],tblTransactions[Transaction Type],"Expense",tblTransactions[Source Account],$D180,tblTransactions[Transaction Status],"Reconciled")+SUMIFS(tblTransactions[Amount],tblTransactions[Transaction Type],"Transfer",tblTransactions[Source Account],$D180,tblTransactions[Transaction Status],"Completed")+SUMIFS(tblTransactions[Amount],tblTransactions[Transaction Type],"Transfer",tblTransactions[Source Account],$D180,tblTransactions[Transaction Status],"Reconciled")-SUMIFS(tblTransactions[Amount],tblTransactions[Transaction Type],"Adjustment",tblTransactions[Source Account],$D180,tblTransactions[Transaction Status],"Completed",tblTransactions[Amount],"&lt;0")-SUMIFS(tblTransactions[Amount],tblTransactions[Transaction Type],"Adjustment",tblTransactions[Source Account],$D180,tblTransactions[Transaction Status],"Reconciled",tblTransactions[Amount],"&lt;0"),0))</f>
      </c>
      <c r="H180" s="1">
        <f>IF($D180="","",$E180+$F180-$G180)</f>
      </c>
      <c r="I180" s="4">
        <f>IF($D180="","",IFERROR(LOOKUP(2,1/(((tblTransactions[Source Account]=$D180)+((tblTransactions[Transaction Type]="Transfer")*(tblTransactions[Destination Type]="Account")*(tblTransactions[Destination Name]=$D180)))*((tblTransactions[Transaction Status]="Completed")+(tblTransactions[Transaction Status]="Reconciled"))),tblTransactions[Transaction Date]),""))</f>
      </c>
      <c r="J180" s="1">
        <f>IF($D180="","",IFERROR(INDEX(tblAccounts[Account Type],ROW()-1),""))</f>
      </c>
      <c r="K180" s="1">
        <f>IF($D180="","",IFERROR(INDEX(tblAccounts[Include in Dashboard],ROW()-1),""))</f>
      </c>
      <c r="L180" s="1">
        <f>IF($D180="","",IFERROR(INDEX(tblAccounts[Status],ROW()-1),""))</f>
      </c>
    </row>
    <row r="181">
      <c r="D181" s="1">
        <f>IFERROR(IF(INDEX(tblAccounts[Account Name],ROW()-1)="","",INDEX(tblAccounts[Account Name],ROW()-1)),"")</f>
      </c>
      <c r="E181" s="1">
        <f>IF($D181="","",IFERROR(INDEX(tblAccounts[Opening Balance],ROW()-1),0))</f>
      </c>
      <c r="F181" s="1">
        <f>IF($D181="","",IFERROR(SUMIFS(tblTransactions[Amount],tblTransactions[Transaction Type],"Income",tblTransactions[Source Account],$D181,tblTransactions[Transaction Status],"Completed")+SUMIFS(tblTransactions[Amount],tblTransactions[Transaction Type],"Income",tblTransactions[Source Account],$D181,tblTransactions[Transaction Status],"Reconciled")+SUMIFS(tblTransactions[Amount],tblTransactions[Transaction Type],"Transfer",tblTransactions[Destination Type],"Account",tblTransactions[Destination Name],$D181,tblTransactions[Transaction Status],"Completed")+SUMIFS(tblTransactions[Amount],tblTransactions[Transaction Type],"Transfer",tblTransactions[Destination Type],"Account",tblTransactions[Destination Name],$D181,tblTransactions[Transaction Status],"Reconciled")+SUMIFS(tblTransactions[Amount],tblTransactions[Transaction Type],"Adjustment",tblTransactions[Source Account],$D181,tblTransactions[Transaction Status],"Completed",tblTransactions[Amount],"&gt;0")+SUMIFS(tblTransactions[Amount],tblTransactions[Transaction Type],"Adjustment",tblTransactions[Source Account],$D181,tblTransactions[Transaction Status],"Reconciled",tblTransactions[Amount],"&gt;0"),0))</f>
      </c>
      <c r="G181" s="1">
        <f>IF($D181="","",IFERROR(SUMIFS(tblTransactions[Amount],tblTransactions[Transaction Type],"Expense",tblTransactions[Source Account],$D181,tblTransactions[Transaction Status],"Completed")+SUMIFS(tblTransactions[Amount],tblTransactions[Transaction Type],"Expense",tblTransactions[Source Account],$D181,tblTransactions[Transaction Status],"Reconciled")+SUMIFS(tblTransactions[Amount],tblTransactions[Transaction Type],"Transfer",tblTransactions[Source Account],$D181,tblTransactions[Transaction Status],"Completed")+SUMIFS(tblTransactions[Amount],tblTransactions[Transaction Type],"Transfer",tblTransactions[Source Account],$D181,tblTransactions[Transaction Status],"Reconciled")-SUMIFS(tblTransactions[Amount],tblTransactions[Transaction Type],"Adjustment",tblTransactions[Source Account],$D181,tblTransactions[Transaction Status],"Completed",tblTransactions[Amount],"&lt;0")-SUMIFS(tblTransactions[Amount],tblTransactions[Transaction Type],"Adjustment",tblTransactions[Source Account],$D181,tblTransactions[Transaction Status],"Reconciled",tblTransactions[Amount],"&lt;0"),0))</f>
      </c>
      <c r="H181" s="1">
        <f>IF($D181="","",$E181+$F181-$G181)</f>
      </c>
      <c r="I181" s="4">
        <f>IF($D181="","",IFERROR(LOOKUP(2,1/(((tblTransactions[Source Account]=$D181)+((tblTransactions[Transaction Type]="Transfer")*(tblTransactions[Destination Type]="Account")*(tblTransactions[Destination Name]=$D181)))*((tblTransactions[Transaction Status]="Completed")+(tblTransactions[Transaction Status]="Reconciled"))),tblTransactions[Transaction Date]),""))</f>
      </c>
      <c r="J181" s="1">
        <f>IF($D181="","",IFERROR(INDEX(tblAccounts[Account Type],ROW()-1),""))</f>
      </c>
      <c r="K181" s="1">
        <f>IF($D181="","",IFERROR(INDEX(tblAccounts[Include in Dashboard],ROW()-1),""))</f>
      </c>
      <c r="L181" s="1">
        <f>IF($D181="","",IFERROR(INDEX(tblAccounts[Status],ROW()-1),""))</f>
      </c>
    </row>
    <row r="182">
      <c r="D182" s="1">
        <f>IFERROR(IF(INDEX(tblAccounts[Account Name],ROW()-1)="","",INDEX(tblAccounts[Account Name],ROW()-1)),"")</f>
      </c>
      <c r="E182" s="1">
        <f>IF($D182="","",IFERROR(INDEX(tblAccounts[Opening Balance],ROW()-1),0))</f>
      </c>
      <c r="F182" s="1">
        <f>IF($D182="","",IFERROR(SUMIFS(tblTransactions[Amount],tblTransactions[Transaction Type],"Income",tblTransactions[Source Account],$D182,tblTransactions[Transaction Status],"Completed")+SUMIFS(tblTransactions[Amount],tblTransactions[Transaction Type],"Income",tblTransactions[Source Account],$D182,tblTransactions[Transaction Status],"Reconciled")+SUMIFS(tblTransactions[Amount],tblTransactions[Transaction Type],"Transfer",tblTransactions[Destination Type],"Account",tblTransactions[Destination Name],$D182,tblTransactions[Transaction Status],"Completed")+SUMIFS(tblTransactions[Amount],tblTransactions[Transaction Type],"Transfer",tblTransactions[Destination Type],"Account",tblTransactions[Destination Name],$D182,tblTransactions[Transaction Status],"Reconciled")+SUMIFS(tblTransactions[Amount],tblTransactions[Transaction Type],"Adjustment",tblTransactions[Source Account],$D182,tblTransactions[Transaction Status],"Completed",tblTransactions[Amount],"&gt;0")+SUMIFS(tblTransactions[Amount],tblTransactions[Transaction Type],"Adjustment",tblTransactions[Source Account],$D182,tblTransactions[Transaction Status],"Reconciled",tblTransactions[Amount],"&gt;0"),0))</f>
      </c>
      <c r="G182" s="1">
        <f>IF($D182="","",IFERROR(SUMIFS(tblTransactions[Amount],tblTransactions[Transaction Type],"Expense",tblTransactions[Source Account],$D182,tblTransactions[Transaction Status],"Completed")+SUMIFS(tblTransactions[Amount],tblTransactions[Transaction Type],"Expense",tblTransactions[Source Account],$D182,tblTransactions[Transaction Status],"Reconciled")+SUMIFS(tblTransactions[Amount],tblTransactions[Transaction Type],"Transfer",tblTransactions[Source Account],$D182,tblTransactions[Transaction Status],"Completed")+SUMIFS(tblTransactions[Amount],tblTransactions[Transaction Type],"Transfer",tblTransactions[Source Account],$D182,tblTransactions[Transaction Status],"Reconciled")-SUMIFS(tblTransactions[Amount],tblTransactions[Transaction Type],"Adjustment",tblTransactions[Source Account],$D182,tblTransactions[Transaction Status],"Completed",tblTransactions[Amount],"&lt;0")-SUMIFS(tblTransactions[Amount],tblTransactions[Transaction Type],"Adjustment",tblTransactions[Source Account],$D182,tblTransactions[Transaction Status],"Reconciled",tblTransactions[Amount],"&lt;0"),0))</f>
      </c>
      <c r="H182" s="1">
        <f>IF($D182="","",$E182+$F182-$G182)</f>
      </c>
      <c r="I182" s="4">
        <f>IF($D182="","",IFERROR(LOOKUP(2,1/(((tblTransactions[Source Account]=$D182)+((tblTransactions[Transaction Type]="Transfer")*(tblTransactions[Destination Type]="Account")*(tblTransactions[Destination Name]=$D182)))*((tblTransactions[Transaction Status]="Completed")+(tblTransactions[Transaction Status]="Reconciled"))),tblTransactions[Transaction Date]),""))</f>
      </c>
      <c r="J182" s="1">
        <f>IF($D182="","",IFERROR(INDEX(tblAccounts[Account Type],ROW()-1),""))</f>
      </c>
      <c r="K182" s="1">
        <f>IF($D182="","",IFERROR(INDEX(tblAccounts[Include in Dashboard],ROW()-1),""))</f>
      </c>
      <c r="L182" s="1">
        <f>IF($D182="","",IFERROR(INDEX(tblAccounts[Status],ROW()-1),""))</f>
      </c>
    </row>
    <row r="183">
      <c r="D183" s="1">
        <f>IFERROR(IF(INDEX(tblAccounts[Account Name],ROW()-1)="","",INDEX(tblAccounts[Account Name],ROW()-1)),"")</f>
      </c>
      <c r="E183" s="1">
        <f>IF($D183="","",IFERROR(INDEX(tblAccounts[Opening Balance],ROW()-1),0))</f>
      </c>
      <c r="F183" s="1">
        <f>IF($D183="","",IFERROR(SUMIFS(tblTransactions[Amount],tblTransactions[Transaction Type],"Income",tblTransactions[Source Account],$D183,tblTransactions[Transaction Status],"Completed")+SUMIFS(tblTransactions[Amount],tblTransactions[Transaction Type],"Income",tblTransactions[Source Account],$D183,tblTransactions[Transaction Status],"Reconciled")+SUMIFS(tblTransactions[Amount],tblTransactions[Transaction Type],"Transfer",tblTransactions[Destination Type],"Account",tblTransactions[Destination Name],$D183,tblTransactions[Transaction Status],"Completed")+SUMIFS(tblTransactions[Amount],tblTransactions[Transaction Type],"Transfer",tblTransactions[Destination Type],"Account",tblTransactions[Destination Name],$D183,tblTransactions[Transaction Status],"Reconciled")+SUMIFS(tblTransactions[Amount],tblTransactions[Transaction Type],"Adjustment",tblTransactions[Source Account],$D183,tblTransactions[Transaction Status],"Completed",tblTransactions[Amount],"&gt;0")+SUMIFS(tblTransactions[Amount],tblTransactions[Transaction Type],"Adjustment",tblTransactions[Source Account],$D183,tblTransactions[Transaction Status],"Reconciled",tblTransactions[Amount],"&gt;0"),0))</f>
      </c>
      <c r="G183" s="1">
        <f>IF($D183="","",IFERROR(SUMIFS(tblTransactions[Amount],tblTransactions[Transaction Type],"Expense",tblTransactions[Source Account],$D183,tblTransactions[Transaction Status],"Completed")+SUMIFS(tblTransactions[Amount],tblTransactions[Transaction Type],"Expense",tblTransactions[Source Account],$D183,tblTransactions[Transaction Status],"Reconciled")+SUMIFS(tblTransactions[Amount],tblTransactions[Transaction Type],"Transfer",tblTransactions[Source Account],$D183,tblTransactions[Transaction Status],"Completed")+SUMIFS(tblTransactions[Amount],tblTransactions[Transaction Type],"Transfer",tblTransactions[Source Account],$D183,tblTransactions[Transaction Status],"Reconciled")-SUMIFS(tblTransactions[Amount],tblTransactions[Transaction Type],"Adjustment",tblTransactions[Source Account],$D183,tblTransactions[Transaction Status],"Completed",tblTransactions[Amount],"&lt;0")-SUMIFS(tblTransactions[Amount],tblTransactions[Transaction Type],"Adjustment",tblTransactions[Source Account],$D183,tblTransactions[Transaction Status],"Reconciled",tblTransactions[Amount],"&lt;0"),0))</f>
      </c>
      <c r="H183" s="1">
        <f>IF($D183="","",$E183+$F183-$G183)</f>
      </c>
      <c r="I183" s="4">
        <f>IF($D183="","",IFERROR(LOOKUP(2,1/(((tblTransactions[Source Account]=$D183)+((tblTransactions[Transaction Type]="Transfer")*(tblTransactions[Destination Type]="Account")*(tblTransactions[Destination Name]=$D183)))*((tblTransactions[Transaction Status]="Completed")+(tblTransactions[Transaction Status]="Reconciled"))),tblTransactions[Transaction Date]),""))</f>
      </c>
      <c r="J183" s="1">
        <f>IF($D183="","",IFERROR(INDEX(tblAccounts[Account Type],ROW()-1),""))</f>
      </c>
      <c r="K183" s="1">
        <f>IF($D183="","",IFERROR(INDEX(tblAccounts[Include in Dashboard],ROW()-1),""))</f>
      </c>
      <c r="L183" s="1">
        <f>IF($D183="","",IFERROR(INDEX(tblAccounts[Status],ROW()-1),""))</f>
      </c>
    </row>
    <row r="184">
      <c r="D184" s="1">
        <f>IFERROR(IF(INDEX(tblAccounts[Account Name],ROW()-1)="","",INDEX(tblAccounts[Account Name],ROW()-1)),"")</f>
      </c>
      <c r="E184" s="1">
        <f>IF($D184="","",IFERROR(INDEX(tblAccounts[Opening Balance],ROW()-1),0))</f>
      </c>
      <c r="F184" s="1">
        <f>IF($D184="","",IFERROR(SUMIFS(tblTransactions[Amount],tblTransactions[Transaction Type],"Income",tblTransactions[Source Account],$D184,tblTransactions[Transaction Status],"Completed")+SUMIFS(tblTransactions[Amount],tblTransactions[Transaction Type],"Income",tblTransactions[Source Account],$D184,tblTransactions[Transaction Status],"Reconciled")+SUMIFS(tblTransactions[Amount],tblTransactions[Transaction Type],"Transfer",tblTransactions[Destination Type],"Account",tblTransactions[Destination Name],$D184,tblTransactions[Transaction Status],"Completed")+SUMIFS(tblTransactions[Amount],tblTransactions[Transaction Type],"Transfer",tblTransactions[Destination Type],"Account",tblTransactions[Destination Name],$D184,tblTransactions[Transaction Status],"Reconciled")+SUMIFS(tblTransactions[Amount],tblTransactions[Transaction Type],"Adjustment",tblTransactions[Source Account],$D184,tblTransactions[Transaction Status],"Completed",tblTransactions[Amount],"&gt;0")+SUMIFS(tblTransactions[Amount],tblTransactions[Transaction Type],"Adjustment",tblTransactions[Source Account],$D184,tblTransactions[Transaction Status],"Reconciled",tblTransactions[Amount],"&gt;0"),0))</f>
      </c>
      <c r="G184" s="1">
        <f>IF($D184="","",IFERROR(SUMIFS(tblTransactions[Amount],tblTransactions[Transaction Type],"Expense",tblTransactions[Source Account],$D184,tblTransactions[Transaction Status],"Completed")+SUMIFS(tblTransactions[Amount],tblTransactions[Transaction Type],"Expense",tblTransactions[Source Account],$D184,tblTransactions[Transaction Status],"Reconciled")+SUMIFS(tblTransactions[Amount],tblTransactions[Transaction Type],"Transfer",tblTransactions[Source Account],$D184,tblTransactions[Transaction Status],"Completed")+SUMIFS(tblTransactions[Amount],tblTransactions[Transaction Type],"Transfer",tblTransactions[Source Account],$D184,tblTransactions[Transaction Status],"Reconciled")-SUMIFS(tblTransactions[Amount],tblTransactions[Transaction Type],"Adjustment",tblTransactions[Source Account],$D184,tblTransactions[Transaction Status],"Completed",tblTransactions[Amount],"&lt;0")-SUMIFS(tblTransactions[Amount],tblTransactions[Transaction Type],"Adjustment",tblTransactions[Source Account],$D184,tblTransactions[Transaction Status],"Reconciled",tblTransactions[Amount],"&lt;0"),0))</f>
      </c>
      <c r="H184" s="1">
        <f>IF($D184="","",$E184+$F184-$G184)</f>
      </c>
      <c r="I184" s="4">
        <f>IF($D184="","",IFERROR(LOOKUP(2,1/(((tblTransactions[Source Account]=$D184)+((tblTransactions[Transaction Type]="Transfer")*(tblTransactions[Destination Type]="Account")*(tblTransactions[Destination Name]=$D184)))*((tblTransactions[Transaction Status]="Completed")+(tblTransactions[Transaction Status]="Reconciled"))),tblTransactions[Transaction Date]),""))</f>
      </c>
      <c r="J184" s="1">
        <f>IF($D184="","",IFERROR(INDEX(tblAccounts[Account Type],ROW()-1),""))</f>
      </c>
      <c r="K184" s="1">
        <f>IF($D184="","",IFERROR(INDEX(tblAccounts[Include in Dashboard],ROW()-1),""))</f>
      </c>
      <c r="L184" s="1">
        <f>IF($D184="","",IFERROR(INDEX(tblAccounts[Status],ROW()-1),""))</f>
      </c>
    </row>
    <row r="185">
      <c r="D185" s="1">
        <f>IFERROR(IF(INDEX(tblAccounts[Account Name],ROW()-1)="","",INDEX(tblAccounts[Account Name],ROW()-1)),"")</f>
      </c>
      <c r="E185" s="1">
        <f>IF($D185="","",IFERROR(INDEX(tblAccounts[Opening Balance],ROW()-1),0))</f>
      </c>
      <c r="F185" s="1">
        <f>IF($D185="","",IFERROR(SUMIFS(tblTransactions[Amount],tblTransactions[Transaction Type],"Income",tblTransactions[Source Account],$D185,tblTransactions[Transaction Status],"Completed")+SUMIFS(tblTransactions[Amount],tblTransactions[Transaction Type],"Income",tblTransactions[Source Account],$D185,tblTransactions[Transaction Status],"Reconciled")+SUMIFS(tblTransactions[Amount],tblTransactions[Transaction Type],"Transfer",tblTransactions[Destination Type],"Account",tblTransactions[Destination Name],$D185,tblTransactions[Transaction Status],"Completed")+SUMIFS(tblTransactions[Amount],tblTransactions[Transaction Type],"Transfer",tblTransactions[Destination Type],"Account",tblTransactions[Destination Name],$D185,tblTransactions[Transaction Status],"Reconciled")+SUMIFS(tblTransactions[Amount],tblTransactions[Transaction Type],"Adjustment",tblTransactions[Source Account],$D185,tblTransactions[Transaction Status],"Completed",tblTransactions[Amount],"&gt;0")+SUMIFS(tblTransactions[Amount],tblTransactions[Transaction Type],"Adjustment",tblTransactions[Source Account],$D185,tblTransactions[Transaction Status],"Reconciled",tblTransactions[Amount],"&gt;0"),0))</f>
      </c>
      <c r="G185" s="1">
        <f>IF($D185="","",IFERROR(SUMIFS(tblTransactions[Amount],tblTransactions[Transaction Type],"Expense",tblTransactions[Source Account],$D185,tblTransactions[Transaction Status],"Completed")+SUMIFS(tblTransactions[Amount],tblTransactions[Transaction Type],"Expense",tblTransactions[Source Account],$D185,tblTransactions[Transaction Status],"Reconciled")+SUMIFS(tblTransactions[Amount],tblTransactions[Transaction Type],"Transfer",tblTransactions[Source Account],$D185,tblTransactions[Transaction Status],"Completed")+SUMIFS(tblTransactions[Amount],tblTransactions[Transaction Type],"Transfer",tblTransactions[Source Account],$D185,tblTransactions[Transaction Status],"Reconciled")-SUMIFS(tblTransactions[Amount],tblTransactions[Transaction Type],"Adjustment",tblTransactions[Source Account],$D185,tblTransactions[Transaction Status],"Completed",tblTransactions[Amount],"&lt;0")-SUMIFS(tblTransactions[Amount],tblTransactions[Transaction Type],"Adjustment",tblTransactions[Source Account],$D185,tblTransactions[Transaction Status],"Reconciled",tblTransactions[Amount],"&lt;0"),0))</f>
      </c>
      <c r="H185" s="1">
        <f>IF($D185="","",$E185+$F185-$G185)</f>
      </c>
      <c r="I185" s="4">
        <f>IF($D185="","",IFERROR(LOOKUP(2,1/(((tblTransactions[Source Account]=$D185)+((tblTransactions[Transaction Type]="Transfer")*(tblTransactions[Destination Type]="Account")*(tblTransactions[Destination Name]=$D185)))*((tblTransactions[Transaction Status]="Completed")+(tblTransactions[Transaction Status]="Reconciled"))),tblTransactions[Transaction Date]),""))</f>
      </c>
      <c r="J185" s="1">
        <f>IF($D185="","",IFERROR(INDEX(tblAccounts[Account Type],ROW()-1),""))</f>
      </c>
      <c r="K185" s="1">
        <f>IF($D185="","",IFERROR(INDEX(tblAccounts[Include in Dashboard],ROW()-1),""))</f>
      </c>
      <c r="L185" s="1">
        <f>IF($D185="","",IFERROR(INDEX(tblAccounts[Status],ROW()-1),""))</f>
      </c>
    </row>
    <row r="186">
      <c r="D186" s="1">
        <f>IFERROR(IF(INDEX(tblAccounts[Account Name],ROW()-1)="","",INDEX(tblAccounts[Account Name],ROW()-1)),"")</f>
      </c>
      <c r="E186" s="1">
        <f>IF($D186="","",IFERROR(INDEX(tblAccounts[Opening Balance],ROW()-1),0))</f>
      </c>
      <c r="F186" s="1">
        <f>IF($D186="","",IFERROR(SUMIFS(tblTransactions[Amount],tblTransactions[Transaction Type],"Income",tblTransactions[Source Account],$D186,tblTransactions[Transaction Status],"Completed")+SUMIFS(tblTransactions[Amount],tblTransactions[Transaction Type],"Income",tblTransactions[Source Account],$D186,tblTransactions[Transaction Status],"Reconciled")+SUMIFS(tblTransactions[Amount],tblTransactions[Transaction Type],"Transfer",tblTransactions[Destination Type],"Account",tblTransactions[Destination Name],$D186,tblTransactions[Transaction Status],"Completed")+SUMIFS(tblTransactions[Amount],tblTransactions[Transaction Type],"Transfer",tblTransactions[Destination Type],"Account",tblTransactions[Destination Name],$D186,tblTransactions[Transaction Status],"Reconciled")+SUMIFS(tblTransactions[Amount],tblTransactions[Transaction Type],"Adjustment",tblTransactions[Source Account],$D186,tblTransactions[Transaction Status],"Completed",tblTransactions[Amount],"&gt;0")+SUMIFS(tblTransactions[Amount],tblTransactions[Transaction Type],"Adjustment",tblTransactions[Source Account],$D186,tblTransactions[Transaction Status],"Reconciled",tblTransactions[Amount],"&gt;0"),0))</f>
      </c>
      <c r="G186" s="1">
        <f>IF($D186="","",IFERROR(SUMIFS(tblTransactions[Amount],tblTransactions[Transaction Type],"Expense",tblTransactions[Source Account],$D186,tblTransactions[Transaction Status],"Completed")+SUMIFS(tblTransactions[Amount],tblTransactions[Transaction Type],"Expense",tblTransactions[Source Account],$D186,tblTransactions[Transaction Status],"Reconciled")+SUMIFS(tblTransactions[Amount],tblTransactions[Transaction Type],"Transfer",tblTransactions[Source Account],$D186,tblTransactions[Transaction Status],"Completed")+SUMIFS(tblTransactions[Amount],tblTransactions[Transaction Type],"Transfer",tblTransactions[Source Account],$D186,tblTransactions[Transaction Status],"Reconciled")-SUMIFS(tblTransactions[Amount],tblTransactions[Transaction Type],"Adjustment",tblTransactions[Source Account],$D186,tblTransactions[Transaction Status],"Completed",tblTransactions[Amount],"&lt;0")-SUMIFS(tblTransactions[Amount],tblTransactions[Transaction Type],"Adjustment",tblTransactions[Source Account],$D186,tblTransactions[Transaction Status],"Reconciled",tblTransactions[Amount],"&lt;0"),0))</f>
      </c>
      <c r="H186" s="1">
        <f>IF($D186="","",$E186+$F186-$G186)</f>
      </c>
      <c r="I186" s="4">
        <f>IF($D186="","",IFERROR(LOOKUP(2,1/(((tblTransactions[Source Account]=$D186)+((tblTransactions[Transaction Type]="Transfer")*(tblTransactions[Destination Type]="Account")*(tblTransactions[Destination Name]=$D186)))*((tblTransactions[Transaction Status]="Completed")+(tblTransactions[Transaction Status]="Reconciled"))),tblTransactions[Transaction Date]),""))</f>
      </c>
      <c r="J186" s="1">
        <f>IF($D186="","",IFERROR(INDEX(tblAccounts[Account Type],ROW()-1),""))</f>
      </c>
      <c r="K186" s="1">
        <f>IF($D186="","",IFERROR(INDEX(tblAccounts[Include in Dashboard],ROW()-1),""))</f>
      </c>
      <c r="L186" s="1">
        <f>IF($D186="","",IFERROR(INDEX(tblAccounts[Status],ROW()-1),""))</f>
      </c>
    </row>
    <row r="187">
      <c r="D187" s="1">
        <f>IFERROR(IF(INDEX(tblAccounts[Account Name],ROW()-1)="","",INDEX(tblAccounts[Account Name],ROW()-1)),"")</f>
      </c>
      <c r="E187" s="1">
        <f>IF($D187="","",IFERROR(INDEX(tblAccounts[Opening Balance],ROW()-1),0))</f>
      </c>
      <c r="F187" s="1">
        <f>IF($D187="","",IFERROR(SUMIFS(tblTransactions[Amount],tblTransactions[Transaction Type],"Income",tblTransactions[Source Account],$D187,tblTransactions[Transaction Status],"Completed")+SUMIFS(tblTransactions[Amount],tblTransactions[Transaction Type],"Income",tblTransactions[Source Account],$D187,tblTransactions[Transaction Status],"Reconciled")+SUMIFS(tblTransactions[Amount],tblTransactions[Transaction Type],"Transfer",tblTransactions[Destination Type],"Account",tblTransactions[Destination Name],$D187,tblTransactions[Transaction Status],"Completed")+SUMIFS(tblTransactions[Amount],tblTransactions[Transaction Type],"Transfer",tblTransactions[Destination Type],"Account",tblTransactions[Destination Name],$D187,tblTransactions[Transaction Status],"Reconciled")+SUMIFS(tblTransactions[Amount],tblTransactions[Transaction Type],"Adjustment",tblTransactions[Source Account],$D187,tblTransactions[Transaction Status],"Completed",tblTransactions[Amount],"&gt;0")+SUMIFS(tblTransactions[Amount],tblTransactions[Transaction Type],"Adjustment",tblTransactions[Source Account],$D187,tblTransactions[Transaction Status],"Reconciled",tblTransactions[Amount],"&gt;0"),0))</f>
      </c>
      <c r="G187" s="1">
        <f>IF($D187="","",IFERROR(SUMIFS(tblTransactions[Amount],tblTransactions[Transaction Type],"Expense",tblTransactions[Source Account],$D187,tblTransactions[Transaction Status],"Completed")+SUMIFS(tblTransactions[Amount],tblTransactions[Transaction Type],"Expense",tblTransactions[Source Account],$D187,tblTransactions[Transaction Status],"Reconciled")+SUMIFS(tblTransactions[Amount],tblTransactions[Transaction Type],"Transfer",tblTransactions[Source Account],$D187,tblTransactions[Transaction Status],"Completed")+SUMIFS(tblTransactions[Amount],tblTransactions[Transaction Type],"Transfer",tblTransactions[Source Account],$D187,tblTransactions[Transaction Status],"Reconciled")-SUMIFS(tblTransactions[Amount],tblTransactions[Transaction Type],"Adjustment",tblTransactions[Source Account],$D187,tblTransactions[Transaction Status],"Completed",tblTransactions[Amount],"&lt;0")-SUMIFS(tblTransactions[Amount],tblTransactions[Transaction Type],"Adjustment",tblTransactions[Source Account],$D187,tblTransactions[Transaction Status],"Reconciled",tblTransactions[Amount],"&lt;0"),0))</f>
      </c>
      <c r="H187" s="1">
        <f>IF($D187="","",$E187+$F187-$G187)</f>
      </c>
      <c r="I187" s="4">
        <f>IF($D187="","",IFERROR(LOOKUP(2,1/(((tblTransactions[Source Account]=$D187)+((tblTransactions[Transaction Type]="Transfer")*(tblTransactions[Destination Type]="Account")*(tblTransactions[Destination Name]=$D187)))*((tblTransactions[Transaction Status]="Completed")+(tblTransactions[Transaction Status]="Reconciled"))),tblTransactions[Transaction Date]),""))</f>
      </c>
      <c r="J187" s="1">
        <f>IF($D187="","",IFERROR(INDEX(tblAccounts[Account Type],ROW()-1),""))</f>
      </c>
      <c r="K187" s="1">
        <f>IF($D187="","",IFERROR(INDEX(tblAccounts[Include in Dashboard],ROW()-1),""))</f>
      </c>
      <c r="L187" s="1">
        <f>IF($D187="","",IFERROR(INDEX(tblAccounts[Status],ROW()-1),""))</f>
      </c>
    </row>
    <row r="188">
      <c r="D188" s="1">
        <f>IFERROR(IF(INDEX(tblAccounts[Account Name],ROW()-1)="","",INDEX(tblAccounts[Account Name],ROW()-1)),"")</f>
      </c>
      <c r="E188" s="1">
        <f>IF($D188="","",IFERROR(INDEX(tblAccounts[Opening Balance],ROW()-1),0))</f>
      </c>
      <c r="F188" s="1">
        <f>IF($D188="","",IFERROR(SUMIFS(tblTransactions[Amount],tblTransactions[Transaction Type],"Income",tblTransactions[Source Account],$D188,tblTransactions[Transaction Status],"Completed")+SUMIFS(tblTransactions[Amount],tblTransactions[Transaction Type],"Income",tblTransactions[Source Account],$D188,tblTransactions[Transaction Status],"Reconciled")+SUMIFS(tblTransactions[Amount],tblTransactions[Transaction Type],"Transfer",tblTransactions[Destination Type],"Account",tblTransactions[Destination Name],$D188,tblTransactions[Transaction Status],"Completed")+SUMIFS(tblTransactions[Amount],tblTransactions[Transaction Type],"Transfer",tblTransactions[Destination Type],"Account",tblTransactions[Destination Name],$D188,tblTransactions[Transaction Status],"Reconciled")+SUMIFS(tblTransactions[Amount],tblTransactions[Transaction Type],"Adjustment",tblTransactions[Source Account],$D188,tblTransactions[Transaction Status],"Completed",tblTransactions[Amount],"&gt;0")+SUMIFS(tblTransactions[Amount],tblTransactions[Transaction Type],"Adjustment",tblTransactions[Source Account],$D188,tblTransactions[Transaction Status],"Reconciled",tblTransactions[Amount],"&gt;0"),0))</f>
      </c>
      <c r="G188" s="1">
        <f>IF($D188="","",IFERROR(SUMIFS(tblTransactions[Amount],tblTransactions[Transaction Type],"Expense",tblTransactions[Source Account],$D188,tblTransactions[Transaction Status],"Completed")+SUMIFS(tblTransactions[Amount],tblTransactions[Transaction Type],"Expense",tblTransactions[Source Account],$D188,tblTransactions[Transaction Status],"Reconciled")+SUMIFS(tblTransactions[Amount],tblTransactions[Transaction Type],"Transfer",tblTransactions[Source Account],$D188,tblTransactions[Transaction Status],"Completed")+SUMIFS(tblTransactions[Amount],tblTransactions[Transaction Type],"Transfer",tblTransactions[Source Account],$D188,tblTransactions[Transaction Status],"Reconciled")-SUMIFS(tblTransactions[Amount],tblTransactions[Transaction Type],"Adjustment",tblTransactions[Source Account],$D188,tblTransactions[Transaction Status],"Completed",tblTransactions[Amount],"&lt;0")-SUMIFS(tblTransactions[Amount],tblTransactions[Transaction Type],"Adjustment",tblTransactions[Source Account],$D188,tblTransactions[Transaction Status],"Reconciled",tblTransactions[Amount],"&lt;0"),0))</f>
      </c>
      <c r="H188" s="1">
        <f>IF($D188="","",$E188+$F188-$G188)</f>
      </c>
      <c r="I188" s="4">
        <f>IF($D188="","",IFERROR(LOOKUP(2,1/(((tblTransactions[Source Account]=$D188)+((tblTransactions[Transaction Type]="Transfer")*(tblTransactions[Destination Type]="Account")*(tblTransactions[Destination Name]=$D188)))*((tblTransactions[Transaction Status]="Completed")+(tblTransactions[Transaction Status]="Reconciled"))),tblTransactions[Transaction Date]),""))</f>
      </c>
      <c r="J188" s="1">
        <f>IF($D188="","",IFERROR(INDEX(tblAccounts[Account Type],ROW()-1),""))</f>
      </c>
      <c r="K188" s="1">
        <f>IF($D188="","",IFERROR(INDEX(tblAccounts[Include in Dashboard],ROW()-1),""))</f>
      </c>
      <c r="L188" s="1">
        <f>IF($D188="","",IFERROR(INDEX(tblAccounts[Status],ROW()-1),""))</f>
      </c>
    </row>
    <row r="189">
      <c r="D189" s="1">
        <f>IFERROR(IF(INDEX(tblAccounts[Account Name],ROW()-1)="","",INDEX(tblAccounts[Account Name],ROW()-1)),"")</f>
      </c>
      <c r="E189" s="1">
        <f>IF($D189="","",IFERROR(INDEX(tblAccounts[Opening Balance],ROW()-1),0))</f>
      </c>
      <c r="F189" s="1">
        <f>IF($D189="","",IFERROR(SUMIFS(tblTransactions[Amount],tblTransactions[Transaction Type],"Income",tblTransactions[Source Account],$D189,tblTransactions[Transaction Status],"Completed")+SUMIFS(tblTransactions[Amount],tblTransactions[Transaction Type],"Income",tblTransactions[Source Account],$D189,tblTransactions[Transaction Status],"Reconciled")+SUMIFS(tblTransactions[Amount],tblTransactions[Transaction Type],"Transfer",tblTransactions[Destination Type],"Account",tblTransactions[Destination Name],$D189,tblTransactions[Transaction Status],"Completed")+SUMIFS(tblTransactions[Amount],tblTransactions[Transaction Type],"Transfer",tblTransactions[Destination Type],"Account",tblTransactions[Destination Name],$D189,tblTransactions[Transaction Status],"Reconciled")+SUMIFS(tblTransactions[Amount],tblTransactions[Transaction Type],"Adjustment",tblTransactions[Source Account],$D189,tblTransactions[Transaction Status],"Completed",tblTransactions[Amount],"&gt;0")+SUMIFS(tblTransactions[Amount],tblTransactions[Transaction Type],"Adjustment",tblTransactions[Source Account],$D189,tblTransactions[Transaction Status],"Reconciled",tblTransactions[Amount],"&gt;0"),0))</f>
      </c>
      <c r="G189" s="1">
        <f>IF($D189="","",IFERROR(SUMIFS(tblTransactions[Amount],tblTransactions[Transaction Type],"Expense",tblTransactions[Source Account],$D189,tblTransactions[Transaction Status],"Completed")+SUMIFS(tblTransactions[Amount],tblTransactions[Transaction Type],"Expense",tblTransactions[Source Account],$D189,tblTransactions[Transaction Status],"Reconciled")+SUMIFS(tblTransactions[Amount],tblTransactions[Transaction Type],"Transfer",tblTransactions[Source Account],$D189,tblTransactions[Transaction Status],"Completed")+SUMIFS(tblTransactions[Amount],tblTransactions[Transaction Type],"Transfer",tblTransactions[Source Account],$D189,tblTransactions[Transaction Status],"Reconciled")-SUMIFS(tblTransactions[Amount],tblTransactions[Transaction Type],"Adjustment",tblTransactions[Source Account],$D189,tblTransactions[Transaction Status],"Completed",tblTransactions[Amount],"&lt;0")-SUMIFS(tblTransactions[Amount],tblTransactions[Transaction Type],"Adjustment",tblTransactions[Source Account],$D189,tblTransactions[Transaction Status],"Reconciled",tblTransactions[Amount],"&lt;0"),0))</f>
      </c>
      <c r="H189" s="1">
        <f>IF($D189="","",$E189+$F189-$G189)</f>
      </c>
      <c r="I189" s="4">
        <f>IF($D189="","",IFERROR(LOOKUP(2,1/(((tblTransactions[Source Account]=$D189)+((tblTransactions[Transaction Type]="Transfer")*(tblTransactions[Destination Type]="Account")*(tblTransactions[Destination Name]=$D189)))*((tblTransactions[Transaction Status]="Completed")+(tblTransactions[Transaction Status]="Reconciled"))),tblTransactions[Transaction Date]),""))</f>
      </c>
      <c r="J189" s="1">
        <f>IF($D189="","",IFERROR(INDEX(tblAccounts[Account Type],ROW()-1),""))</f>
      </c>
      <c r="K189" s="1">
        <f>IF($D189="","",IFERROR(INDEX(tblAccounts[Include in Dashboard],ROW()-1),""))</f>
      </c>
      <c r="L189" s="1">
        <f>IF($D189="","",IFERROR(INDEX(tblAccounts[Status],ROW()-1),""))</f>
      </c>
    </row>
    <row r="190">
      <c r="D190" s="1">
        <f>IFERROR(IF(INDEX(tblAccounts[Account Name],ROW()-1)="","",INDEX(tblAccounts[Account Name],ROW()-1)),"")</f>
      </c>
      <c r="E190" s="1">
        <f>IF($D190="","",IFERROR(INDEX(tblAccounts[Opening Balance],ROW()-1),0))</f>
      </c>
      <c r="F190" s="1">
        <f>IF($D190="","",IFERROR(SUMIFS(tblTransactions[Amount],tblTransactions[Transaction Type],"Income",tblTransactions[Source Account],$D190,tblTransactions[Transaction Status],"Completed")+SUMIFS(tblTransactions[Amount],tblTransactions[Transaction Type],"Income",tblTransactions[Source Account],$D190,tblTransactions[Transaction Status],"Reconciled")+SUMIFS(tblTransactions[Amount],tblTransactions[Transaction Type],"Transfer",tblTransactions[Destination Type],"Account",tblTransactions[Destination Name],$D190,tblTransactions[Transaction Status],"Completed")+SUMIFS(tblTransactions[Amount],tblTransactions[Transaction Type],"Transfer",tblTransactions[Destination Type],"Account",tblTransactions[Destination Name],$D190,tblTransactions[Transaction Status],"Reconciled")+SUMIFS(tblTransactions[Amount],tblTransactions[Transaction Type],"Adjustment",tblTransactions[Source Account],$D190,tblTransactions[Transaction Status],"Completed",tblTransactions[Amount],"&gt;0")+SUMIFS(tblTransactions[Amount],tblTransactions[Transaction Type],"Adjustment",tblTransactions[Source Account],$D190,tblTransactions[Transaction Status],"Reconciled",tblTransactions[Amount],"&gt;0"),0))</f>
      </c>
      <c r="G190" s="1">
        <f>IF($D190="","",IFERROR(SUMIFS(tblTransactions[Amount],tblTransactions[Transaction Type],"Expense",tblTransactions[Source Account],$D190,tblTransactions[Transaction Status],"Completed")+SUMIFS(tblTransactions[Amount],tblTransactions[Transaction Type],"Expense",tblTransactions[Source Account],$D190,tblTransactions[Transaction Status],"Reconciled")+SUMIFS(tblTransactions[Amount],tblTransactions[Transaction Type],"Transfer",tblTransactions[Source Account],$D190,tblTransactions[Transaction Status],"Completed")+SUMIFS(tblTransactions[Amount],tblTransactions[Transaction Type],"Transfer",tblTransactions[Source Account],$D190,tblTransactions[Transaction Status],"Reconciled")-SUMIFS(tblTransactions[Amount],tblTransactions[Transaction Type],"Adjustment",tblTransactions[Source Account],$D190,tblTransactions[Transaction Status],"Completed",tblTransactions[Amount],"&lt;0")-SUMIFS(tblTransactions[Amount],tblTransactions[Transaction Type],"Adjustment",tblTransactions[Source Account],$D190,tblTransactions[Transaction Status],"Reconciled",tblTransactions[Amount],"&lt;0"),0))</f>
      </c>
      <c r="H190" s="1">
        <f>IF($D190="","",$E190+$F190-$G190)</f>
      </c>
      <c r="I190" s="4">
        <f>IF($D190="","",IFERROR(LOOKUP(2,1/(((tblTransactions[Source Account]=$D190)+((tblTransactions[Transaction Type]="Transfer")*(tblTransactions[Destination Type]="Account")*(tblTransactions[Destination Name]=$D190)))*((tblTransactions[Transaction Status]="Completed")+(tblTransactions[Transaction Status]="Reconciled"))),tblTransactions[Transaction Date]),""))</f>
      </c>
      <c r="J190" s="1">
        <f>IF($D190="","",IFERROR(INDEX(tblAccounts[Account Type],ROW()-1),""))</f>
      </c>
      <c r="K190" s="1">
        <f>IF($D190="","",IFERROR(INDEX(tblAccounts[Include in Dashboard],ROW()-1),""))</f>
      </c>
      <c r="L190" s="1">
        <f>IF($D190="","",IFERROR(INDEX(tblAccounts[Status],ROW()-1),""))</f>
      </c>
    </row>
    <row r="191">
      <c r="D191" s="1">
        <f>IFERROR(IF(INDEX(tblAccounts[Account Name],ROW()-1)="","",INDEX(tblAccounts[Account Name],ROW()-1)),"")</f>
      </c>
      <c r="E191" s="1">
        <f>IF($D191="","",IFERROR(INDEX(tblAccounts[Opening Balance],ROW()-1),0))</f>
      </c>
      <c r="F191" s="1">
        <f>IF($D191="","",IFERROR(SUMIFS(tblTransactions[Amount],tblTransactions[Transaction Type],"Income",tblTransactions[Source Account],$D191,tblTransactions[Transaction Status],"Completed")+SUMIFS(tblTransactions[Amount],tblTransactions[Transaction Type],"Income",tblTransactions[Source Account],$D191,tblTransactions[Transaction Status],"Reconciled")+SUMIFS(tblTransactions[Amount],tblTransactions[Transaction Type],"Transfer",tblTransactions[Destination Type],"Account",tblTransactions[Destination Name],$D191,tblTransactions[Transaction Status],"Completed")+SUMIFS(tblTransactions[Amount],tblTransactions[Transaction Type],"Transfer",tblTransactions[Destination Type],"Account",tblTransactions[Destination Name],$D191,tblTransactions[Transaction Status],"Reconciled")+SUMIFS(tblTransactions[Amount],tblTransactions[Transaction Type],"Adjustment",tblTransactions[Source Account],$D191,tblTransactions[Transaction Status],"Completed",tblTransactions[Amount],"&gt;0")+SUMIFS(tblTransactions[Amount],tblTransactions[Transaction Type],"Adjustment",tblTransactions[Source Account],$D191,tblTransactions[Transaction Status],"Reconciled",tblTransactions[Amount],"&gt;0"),0))</f>
      </c>
      <c r="G191" s="1">
        <f>IF($D191="","",IFERROR(SUMIFS(tblTransactions[Amount],tblTransactions[Transaction Type],"Expense",tblTransactions[Source Account],$D191,tblTransactions[Transaction Status],"Completed")+SUMIFS(tblTransactions[Amount],tblTransactions[Transaction Type],"Expense",tblTransactions[Source Account],$D191,tblTransactions[Transaction Status],"Reconciled")+SUMIFS(tblTransactions[Amount],tblTransactions[Transaction Type],"Transfer",tblTransactions[Source Account],$D191,tblTransactions[Transaction Status],"Completed")+SUMIFS(tblTransactions[Amount],tblTransactions[Transaction Type],"Transfer",tblTransactions[Source Account],$D191,tblTransactions[Transaction Status],"Reconciled")-SUMIFS(tblTransactions[Amount],tblTransactions[Transaction Type],"Adjustment",tblTransactions[Source Account],$D191,tblTransactions[Transaction Status],"Completed",tblTransactions[Amount],"&lt;0")-SUMIFS(tblTransactions[Amount],tblTransactions[Transaction Type],"Adjustment",tblTransactions[Source Account],$D191,tblTransactions[Transaction Status],"Reconciled",tblTransactions[Amount],"&lt;0"),0))</f>
      </c>
      <c r="H191" s="1">
        <f>IF($D191="","",$E191+$F191-$G191)</f>
      </c>
      <c r="I191" s="4">
        <f>IF($D191="","",IFERROR(LOOKUP(2,1/(((tblTransactions[Source Account]=$D191)+((tblTransactions[Transaction Type]="Transfer")*(tblTransactions[Destination Type]="Account")*(tblTransactions[Destination Name]=$D191)))*((tblTransactions[Transaction Status]="Completed")+(tblTransactions[Transaction Status]="Reconciled"))),tblTransactions[Transaction Date]),""))</f>
      </c>
      <c r="J191" s="1">
        <f>IF($D191="","",IFERROR(INDEX(tblAccounts[Account Type],ROW()-1),""))</f>
      </c>
      <c r="K191" s="1">
        <f>IF($D191="","",IFERROR(INDEX(tblAccounts[Include in Dashboard],ROW()-1),""))</f>
      </c>
      <c r="L191" s="1">
        <f>IF($D191="","",IFERROR(INDEX(tblAccounts[Status],ROW()-1),""))</f>
      </c>
    </row>
    <row r="192">
      <c r="D192" s="1">
        <f>IFERROR(IF(INDEX(tblAccounts[Account Name],ROW()-1)="","",INDEX(tblAccounts[Account Name],ROW()-1)),"")</f>
      </c>
      <c r="E192" s="1">
        <f>IF($D192="","",IFERROR(INDEX(tblAccounts[Opening Balance],ROW()-1),0))</f>
      </c>
      <c r="F192" s="1">
        <f>IF($D192="","",IFERROR(SUMIFS(tblTransactions[Amount],tblTransactions[Transaction Type],"Income",tblTransactions[Source Account],$D192,tblTransactions[Transaction Status],"Completed")+SUMIFS(tblTransactions[Amount],tblTransactions[Transaction Type],"Income",tblTransactions[Source Account],$D192,tblTransactions[Transaction Status],"Reconciled")+SUMIFS(tblTransactions[Amount],tblTransactions[Transaction Type],"Transfer",tblTransactions[Destination Type],"Account",tblTransactions[Destination Name],$D192,tblTransactions[Transaction Status],"Completed")+SUMIFS(tblTransactions[Amount],tblTransactions[Transaction Type],"Transfer",tblTransactions[Destination Type],"Account",tblTransactions[Destination Name],$D192,tblTransactions[Transaction Status],"Reconciled")+SUMIFS(tblTransactions[Amount],tblTransactions[Transaction Type],"Adjustment",tblTransactions[Source Account],$D192,tblTransactions[Transaction Status],"Completed",tblTransactions[Amount],"&gt;0")+SUMIFS(tblTransactions[Amount],tblTransactions[Transaction Type],"Adjustment",tblTransactions[Source Account],$D192,tblTransactions[Transaction Status],"Reconciled",tblTransactions[Amount],"&gt;0"),0))</f>
      </c>
      <c r="G192" s="1">
        <f>IF($D192="","",IFERROR(SUMIFS(tblTransactions[Amount],tblTransactions[Transaction Type],"Expense",tblTransactions[Source Account],$D192,tblTransactions[Transaction Status],"Completed")+SUMIFS(tblTransactions[Amount],tblTransactions[Transaction Type],"Expense",tblTransactions[Source Account],$D192,tblTransactions[Transaction Status],"Reconciled")+SUMIFS(tblTransactions[Amount],tblTransactions[Transaction Type],"Transfer",tblTransactions[Source Account],$D192,tblTransactions[Transaction Status],"Completed")+SUMIFS(tblTransactions[Amount],tblTransactions[Transaction Type],"Transfer",tblTransactions[Source Account],$D192,tblTransactions[Transaction Status],"Reconciled")-SUMIFS(tblTransactions[Amount],tblTransactions[Transaction Type],"Adjustment",tblTransactions[Source Account],$D192,tblTransactions[Transaction Status],"Completed",tblTransactions[Amount],"&lt;0")-SUMIFS(tblTransactions[Amount],tblTransactions[Transaction Type],"Adjustment",tblTransactions[Source Account],$D192,tblTransactions[Transaction Status],"Reconciled",tblTransactions[Amount],"&lt;0"),0))</f>
      </c>
      <c r="H192" s="1">
        <f>IF($D192="","",$E192+$F192-$G192)</f>
      </c>
      <c r="I192" s="4">
        <f>IF($D192="","",IFERROR(LOOKUP(2,1/(((tblTransactions[Source Account]=$D192)+((tblTransactions[Transaction Type]="Transfer")*(tblTransactions[Destination Type]="Account")*(tblTransactions[Destination Name]=$D192)))*((tblTransactions[Transaction Status]="Completed")+(tblTransactions[Transaction Status]="Reconciled"))),tblTransactions[Transaction Date]),""))</f>
      </c>
      <c r="J192" s="1">
        <f>IF($D192="","",IFERROR(INDEX(tblAccounts[Account Type],ROW()-1),""))</f>
      </c>
      <c r="K192" s="1">
        <f>IF($D192="","",IFERROR(INDEX(tblAccounts[Include in Dashboard],ROW()-1),""))</f>
      </c>
      <c r="L192" s="1">
        <f>IF($D192="","",IFERROR(INDEX(tblAccounts[Status],ROW()-1),""))</f>
      </c>
    </row>
    <row r="193">
      <c r="D193" s="1">
        <f>IFERROR(IF(INDEX(tblAccounts[Account Name],ROW()-1)="","",INDEX(tblAccounts[Account Name],ROW()-1)),"")</f>
      </c>
      <c r="E193" s="1">
        <f>IF($D193="","",IFERROR(INDEX(tblAccounts[Opening Balance],ROW()-1),0))</f>
      </c>
      <c r="F193" s="1">
        <f>IF($D193="","",IFERROR(SUMIFS(tblTransactions[Amount],tblTransactions[Transaction Type],"Income",tblTransactions[Source Account],$D193,tblTransactions[Transaction Status],"Completed")+SUMIFS(tblTransactions[Amount],tblTransactions[Transaction Type],"Income",tblTransactions[Source Account],$D193,tblTransactions[Transaction Status],"Reconciled")+SUMIFS(tblTransactions[Amount],tblTransactions[Transaction Type],"Transfer",tblTransactions[Destination Type],"Account",tblTransactions[Destination Name],$D193,tblTransactions[Transaction Status],"Completed")+SUMIFS(tblTransactions[Amount],tblTransactions[Transaction Type],"Transfer",tblTransactions[Destination Type],"Account",tblTransactions[Destination Name],$D193,tblTransactions[Transaction Status],"Reconciled")+SUMIFS(tblTransactions[Amount],tblTransactions[Transaction Type],"Adjustment",tblTransactions[Source Account],$D193,tblTransactions[Transaction Status],"Completed",tblTransactions[Amount],"&gt;0")+SUMIFS(tblTransactions[Amount],tblTransactions[Transaction Type],"Adjustment",tblTransactions[Source Account],$D193,tblTransactions[Transaction Status],"Reconciled",tblTransactions[Amount],"&gt;0"),0))</f>
      </c>
      <c r="G193" s="1">
        <f>IF($D193="","",IFERROR(SUMIFS(tblTransactions[Amount],tblTransactions[Transaction Type],"Expense",tblTransactions[Source Account],$D193,tblTransactions[Transaction Status],"Completed")+SUMIFS(tblTransactions[Amount],tblTransactions[Transaction Type],"Expense",tblTransactions[Source Account],$D193,tblTransactions[Transaction Status],"Reconciled")+SUMIFS(tblTransactions[Amount],tblTransactions[Transaction Type],"Transfer",tblTransactions[Source Account],$D193,tblTransactions[Transaction Status],"Completed")+SUMIFS(tblTransactions[Amount],tblTransactions[Transaction Type],"Transfer",tblTransactions[Source Account],$D193,tblTransactions[Transaction Status],"Reconciled")-SUMIFS(tblTransactions[Amount],tblTransactions[Transaction Type],"Adjustment",tblTransactions[Source Account],$D193,tblTransactions[Transaction Status],"Completed",tblTransactions[Amount],"&lt;0")-SUMIFS(tblTransactions[Amount],tblTransactions[Transaction Type],"Adjustment",tblTransactions[Source Account],$D193,tblTransactions[Transaction Status],"Reconciled",tblTransactions[Amount],"&lt;0"),0))</f>
      </c>
      <c r="H193" s="1">
        <f>IF($D193="","",$E193+$F193-$G193)</f>
      </c>
      <c r="I193" s="4">
        <f>IF($D193="","",IFERROR(LOOKUP(2,1/(((tblTransactions[Source Account]=$D193)+((tblTransactions[Transaction Type]="Transfer")*(tblTransactions[Destination Type]="Account")*(tblTransactions[Destination Name]=$D193)))*((tblTransactions[Transaction Status]="Completed")+(tblTransactions[Transaction Status]="Reconciled"))),tblTransactions[Transaction Date]),""))</f>
      </c>
      <c r="J193" s="1">
        <f>IF($D193="","",IFERROR(INDEX(tblAccounts[Account Type],ROW()-1),""))</f>
      </c>
      <c r="K193" s="1">
        <f>IF($D193="","",IFERROR(INDEX(tblAccounts[Include in Dashboard],ROW()-1),""))</f>
      </c>
      <c r="L193" s="1">
        <f>IF($D193="","",IFERROR(INDEX(tblAccounts[Status],ROW()-1),""))</f>
      </c>
    </row>
    <row r="194">
      <c r="D194" s="1">
        <f>IFERROR(IF(INDEX(tblAccounts[Account Name],ROW()-1)="","",INDEX(tblAccounts[Account Name],ROW()-1)),"")</f>
      </c>
      <c r="E194" s="1">
        <f>IF($D194="","",IFERROR(INDEX(tblAccounts[Opening Balance],ROW()-1),0))</f>
      </c>
      <c r="F194" s="1">
        <f>IF($D194="","",IFERROR(SUMIFS(tblTransactions[Amount],tblTransactions[Transaction Type],"Income",tblTransactions[Source Account],$D194,tblTransactions[Transaction Status],"Completed")+SUMIFS(tblTransactions[Amount],tblTransactions[Transaction Type],"Income",tblTransactions[Source Account],$D194,tblTransactions[Transaction Status],"Reconciled")+SUMIFS(tblTransactions[Amount],tblTransactions[Transaction Type],"Transfer",tblTransactions[Destination Type],"Account",tblTransactions[Destination Name],$D194,tblTransactions[Transaction Status],"Completed")+SUMIFS(tblTransactions[Amount],tblTransactions[Transaction Type],"Transfer",tblTransactions[Destination Type],"Account",tblTransactions[Destination Name],$D194,tblTransactions[Transaction Status],"Reconciled")+SUMIFS(tblTransactions[Amount],tblTransactions[Transaction Type],"Adjustment",tblTransactions[Source Account],$D194,tblTransactions[Transaction Status],"Completed",tblTransactions[Amount],"&gt;0")+SUMIFS(tblTransactions[Amount],tblTransactions[Transaction Type],"Adjustment",tblTransactions[Source Account],$D194,tblTransactions[Transaction Status],"Reconciled",tblTransactions[Amount],"&gt;0"),0))</f>
      </c>
      <c r="G194" s="1">
        <f>IF($D194="","",IFERROR(SUMIFS(tblTransactions[Amount],tblTransactions[Transaction Type],"Expense",tblTransactions[Source Account],$D194,tblTransactions[Transaction Status],"Completed")+SUMIFS(tblTransactions[Amount],tblTransactions[Transaction Type],"Expense",tblTransactions[Source Account],$D194,tblTransactions[Transaction Status],"Reconciled")+SUMIFS(tblTransactions[Amount],tblTransactions[Transaction Type],"Transfer",tblTransactions[Source Account],$D194,tblTransactions[Transaction Status],"Completed")+SUMIFS(tblTransactions[Amount],tblTransactions[Transaction Type],"Transfer",tblTransactions[Source Account],$D194,tblTransactions[Transaction Status],"Reconciled")-SUMIFS(tblTransactions[Amount],tblTransactions[Transaction Type],"Adjustment",tblTransactions[Source Account],$D194,tblTransactions[Transaction Status],"Completed",tblTransactions[Amount],"&lt;0")-SUMIFS(tblTransactions[Amount],tblTransactions[Transaction Type],"Adjustment",tblTransactions[Source Account],$D194,tblTransactions[Transaction Status],"Reconciled",tblTransactions[Amount],"&lt;0"),0))</f>
      </c>
      <c r="H194" s="1">
        <f>IF($D194="","",$E194+$F194-$G194)</f>
      </c>
      <c r="I194" s="4">
        <f>IF($D194="","",IFERROR(LOOKUP(2,1/(((tblTransactions[Source Account]=$D194)+((tblTransactions[Transaction Type]="Transfer")*(tblTransactions[Destination Type]="Account")*(tblTransactions[Destination Name]=$D194)))*((tblTransactions[Transaction Status]="Completed")+(tblTransactions[Transaction Status]="Reconciled"))),tblTransactions[Transaction Date]),""))</f>
      </c>
      <c r="J194" s="1">
        <f>IF($D194="","",IFERROR(INDEX(tblAccounts[Account Type],ROW()-1),""))</f>
      </c>
      <c r="K194" s="1">
        <f>IF($D194="","",IFERROR(INDEX(tblAccounts[Include in Dashboard],ROW()-1),""))</f>
      </c>
      <c r="L194" s="1">
        <f>IF($D194="","",IFERROR(INDEX(tblAccounts[Status],ROW()-1),""))</f>
      </c>
    </row>
    <row r="195">
      <c r="D195" s="1">
        <f>IFERROR(IF(INDEX(tblAccounts[Account Name],ROW()-1)="","",INDEX(tblAccounts[Account Name],ROW()-1)),"")</f>
      </c>
      <c r="E195" s="1">
        <f>IF($D195="","",IFERROR(INDEX(tblAccounts[Opening Balance],ROW()-1),0))</f>
      </c>
      <c r="F195" s="1">
        <f>IF($D195="","",IFERROR(SUMIFS(tblTransactions[Amount],tblTransactions[Transaction Type],"Income",tblTransactions[Source Account],$D195,tblTransactions[Transaction Status],"Completed")+SUMIFS(tblTransactions[Amount],tblTransactions[Transaction Type],"Income",tblTransactions[Source Account],$D195,tblTransactions[Transaction Status],"Reconciled")+SUMIFS(tblTransactions[Amount],tblTransactions[Transaction Type],"Transfer",tblTransactions[Destination Type],"Account",tblTransactions[Destination Name],$D195,tblTransactions[Transaction Status],"Completed")+SUMIFS(tblTransactions[Amount],tblTransactions[Transaction Type],"Transfer",tblTransactions[Destination Type],"Account",tblTransactions[Destination Name],$D195,tblTransactions[Transaction Status],"Reconciled")+SUMIFS(tblTransactions[Amount],tblTransactions[Transaction Type],"Adjustment",tblTransactions[Source Account],$D195,tblTransactions[Transaction Status],"Completed",tblTransactions[Amount],"&gt;0")+SUMIFS(tblTransactions[Amount],tblTransactions[Transaction Type],"Adjustment",tblTransactions[Source Account],$D195,tblTransactions[Transaction Status],"Reconciled",tblTransactions[Amount],"&gt;0"),0))</f>
      </c>
      <c r="G195" s="1">
        <f>IF($D195="","",IFERROR(SUMIFS(tblTransactions[Amount],tblTransactions[Transaction Type],"Expense",tblTransactions[Source Account],$D195,tblTransactions[Transaction Status],"Completed")+SUMIFS(tblTransactions[Amount],tblTransactions[Transaction Type],"Expense",tblTransactions[Source Account],$D195,tblTransactions[Transaction Status],"Reconciled")+SUMIFS(tblTransactions[Amount],tblTransactions[Transaction Type],"Transfer",tblTransactions[Source Account],$D195,tblTransactions[Transaction Status],"Completed")+SUMIFS(tblTransactions[Amount],tblTransactions[Transaction Type],"Transfer",tblTransactions[Source Account],$D195,tblTransactions[Transaction Status],"Reconciled")-SUMIFS(tblTransactions[Amount],tblTransactions[Transaction Type],"Adjustment",tblTransactions[Source Account],$D195,tblTransactions[Transaction Status],"Completed",tblTransactions[Amount],"&lt;0")-SUMIFS(tblTransactions[Amount],tblTransactions[Transaction Type],"Adjustment",tblTransactions[Source Account],$D195,tblTransactions[Transaction Status],"Reconciled",tblTransactions[Amount],"&lt;0"),0))</f>
      </c>
      <c r="H195" s="1">
        <f>IF($D195="","",$E195+$F195-$G195)</f>
      </c>
      <c r="I195" s="4">
        <f>IF($D195="","",IFERROR(LOOKUP(2,1/(((tblTransactions[Source Account]=$D195)+((tblTransactions[Transaction Type]="Transfer")*(tblTransactions[Destination Type]="Account")*(tblTransactions[Destination Name]=$D195)))*((tblTransactions[Transaction Status]="Completed")+(tblTransactions[Transaction Status]="Reconciled"))),tblTransactions[Transaction Date]),""))</f>
      </c>
      <c r="J195" s="1">
        <f>IF($D195="","",IFERROR(INDEX(tblAccounts[Account Type],ROW()-1),""))</f>
      </c>
      <c r="K195" s="1">
        <f>IF($D195="","",IFERROR(INDEX(tblAccounts[Include in Dashboard],ROW()-1),""))</f>
      </c>
      <c r="L195" s="1">
        <f>IF($D195="","",IFERROR(INDEX(tblAccounts[Status],ROW()-1),""))</f>
      </c>
    </row>
    <row r="196">
      <c r="D196" s="1">
        <f>IFERROR(IF(INDEX(tblAccounts[Account Name],ROW()-1)="","",INDEX(tblAccounts[Account Name],ROW()-1)),"")</f>
      </c>
      <c r="E196" s="1">
        <f>IF($D196="","",IFERROR(INDEX(tblAccounts[Opening Balance],ROW()-1),0))</f>
      </c>
      <c r="F196" s="1">
        <f>IF($D196="","",IFERROR(SUMIFS(tblTransactions[Amount],tblTransactions[Transaction Type],"Income",tblTransactions[Source Account],$D196,tblTransactions[Transaction Status],"Completed")+SUMIFS(tblTransactions[Amount],tblTransactions[Transaction Type],"Income",tblTransactions[Source Account],$D196,tblTransactions[Transaction Status],"Reconciled")+SUMIFS(tblTransactions[Amount],tblTransactions[Transaction Type],"Transfer",tblTransactions[Destination Type],"Account",tblTransactions[Destination Name],$D196,tblTransactions[Transaction Status],"Completed")+SUMIFS(tblTransactions[Amount],tblTransactions[Transaction Type],"Transfer",tblTransactions[Destination Type],"Account",tblTransactions[Destination Name],$D196,tblTransactions[Transaction Status],"Reconciled")+SUMIFS(tblTransactions[Amount],tblTransactions[Transaction Type],"Adjustment",tblTransactions[Source Account],$D196,tblTransactions[Transaction Status],"Completed",tblTransactions[Amount],"&gt;0")+SUMIFS(tblTransactions[Amount],tblTransactions[Transaction Type],"Adjustment",tblTransactions[Source Account],$D196,tblTransactions[Transaction Status],"Reconciled",tblTransactions[Amount],"&gt;0"),0))</f>
      </c>
      <c r="G196" s="1">
        <f>IF($D196="","",IFERROR(SUMIFS(tblTransactions[Amount],tblTransactions[Transaction Type],"Expense",tblTransactions[Source Account],$D196,tblTransactions[Transaction Status],"Completed")+SUMIFS(tblTransactions[Amount],tblTransactions[Transaction Type],"Expense",tblTransactions[Source Account],$D196,tblTransactions[Transaction Status],"Reconciled")+SUMIFS(tblTransactions[Amount],tblTransactions[Transaction Type],"Transfer",tblTransactions[Source Account],$D196,tblTransactions[Transaction Status],"Completed")+SUMIFS(tblTransactions[Amount],tblTransactions[Transaction Type],"Transfer",tblTransactions[Source Account],$D196,tblTransactions[Transaction Status],"Reconciled")-SUMIFS(tblTransactions[Amount],tblTransactions[Transaction Type],"Adjustment",tblTransactions[Source Account],$D196,tblTransactions[Transaction Status],"Completed",tblTransactions[Amount],"&lt;0")-SUMIFS(tblTransactions[Amount],tblTransactions[Transaction Type],"Adjustment",tblTransactions[Source Account],$D196,tblTransactions[Transaction Status],"Reconciled",tblTransactions[Amount],"&lt;0"),0))</f>
      </c>
      <c r="H196" s="1">
        <f>IF($D196="","",$E196+$F196-$G196)</f>
      </c>
      <c r="I196" s="4">
        <f>IF($D196="","",IFERROR(LOOKUP(2,1/(((tblTransactions[Source Account]=$D196)+((tblTransactions[Transaction Type]="Transfer")*(tblTransactions[Destination Type]="Account")*(tblTransactions[Destination Name]=$D196)))*((tblTransactions[Transaction Status]="Completed")+(tblTransactions[Transaction Status]="Reconciled"))),tblTransactions[Transaction Date]),""))</f>
      </c>
      <c r="J196" s="1">
        <f>IF($D196="","",IFERROR(INDEX(tblAccounts[Account Type],ROW()-1),""))</f>
      </c>
      <c r="K196" s="1">
        <f>IF($D196="","",IFERROR(INDEX(tblAccounts[Include in Dashboard],ROW()-1),""))</f>
      </c>
      <c r="L196" s="1">
        <f>IF($D196="","",IFERROR(INDEX(tblAccounts[Status],ROW()-1),""))</f>
      </c>
    </row>
    <row r="197">
      <c r="D197" s="1">
        <f>IFERROR(IF(INDEX(tblAccounts[Account Name],ROW()-1)="","",INDEX(tblAccounts[Account Name],ROW()-1)),"")</f>
      </c>
      <c r="E197" s="1">
        <f>IF($D197="","",IFERROR(INDEX(tblAccounts[Opening Balance],ROW()-1),0))</f>
      </c>
      <c r="F197" s="1">
        <f>IF($D197="","",IFERROR(SUMIFS(tblTransactions[Amount],tblTransactions[Transaction Type],"Income",tblTransactions[Source Account],$D197,tblTransactions[Transaction Status],"Completed")+SUMIFS(tblTransactions[Amount],tblTransactions[Transaction Type],"Income",tblTransactions[Source Account],$D197,tblTransactions[Transaction Status],"Reconciled")+SUMIFS(tblTransactions[Amount],tblTransactions[Transaction Type],"Transfer",tblTransactions[Destination Type],"Account",tblTransactions[Destination Name],$D197,tblTransactions[Transaction Status],"Completed")+SUMIFS(tblTransactions[Amount],tblTransactions[Transaction Type],"Transfer",tblTransactions[Destination Type],"Account",tblTransactions[Destination Name],$D197,tblTransactions[Transaction Status],"Reconciled")+SUMIFS(tblTransactions[Amount],tblTransactions[Transaction Type],"Adjustment",tblTransactions[Source Account],$D197,tblTransactions[Transaction Status],"Completed",tblTransactions[Amount],"&gt;0")+SUMIFS(tblTransactions[Amount],tblTransactions[Transaction Type],"Adjustment",tblTransactions[Source Account],$D197,tblTransactions[Transaction Status],"Reconciled",tblTransactions[Amount],"&gt;0"),0))</f>
      </c>
      <c r="G197" s="1">
        <f>IF($D197="","",IFERROR(SUMIFS(tblTransactions[Amount],tblTransactions[Transaction Type],"Expense",tblTransactions[Source Account],$D197,tblTransactions[Transaction Status],"Completed")+SUMIFS(tblTransactions[Amount],tblTransactions[Transaction Type],"Expense",tblTransactions[Source Account],$D197,tblTransactions[Transaction Status],"Reconciled")+SUMIFS(tblTransactions[Amount],tblTransactions[Transaction Type],"Transfer",tblTransactions[Source Account],$D197,tblTransactions[Transaction Status],"Completed")+SUMIFS(tblTransactions[Amount],tblTransactions[Transaction Type],"Transfer",tblTransactions[Source Account],$D197,tblTransactions[Transaction Status],"Reconciled")-SUMIFS(tblTransactions[Amount],tblTransactions[Transaction Type],"Adjustment",tblTransactions[Source Account],$D197,tblTransactions[Transaction Status],"Completed",tblTransactions[Amount],"&lt;0")-SUMIFS(tblTransactions[Amount],tblTransactions[Transaction Type],"Adjustment",tblTransactions[Source Account],$D197,tblTransactions[Transaction Status],"Reconciled",tblTransactions[Amount],"&lt;0"),0))</f>
      </c>
      <c r="H197" s="1">
        <f>IF($D197="","",$E197+$F197-$G197)</f>
      </c>
      <c r="I197" s="4">
        <f>IF($D197="","",IFERROR(LOOKUP(2,1/(((tblTransactions[Source Account]=$D197)+((tblTransactions[Transaction Type]="Transfer")*(tblTransactions[Destination Type]="Account")*(tblTransactions[Destination Name]=$D197)))*((tblTransactions[Transaction Status]="Completed")+(tblTransactions[Transaction Status]="Reconciled"))),tblTransactions[Transaction Date]),""))</f>
      </c>
      <c r="J197" s="1">
        <f>IF($D197="","",IFERROR(INDEX(tblAccounts[Account Type],ROW()-1),""))</f>
      </c>
      <c r="K197" s="1">
        <f>IF($D197="","",IFERROR(INDEX(tblAccounts[Include in Dashboard],ROW()-1),""))</f>
      </c>
      <c r="L197" s="1">
        <f>IF($D197="","",IFERROR(INDEX(tblAccounts[Status],ROW()-1),""))</f>
      </c>
    </row>
    <row r="198">
      <c r="D198" s="1">
        <f>IFERROR(IF(INDEX(tblAccounts[Account Name],ROW()-1)="","",INDEX(tblAccounts[Account Name],ROW()-1)),"")</f>
      </c>
      <c r="E198" s="1">
        <f>IF($D198="","",IFERROR(INDEX(tblAccounts[Opening Balance],ROW()-1),0))</f>
      </c>
      <c r="F198" s="1">
        <f>IF($D198="","",IFERROR(SUMIFS(tblTransactions[Amount],tblTransactions[Transaction Type],"Income",tblTransactions[Source Account],$D198,tblTransactions[Transaction Status],"Completed")+SUMIFS(tblTransactions[Amount],tblTransactions[Transaction Type],"Income",tblTransactions[Source Account],$D198,tblTransactions[Transaction Status],"Reconciled")+SUMIFS(tblTransactions[Amount],tblTransactions[Transaction Type],"Transfer",tblTransactions[Destination Type],"Account",tblTransactions[Destination Name],$D198,tblTransactions[Transaction Status],"Completed")+SUMIFS(tblTransactions[Amount],tblTransactions[Transaction Type],"Transfer",tblTransactions[Destination Type],"Account",tblTransactions[Destination Name],$D198,tblTransactions[Transaction Status],"Reconciled")+SUMIFS(tblTransactions[Amount],tblTransactions[Transaction Type],"Adjustment",tblTransactions[Source Account],$D198,tblTransactions[Transaction Status],"Completed",tblTransactions[Amount],"&gt;0")+SUMIFS(tblTransactions[Amount],tblTransactions[Transaction Type],"Adjustment",tblTransactions[Source Account],$D198,tblTransactions[Transaction Status],"Reconciled",tblTransactions[Amount],"&gt;0"),0))</f>
      </c>
      <c r="G198" s="1">
        <f>IF($D198="","",IFERROR(SUMIFS(tblTransactions[Amount],tblTransactions[Transaction Type],"Expense",tblTransactions[Source Account],$D198,tblTransactions[Transaction Status],"Completed")+SUMIFS(tblTransactions[Amount],tblTransactions[Transaction Type],"Expense",tblTransactions[Source Account],$D198,tblTransactions[Transaction Status],"Reconciled")+SUMIFS(tblTransactions[Amount],tblTransactions[Transaction Type],"Transfer",tblTransactions[Source Account],$D198,tblTransactions[Transaction Status],"Completed")+SUMIFS(tblTransactions[Amount],tblTransactions[Transaction Type],"Transfer",tblTransactions[Source Account],$D198,tblTransactions[Transaction Status],"Reconciled")-SUMIFS(tblTransactions[Amount],tblTransactions[Transaction Type],"Adjustment",tblTransactions[Source Account],$D198,tblTransactions[Transaction Status],"Completed",tblTransactions[Amount],"&lt;0")-SUMIFS(tblTransactions[Amount],tblTransactions[Transaction Type],"Adjustment",tblTransactions[Source Account],$D198,tblTransactions[Transaction Status],"Reconciled",tblTransactions[Amount],"&lt;0"),0))</f>
      </c>
      <c r="H198" s="1">
        <f>IF($D198="","",$E198+$F198-$G198)</f>
      </c>
      <c r="I198" s="4">
        <f>IF($D198="","",IFERROR(LOOKUP(2,1/(((tblTransactions[Source Account]=$D198)+((tblTransactions[Transaction Type]="Transfer")*(tblTransactions[Destination Type]="Account")*(tblTransactions[Destination Name]=$D198)))*((tblTransactions[Transaction Status]="Completed")+(tblTransactions[Transaction Status]="Reconciled"))),tblTransactions[Transaction Date]),""))</f>
      </c>
      <c r="J198" s="1">
        <f>IF($D198="","",IFERROR(INDEX(tblAccounts[Account Type],ROW()-1),""))</f>
      </c>
      <c r="K198" s="1">
        <f>IF($D198="","",IFERROR(INDEX(tblAccounts[Include in Dashboard],ROW()-1),""))</f>
      </c>
      <c r="L198" s="1">
        <f>IF($D198="","",IFERROR(INDEX(tblAccounts[Status],ROW()-1),""))</f>
      </c>
    </row>
    <row r="199">
      <c r="D199" s="1">
        <f>IFERROR(IF(INDEX(tblAccounts[Account Name],ROW()-1)="","",INDEX(tblAccounts[Account Name],ROW()-1)),"")</f>
      </c>
      <c r="E199" s="1">
        <f>IF($D199="","",IFERROR(INDEX(tblAccounts[Opening Balance],ROW()-1),0))</f>
      </c>
      <c r="F199" s="1">
        <f>IF($D199="","",IFERROR(SUMIFS(tblTransactions[Amount],tblTransactions[Transaction Type],"Income",tblTransactions[Source Account],$D199,tblTransactions[Transaction Status],"Completed")+SUMIFS(tblTransactions[Amount],tblTransactions[Transaction Type],"Income",tblTransactions[Source Account],$D199,tblTransactions[Transaction Status],"Reconciled")+SUMIFS(tblTransactions[Amount],tblTransactions[Transaction Type],"Transfer",tblTransactions[Destination Type],"Account",tblTransactions[Destination Name],$D199,tblTransactions[Transaction Status],"Completed")+SUMIFS(tblTransactions[Amount],tblTransactions[Transaction Type],"Transfer",tblTransactions[Destination Type],"Account",tblTransactions[Destination Name],$D199,tblTransactions[Transaction Status],"Reconciled")+SUMIFS(tblTransactions[Amount],tblTransactions[Transaction Type],"Adjustment",tblTransactions[Source Account],$D199,tblTransactions[Transaction Status],"Completed",tblTransactions[Amount],"&gt;0")+SUMIFS(tblTransactions[Amount],tblTransactions[Transaction Type],"Adjustment",tblTransactions[Source Account],$D199,tblTransactions[Transaction Status],"Reconciled",tblTransactions[Amount],"&gt;0"),0))</f>
      </c>
      <c r="G199" s="1">
        <f>IF($D199="","",IFERROR(SUMIFS(tblTransactions[Amount],tblTransactions[Transaction Type],"Expense",tblTransactions[Source Account],$D199,tblTransactions[Transaction Status],"Completed")+SUMIFS(tblTransactions[Amount],tblTransactions[Transaction Type],"Expense",tblTransactions[Source Account],$D199,tblTransactions[Transaction Status],"Reconciled")+SUMIFS(tblTransactions[Amount],tblTransactions[Transaction Type],"Transfer",tblTransactions[Source Account],$D199,tblTransactions[Transaction Status],"Completed")+SUMIFS(tblTransactions[Amount],tblTransactions[Transaction Type],"Transfer",tblTransactions[Source Account],$D199,tblTransactions[Transaction Status],"Reconciled")-SUMIFS(tblTransactions[Amount],tblTransactions[Transaction Type],"Adjustment",tblTransactions[Source Account],$D199,tblTransactions[Transaction Status],"Completed",tblTransactions[Amount],"&lt;0")-SUMIFS(tblTransactions[Amount],tblTransactions[Transaction Type],"Adjustment",tblTransactions[Source Account],$D199,tblTransactions[Transaction Status],"Reconciled",tblTransactions[Amount],"&lt;0"),0))</f>
      </c>
      <c r="H199" s="1">
        <f>IF($D199="","",$E199+$F199-$G199)</f>
      </c>
      <c r="I199" s="4">
        <f>IF($D199="","",IFERROR(LOOKUP(2,1/(((tblTransactions[Source Account]=$D199)+((tblTransactions[Transaction Type]="Transfer")*(tblTransactions[Destination Type]="Account")*(tblTransactions[Destination Name]=$D199)))*((tblTransactions[Transaction Status]="Completed")+(tblTransactions[Transaction Status]="Reconciled"))),tblTransactions[Transaction Date]),""))</f>
      </c>
      <c r="J199" s="1">
        <f>IF($D199="","",IFERROR(INDEX(tblAccounts[Account Type],ROW()-1),""))</f>
      </c>
      <c r="K199" s="1">
        <f>IF($D199="","",IFERROR(INDEX(tblAccounts[Include in Dashboard],ROW()-1),""))</f>
      </c>
      <c r="L199" s="1">
        <f>IF($D199="","",IFERROR(INDEX(tblAccounts[Status],ROW()-1),""))</f>
      </c>
    </row>
    <row r="200">
      <c r="D200" s="1">
        <f>IFERROR(IF(INDEX(tblAccounts[Account Name],ROW()-1)="","",INDEX(tblAccounts[Account Name],ROW()-1)),"")</f>
      </c>
      <c r="E200" s="1">
        <f>IF($D200="","",IFERROR(INDEX(tblAccounts[Opening Balance],ROW()-1),0))</f>
      </c>
      <c r="F200" s="1">
        <f>IF($D200="","",IFERROR(SUMIFS(tblTransactions[Amount],tblTransactions[Transaction Type],"Income",tblTransactions[Source Account],$D200,tblTransactions[Transaction Status],"Completed")+SUMIFS(tblTransactions[Amount],tblTransactions[Transaction Type],"Income",tblTransactions[Source Account],$D200,tblTransactions[Transaction Status],"Reconciled")+SUMIFS(tblTransactions[Amount],tblTransactions[Transaction Type],"Transfer",tblTransactions[Destination Type],"Account",tblTransactions[Destination Name],$D200,tblTransactions[Transaction Status],"Completed")+SUMIFS(tblTransactions[Amount],tblTransactions[Transaction Type],"Transfer",tblTransactions[Destination Type],"Account",tblTransactions[Destination Name],$D200,tblTransactions[Transaction Status],"Reconciled")+SUMIFS(tblTransactions[Amount],tblTransactions[Transaction Type],"Adjustment",tblTransactions[Source Account],$D200,tblTransactions[Transaction Status],"Completed",tblTransactions[Amount],"&gt;0")+SUMIFS(tblTransactions[Amount],tblTransactions[Transaction Type],"Adjustment",tblTransactions[Source Account],$D200,tblTransactions[Transaction Status],"Reconciled",tblTransactions[Amount],"&gt;0"),0))</f>
      </c>
      <c r="G200" s="1">
        <f>IF($D200="","",IFERROR(SUMIFS(tblTransactions[Amount],tblTransactions[Transaction Type],"Expense",tblTransactions[Source Account],$D200,tblTransactions[Transaction Status],"Completed")+SUMIFS(tblTransactions[Amount],tblTransactions[Transaction Type],"Expense",tblTransactions[Source Account],$D200,tblTransactions[Transaction Status],"Reconciled")+SUMIFS(tblTransactions[Amount],tblTransactions[Transaction Type],"Transfer",tblTransactions[Source Account],$D200,tblTransactions[Transaction Status],"Completed")+SUMIFS(tblTransactions[Amount],tblTransactions[Transaction Type],"Transfer",tblTransactions[Source Account],$D200,tblTransactions[Transaction Status],"Reconciled")-SUMIFS(tblTransactions[Amount],tblTransactions[Transaction Type],"Adjustment",tblTransactions[Source Account],$D200,tblTransactions[Transaction Status],"Completed",tblTransactions[Amount],"&lt;0")-SUMIFS(tblTransactions[Amount],tblTransactions[Transaction Type],"Adjustment",tblTransactions[Source Account],$D200,tblTransactions[Transaction Status],"Reconciled",tblTransactions[Amount],"&lt;0"),0))</f>
      </c>
      <c r="H200" s="1">
        <f>IF($D200="","",$E200+$F200-$G200)</f>
      </c>
      <c r="I200" s="4">
        <f>IF($D200="","",IFERROR(LOOKUP(2,1/(((tblTransactions[Source Account]=$D200)+((tblTransactions[Transaction Type]="Transfer")*(tblTransactions[Destination Type]="Account")*(tblTransactions[Destination Name]=$D200)))*((tblTransactions[Transaction Status]="Completed")+(tblTransactions[Transaction Status]="Reconciled"))),tblTransactions[Transaction Date]),""))</f>
      </c>
      <c r="J200" s="1">
        <f>IF($D200="","",IFERROR(INDEX(tblAccounts[Account Type],ROW()-1),""))</f>
      </c>
      <c r="K200" s="1">
        <f>IF($D200="","",IFERROR(INDEX(tblAccounts[Include in Dashboard],ROW()-1),""))</f>
      </c>
      <c r="L200" s="1">
        <f>IF($D200="","",IFERROR(INDEX(tblAccounts[Status],ROW()-1),""))</f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54"/>
  <sheetViews>
    <sheetView workbookViewId="0"/>
  </sheetViews>
  <sheetFormatPr defaultRowHeight="14.4" x14ac:dyDescent="0.3"/>
  <cols>
    <col min="1" max="1" width="42" customWidth="1"/>
    <col min="2" max="2" width="18" customWidth="1"/>
    <col min="3" max="3" width="18" customWidth="1"/>
    <col min="4" max="4" width="22" customWidth="1"/>
    <col min="5" max="5" width="16" customWidth="1"/>
    <col min="6" max="6" width="10" customWidth="1"/>
    <col min="26" max="26" width="12" customWidth="1"/>
    <col min="27" max="27" width="14" customWidth="1"/>
  </cols>
  <sheetData>
    <row r="1">
      <c r="A1" s="3" t="s">
        <v>177</v>
      </c>
      <c r="Z1" s="1" t="s">
        <v>280</v>
      </c>
      <c r="AA1" s="1">
        <f>DATE(YEAR('Business Engine'!$B$1),MONTH('Business Engine'!$B$1),1)</f>
      </c>
    </row>
    <row r="2">
      <c r="A2" s="1" t="s">
        <v>223</v>
      </c>
      <c r="B2" s="4">
        <f>'Business Engine'!$B$1</f>
      </c>
      <c r="Z2" s="1" t="s">
        <v>281</v>
      </c>
      <c r="AA2" s="1">
        <f>DATE(YEAR('Business Engine'!$B$1),MONTH('Business Engine'!$B$1)+1,1)</f>
      </c>
    </row>
    <row r="3">
      <c r="Z3" s="1" t="s">
        <v>282</v>
      </c>
      <c r="AA3" s="1">
        <f>DATE(YEAR('Business Engine'!$B$1),MONTH('Business Engine'!$B$1)-1,1)</f>
      </c>
    </row>
    <row r="4">
      <c r="A4" s="1" t="s">
        <v>286</v>
      </c>
      <c r="Z4" s="1" t="s">
        <v>283</v>
      </c>
      <c r="AA4" s="1">
        <f>DATE(YEAR('Business Engine'!$B$1),1,1)</f>
      </c>
    </row>
    <row r="5">
      <c r="A5" s="1" t="s">
        <v>287</v>
      </c>
      <c r="B5" s="1" t="s">
        <v>288</v>
      </c>
      <c r="C5" s="1" t="s">
        <v>289</v>
      </c>
      <c r="D5" s="1" t="s">
        <v>290</v>
      </c>
      <c r="Z5" s="1" t="s">
        <v>284</v>
      </c>
      <c r="AA5" s="4">
        <f>'Business Engine'!$B$1</f>
      </c>
    </row>
    <row r="6">
      <c r="A6" s="1" t="s">
        <v>291</v>
      </c>
      <c r="B6" s="1">
        <f>'Business Engine'!$B$16</f>
      </c>
      <c r="C6" s="1">
        <f>IFERROR(SUMIFS(tblTransactions[Amount],tblTransactions[Transaction Type],"Income",tblTransactions[Transaction Date],"&gt;="&amp;$AA$3,tblTransactions[Transaction Date],"&lt;"&amp;$AA$1),0)</f>
      </c>
      <c r="D6" s="1">
        <f>IFERROR(SUMIFS(tblTransactions[Amount],tblTransactions[Transaction Type],"Income",tblTransactions[Transaction Date],"&gt;="&amp;$AA$4,tblTransactions[Transaction Date],"&lt;="&amp;$AA$5),0)</f>
      </c>
      <c r="Z6" s="1" t="s">
        <v>285</v>
      </c>
      <c r="AA6" s="1">
        <f>DATE(YEAR('Business Engine'!$B$1)+1,1,1)</f>
      </c>
    </row>
    <row r="7">
      <c r="A7" s="1" t="s">
        <v>214</v>
      </c>
      <c r="B7" s="1">
        <f>'Business Engine'!$B$12</f>
      </c>
      <c r="C7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Name],0)),"")="Salary")),0)</f>
      </c>
      <c r="D7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Name],0)),"")="Salary")),0)</f>
      </c>
    </row>
    <row r="8">
      <c r="A8" s="1" t="s">
        <v>221</v>
      </c>
      <c r="B8" s="1">
        <f>'Business Engine'!$B$13</f>
      </c>
      <c r="C8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Name],0)),"")="Business Income")),0)</f>
      </c>
      <c r="D8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Name],0)),"")="Business Income")),0)</f>
      </c>
    </row>
    <row r="9">
      <c r="A9" s="1" t="s">
        <v>215</v>
      </c>
      <c r="B9" s="1">
        <f>'Business Engine'!$B$14</f>
      </c>
      <c r="C9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Name],0)),"")="Freelance")),0)</f>
      </c>
      <c r="D9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Name],0)),"")="Freelance")),0)</f>
      </c>
    </row>
    <row r="10">
      <c r="A10" s="1" t="s">
        <v>222</v>
      </c>
      <c r="B10" s="1">
        <f>'Business Engine'!$B$15</f>
      </c>
      <c r="C10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Name],0)),"")="Investment")),0)</f>
      </c>
      <c r="D10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Name],0)),"")="Investment")),0)</f>
      </c>
    </row>
    <row r="11">
      <c r="A11" s="1" t="s">
        <v>292</v>
      </c>
      <c r="B11" s="1">
        <f>'Business Engine'!$B$17</f>
      </c>
      <c r="C11" s="1">
        <f>IFERROR(MAX(0,$C$6-($C$7+$C$8+$C$9+$C$10)),0)</f>
      </c>
      <c r="D11" s="1">
        <f>IFERROR(MAX(0,$D$6-($D$7+$D$8+$D$9+$D$10)),0)</f>
      </c>
    </row>
    <row r="13">
      <c r="A13" s="1" t="s">
        <v>293</v>
      </c>
      <c r="B13" s="1" t="s">
        <v>288</v>
      </c>
      <c r="C13" s="1" t="s">
        <v>289</v>
      </c>
      <c r="D13" s="1" t="s">
        <v>290</v>
      </c>
    </row>
    <row r="14">
      <c r="A14" s="1" t="s">
        <v>294</v>
      </c>
      <c r="B14" s="1">
        <f>'Business Engine'!$B$22</f>
      </c>
      <c r="C14" s="1">
        <f>IFERROR(SUMIFS(tblTransactions[Amount],tblTransactions[Transaction Type],"Expense",tblTransactions[Transaction Date],"&gt;="&amp;$AA$3,tblTransactions[Transaction Date],"&lt;"&amp;$AA$1),0)</f>
      </c>
      <c r="D14" s="1">
        <f>'Business Engine'!$B$24</f>
      </c>
    </row>
    <row r="16">
      <c r="A16" s="1" t="s">
        <v>63</v>
      </c>
      <c r="B16" s="1" t="s">
        <v>288</v>
      </c>
      <c r="C16" s="1" t="s">
        <v>289</v>
      </c>
      <c r="D16" s="1" t="s">
        <v>295</v>
      </c>
      <c r="E16" s="1" t="s">
        <v>296</v>
      </c>
      <c r="F16" s="1" t="s">
        <v>297</v>
      </c>
    </row>
    <row r="17">
      <c r="A17" s="1">
        <f>IFERROR(INDEX(tblCategories[Category Name],1),"")</f>
      </c>
      <c r="B17" s="1">
        <f>IFERROR(SUMIFS(tblTransactions[Amount],tblTransactions[Transaction Type],"Expense",tblTransactions[Category],A17,tblTransactions[Transaction Date],"&gt;="&amp;$AA$1,tblTransactions[Transaction Date],"&lt;"&amp;$AA$2),0)</f>
      </c>
      <c r="C17" s="1">
        <f>IFERROR(SUMIFS(tblTransactions[Amount],tblTransactions[Transaction Type],"Expense",tblTransactions[Category],A17,tblTransactions[Transaction Date],"&gt;="&amp;$AA$3,tblTransactions[Transaction Date],"&lt;"&amp;$AA$1),0)</f>
      </c>
      <c r="D17" s="1">
        <f>IFERROR(SUMIFS(tblTransactions[Amount],tblTransactions[Transaction Type],"Expense",tblTransactions[Category],A17,tblTransactions[Transaction Date],"&gt;="&amp;$AA$4,tblTransactions[Transaction Date],"&lt;="&amp;$AA$5),0)</f>
      </c>
      <c r="E17" s="1">
        <f>IFERROR(B17/$B$14,0)</f>
      </c>
      <c r="F17" s="1">
        <f>IF(A17="" ,"",1+COUNTIFS($B$17:$B$26,"&gt;"&amp;B17))</f>
      </c>
    </row>
    <row r="18">
      <c r="A18" s="1">
        <f>IFERROR(INDEX(tblCategories[Category Name],2),"")</f>
      </c>
      <c r="B18" s="1">
        <f>IFERROR(SUMIFS(tblTransactions[Amount],tblTransactions[Transaction Type],"Expense",tblTransactions[Category],A18,tblTransactions[Transaction Date],"&gt;="&amp;$AA$1,tblTransactions[Transaction Date],"&lt;"&amp;$AA$2),0)</f>
      </c>
      <c r="C18" s="1">
        <f>IFERROR(SUMIFS(tblTransactions[Amount],tblTransactions[Transaction Type],"Expense",tblTransactions[Category],A18,tblTransactions[Transaction Date],"&gt;="&amp;$AA$3,tblTransactions[Transaction Date],"&lt;"&amp;$AA$1),0)</f>
      </c>
      <c r="D18" s="1">
        <f>IFERROR(SUMIFS(tblTransactions[Amount],tblTransactions[Transaction Type],"Expense",tblTransactions[Category],A18,tblTransactions[Transaction Date],"&gt;="&amp;$AA$4,tblTransactions[Transaction Date],"&lt;="&amp;$AA$5),0)</f>
      </c>
      <c r="E18" s="1">
        <f>IFERROR(B18/$B$14,0)</f>
      </c>
      <c r="F18" s="1">
        <f>IF(A18="" ,"",1+COUNTIFS($B$17:$B$26,"&gt;"&amp;B18))</f>
      </c>
    </row>
    <row r="19">
      <c r="A19" s="1">
        <f>IFERROR(INDEX(tblCategories[Category Name],3),"")</f>
      </c>
      <c r="B19" s="1">
        <f>IFERROR(SUMIFS(tblTransactions[Amount],tblTransactions[Transaction Type],"Expense",tblTransactions[Category],A19,tblTransactions[Transaction Date],"&gt;="&amp;$AA$1,tblTransactions[Transaction Date],"&lt;"&amp;$AA$2),0)</f>
      </c>
      <c r="C19" s="1">
        <f>IFERROR(SUMIFS(tblTransactions[Amount],tblTransactions[Transaction Type],"Expense",tblTransactions[Category],A19,tblTransactions[Transaction Date],"&gt;="&amp;$AA$3,tblTransactions[Transaction Date],"&lt;"&amp;$AA$1),0)</f>
      </c>
      <c r="D19" s="1">
        <f>IFERROR(SUMIFS(tblTransactions[Amount],tblTransactions[Transaction Type],"Expense",tblTransactions[Category],A19,tblTransactions[Transaction Date],"&gt;="&amp;$AA$4,tblTransactions[Transaction Date],"&lt;="&amp;$AA$5),0)</f>
      </c>
      <c r="E19" s="1">
        <f>IFERROR(B19/$B$14,0)</f>
      </c>
      <c r="F19" s="1">
        <f>IF(A19="" ,"",1+COUNTIFS($B$17:$B$26,"&gt;"&amp;B19))</f>
      </c>
    </row>
    <row r="20">
      <c r="A20" s="1">
        <f>IFERROR(INDEX(tblCategories[Category Name],4),"")</f>
      </c>
      <c r="B20" s="1">
        <f>IFERROR(SUMIFS(tblTransactions[Amount],tblTransactions[Transaction Type],"Expense",tblTransactions[Category],A20,tblTransactions[Transaction Date],"&gt;="&amp;$AA$1,tblTransactions[Transaction Date],"&lt;"&amp;$AA$2),0)</f>
      </c>
      <c r="C20" s="1">
        <f>IFERROR(SUMIFS(tblTransactions[Amount],tblTransactions[Transaction Type],"Expense",tblTransactions[Category],A20,tblTransactions[Transaction Date],"&gt;="&amp;$AA$3,tblTransactions[Transaction Date],"&lt;"&amp;$AA$1),0)</f>
      </c>
      <c r="D20" s="1">
        <f>IFERROR(SUMIFS(tblTransactions[Amount],tblTransactions[Transaction Type],"Expense",tblTransactions[Category],A20,tblTransactions[Transaction Date],"&gt;="&amp;$AA$4,tblTransactions[Transaction Date],"&lt;="&amp;$AA$5),0)</f>
      </c>
      <c r="E20" s="1">
        <f>IFERROR(B20/$B$14,0)</f>
      </c>
      <c r="F20" s="1">
        <f>IF(A20="" ,"",1+COUNTIFS($B$17:$B$26,"&gt;"&amp;B20))</f>
      </c>
    </row>
    <row r="21">
      <c r="A21" s="1">
        <f>IFERROR(INDEX(tblCategories[Category Name],5),"")</f>
      </c>
      <c r="B21" s="1">
        <f>IFERROR(SUMIFS(tblTransactions[Amount],tblTransactions[Transaction Type],"Expense",tblTransactions[Category],A21,tblTransactions[Transaction Date],"&gt;="&amp;$AA$1,tblTransactions[Transaction Date],"&lt;"&amp;$AA$2),0)</f>
      </c>
      <c r="C21" s="1">
        <f>IFERROR(SUMIFS(tblTransactions[Amount],tblTransactions[Transaction Type],"Expense",tblTransactions[Category],A21,tblTransactions[Transaction Date],"&gt;="&amp;$AA$3,tblTransactions[Transaction Date],"&lt;"&amp;$AA$1),0)</f>
      </c>
      <c r="D21" s="1">
        <f>IFERROR(SUMIFS(tblTransactions[Amount],tblTransactions[Transaction Type],"Expense",tblTransactions[Category],A21,tblTransactions[Transaction Date],"&gt;="&amp;$AA$4,tblTransactions[Transaction Date],"&lt;="&amp;$AA$5),0)</f>
      </c>
      <c r="E21" s="1">
        <f>IFERROR(B21/$B$14,0)</f>
      </c>
      <c r="F21" s="1">
        <f>IF(A21="" ,"",1+COUNTIFS($B$17:$B$26,"&gt;"&amp;B21))</f>
      </c>
    </row>
    <row r="22">
      <c r="A22" s="1">
        <f>IFERROR(INDEX(tblCategories[Category Name],6),"")</f>
      </c>
      <c r="B22" s="1">
        <f>IFERROR(SUMIFS(tblTransactions[Amount],tblTransactions[Transaction Type],"Expense",tblTransactions[Category],A22,tblTransactions[Transaction Date],"&gt;="&amp;$AA$1,tblTransactions[Transaction Date],"&lt;"&amp;$AA$2),0)</f>
      </c>
      <c r="C22" s="1">
        <f>IFERROR(SUMIFS(tblTransactions[Amount],tblTransactions[Transaction Type],"Expense",tblTransactions[Category],A22,tblTransactions[Transaction Date],"&gt;="&amp;$AA$3,tblTransactions[Transaction Date],"&lt;"&amp;$AA$1),0)</f>
      </c>
      <c r="D22" s="1">
        <f>IFERROR(SUMIFS(tblTransactions[Amount],tblTransactions[Transaction Type],"Expense",tblTransactions[Category],A22,tblTransactions[Transaction Date],"&gt;="&amp;$AA$4,tblTransactions[Transaction Date],"&lt;="&amp;$AA$5),0)</f>
      </c>
      <c r="E22" s="1">
        <f>IFERROR(B22/$B$14,0)</f>
      </c>
      <c r="F22" s="1">
        <f>IF(A22="" ,"",1+COUNTIFS($B$17:$B$26,"&gt;"&amp;B22))</f>
      </c>
    </row>
    <row r="23">
      <c r="A23" s="1">
        <f>IFERROR(INDEX(tblCategories[Category Name],7),"")</f>
      </c>
      <c r="B23" s="1">
        <f>IFERROR(SUMIFS(tblTransactions[Amount],tblTransactions[Transaction Type],"Expense",tblTransactions[Category],A23,tblTransactions[Transaction Date],"&gt;="&amp;$AA$1,tblTransactions[Transaction Date],"&lt;"&amp;$AA$2),0)</f>
      </c>
      <c r="C23" s="1">
        <f>IFERROR(SUMIFS(tblTransactions[Amount],tblTransactions[Transaction Type],"Expense",tblTransactions[Category],A23,tblTransactions[Transaction Date],"&gt;="&amp;$AA$3,tblTransactions[Transaction Date],"&lt;"&amp;$AA$1),0)</f>
      </c>
      <c r="D23" s="1">
        <f>IFERROR(SUMIFS(tblTransactions[Amount],tblTransactions[Transaction Type],"Expense",tblTransactions[Category],A23,tblTransactions[Transaction Date],"&gt;="&amp;$AA$4,tblTransactions[Transaction Date],"&lt;="&amp;$AA$5),0)</f>
      </c>
      <c r="E23" s="1">
        <f>IFERROR(B23/$B$14,0)</f>
      </c>
      <c r="F23" s="1">
        <f>IF(A23="" ,"",1+COUNTIFS($B$17:$B$26,"&gt;"&amp;B23))</f>
      </c>
    </row>
    <row r="24">
      <c r="A24" s="1">
        <f>IFERROR(INDEX(tblCategories[Category Name],8),"")</f>
      </c>
      <c r="B24" s="1">
        <f>IFERROR(SUMIFS(tblTransactions[Amount],tblTransactions[Transaction Type],"Expense",tblTransactions[Category],A24,tblTransactions[Transaction Date],"&gt;="&amp;$AA$1,tblTransactions[Transaction Date],"&lt;"&amp;$AA$2),0)</f>
      </c>
      <c r="C24" s="1">
        <f>IFERROR(SUMIFS(tblTransactions[Amount],tblTransactions[Transaction Type],"Expense",tblTransactions[Category],A24,tblTransactions[Transaction Date],"&gt;="&amp;$AA$3,tblTransactions[Transaction Date],"&lt;"&amp;$AA$1),0)</f>
      </c>
      <c r="D24" s="1">
        <f>IFERROR(SUMIFS(tblTransactions[Amount],tblTransactions[Transaction Type],"Expense",tblTransactions[Category],A24,tblTransactions[Transaction Date],"&gt;="&amp;$AA$4,tblTransactions[Transaction Date],"&lt;="&amp;$AA$5),0)</f>
      </c>
      <c r="E24" s="1">
        <f>IFERROR(B24/$B$14,0)</f>
      </c>
      <c r="F24" s="1">
        <f>IF(A24="" ,"",1+COUNTIFS($B$17:$B$26,"&gt;"&amp;B24))</f>
      </c>
    </row>
    <row r="25">
      <c r="A25" s="1">
        <f>IFERROR(INDEX(tblCategories[Category Name],9),"")</f>
      </c>
      <c r="B25" s="1">
        <f>IFERROR(SUMIFS(tblTransactions[Amount],tblTransactions[Transaction Type],"Expense",tblTransactions[Category],A25,tblTransactions[Transaction Date],"&gt;="&amp;$AA$1,tblTransactions[Transaction Date],"&lt;"&amp;$AA$2),0)</f>
      </c>
      <c r="C25" s="1">
        <f>IFERROR(SUMIFS(tblTransactions[Amount],tblTransactions[Transaction Type],"Expense",tblTransactions[Category],A25,tblTransactions[Transaction Date],"&gt;="&amp;$AA$3,tblTransactions[Transaction Date],"&lt;"&amp;$AA$1),0)</f>
      </c>
      <c r="D25" s="1">
        <f>IFERROR(SUMIFS(tblTransactions[Amount],tblTransactions[Transaction Type],"Expense",tblTransactions[Category],A25,tblTransactions[Transaction Date],"&gt;="&amp;$AA$4,tblTransactions[Transaction Date],"&lt;="&amp;$AA$5),0)</f>
      </c>
      <c r="E25" s="1">
        <f>IFERROR(B25/$B$14,0)</f>
      </c>
      <c r="F25" s="1">
        <f>IF(A25="" ,"",1+COUNTIFS($B$17:$B$26,"&gt;"&amp;B25))</f>
      </c>
    </row>
    <row r="26">
      <c r="A26" s="1">
        <f>IFERROR(INDEX(tblCategories[Category Name],10),"")</f>
      </c>
      <c r="B26" s="1">
        <f>IFERROR(SUMIFS(tblTransactions[Amount],tblTransactions[Transaction Type],"Expense",tblTransactions[Category],A26,tblTransactions[Transaction Date],"&gt;="&amp;$AA$1,tblTransactions[Transaction Date],"&lt;"&amp;$AA$2),0)</f>
      </c>
      <c r="C26" s="1">
        <f>IFERROR(SUMIFS(tblTransactions[Amount],tblTransactions[Transaction Type],"Expense",tblTransactions[Category],A26,tblTransactions[Transaction Date],"&gt;="&amp;$AA$3,tblTransactions[Transaction Date],"&lt;"&amp;$AA$1),0)</f>
      </c>
      <c r="D26" s="1">
        <f>IFERROR(SUMIFS(tblTransactions[Amount],tblTransactions[Transaction Type],"Expense",tblTransactions[Category],A26,tblTransactions[Transaction Date],"&gt;="&amp;$AA$4,tblTransactions[Transaction Date],"&lt;="&amp;$AA$5),0)</f>
      </c>
      <c r="E26" s="1">
        <f>IFERROR(B26/$B$14,0)</f>
      </c>
      <c r="F26" s="1">
        <f>IF(A26="" ,"",1+COUNTIFS($B$17:$B$26,"&gt;"&amp;B26))</f>
      </c>
    </row>
    <row r="28">
      <c r="A28" s="1" t="s">
        <v>298</v>
      </c>
    </row>
    <row r="29">
      <c r="A29" s="1" t="s">
        <v>299</v>
      </c>
      <c r="B29" s="1" t="s">
        <v>95</v>
      </c>
      <c r="C29" s="1" t="s">
        <v>274</v>
      </c>
      <c r="D29" s="1" t="s">
        <v>275</v>
      </c>
      <c r="E29" s="1" t="s">
        <v>276</v>
      </c>
    </row>
    <row r="30">
      <c r="A30" s="4">
        <f>DATE(YEAR($AA$5),1,1)</f>
      </c>
      <c r="B30" s="1">
        <f>IFERROR(SUMIFS(tblTransactions[Amount],tblTransactions[Transaction Type],"Income",tblTransactions[Transaction Date],"&gt;="&amp;A30,tblTransactions[Transaction Date],"&lt;"&amp;DATE(YEAR($AA$5),1+1,1)),0)</f>
      </c>
      <c r="C30" s="1">
        <f>IFERROR(SUMIFS(tblTransactions[Amount],tblTransactions[Transaction Type],"Expense",tblTransactions[Transaction Date],"&gt;="&amp;A30,tblTransactions[Transaction Date],"&lt;"&amp;DATE(YEAR($AA$5),1+1,1)),0)</f>
      </c>
      <c r="D30" s="1">
        <f>B30-C30</f>
      </c>
      <c r="E30" s="1">
        <f>IFERROR(D30/B30,0)</f>
      </c>
    </row>
    <row r="31">
      <c r="A31" s="4">
        <f>DATE(YEAR($AA$5),2,1)</f>
      </c>
      <c r="B31" s="1">
        <f>IFERROR(SUMIFS(tblTransactions[Amount],tblTransactions[Transaction Type],"Income",tblTransactions[Transaction Date],"&gt;="&amp;A31,tblTransactions[Transaction Date],"&lt;"&amp;DATE(YEAR($AA$5),2+1,1)),0)</f>
      </c>
      <c r="C31" s="1">
        <f>IFERROR(SUMIFS(tblTransactions[Amount],tblTransactions[Transaction Type],"Expense",tblTransactions[Transaction Date],"&gt;="&amp;A31,tblTransactions[Transaction Date],"&lt;"&amp;DATE(YEAR($AA$5),2+1,1)),0)</f>
      </c>
      <c r="D31" s="1">
        <f>B31-C31</f>
      </c>
      <c r="E31" s="1">
        <f>IFERROR(D31/B31,0)</f>
      </c>
    </row>
    <row r="32">
      <c r="A32" s="4">
        <f>DATE(YEAR($AA$5),3,1)</f>
      </c>
      <c r="B32" s="1">
        <f>IFERROR(SUMIFS(tblTransactions[Amount],tblTransactions[Transaction Type],"Income",tblTransactions[Transaction Date],"&gt;="&amp;A32,tblTransactions[Transaction Date],"&lt;"&amp;DATE(YEAR($AA$5),3+1,1)),0)</f>
      </c>
      <c r="C32" s="1">
        <f>IFERROR(SUMIFS(tblTransactions[Amount],tblTransactions[Transaction Type],"Expense",tblTransactions[Transaction Date],"&gt;="&amp;A32,tblTransactions[Transaction Date],"&lt;"&amp;DATE(YEAR($AA$5),3+1,1)),0)</f>
      </c>
      <c r="D32" s="1">
        <f>B32-C32</f>
      </c>
      <c r="E32" s="1">
        <f>IFERROR(D32/B32,0)</f>
      </c>
    </row>
    <row r="33">
      <c r="A33" s="4">
        <f>DATE(YEAR($AA$5),4,1)</f>
      </c>
      <c r="B33" s="1">
        <f>IFERROR(SUMIFS(tblTransactions[Amount],tblTransactions[Transaction Type],"Income",tblTransactions[Transaction Date],"&gt;="&amp;A33,tblTransactions[Transaction Date],"&lt;"&amp;DATE(YEAR($AA$5),4+1,1)),0)</f>
      </c>
      <c r="C33" s="1">
        <f>IFERROR(SUMIFS(tblTransactions[Amount],tblTransactions[Transaction Type],"Expense",tblTransactions[Transaction Date],"&gt;="&amp;A33,tblTransactions[Transaction Date],"&lt;"&amp;DATE(YEAR($AA$5),4+1,1)),0)</f>
      </c>
      <c r="D33" s="1">
        <f>B33-C33</f>
      </c>
      <c r="E33" s="1">
        <f>IFERROR(D33/B33,0)</f>
      </c>
    </row>
    <row r="34">
      <c r="A34" s="4">
        <f>DATE(YEAR($AA$5),5,1)</f>
      </c>
      <c r="B34" s="1">
        <f>IFERROR(SUMIFS(tblTransactions[Amount],tblTransactions[Transaction Type],"Income",tblTransactions[Transaction Date],"&gt;="&amp;A34,tblTransactions[Transaction Date],"&lt;"&amp;DATE(YEAR($AA$5),5+1,1)),0)</f>
      </c>
      <c r="C34" s="1">
        <f>IFERROR(SUMIFS(tblTransactions[Amount],tblTransactions[Transaction Type],"Expense",tblTransactions[Transaction Date],"&gt;="&amp;A34,tblTransactions[Transaction Date],"&lt;"&amp;DATE(YEAR($AA$5),5+1,1)),0)</f>
      </c>
      <c r="D34" s="1">
        <f>B34-C34</f>
      </c>
      <c r="E34" s="1">
        <f>IFERROR(D34/B34,0)</f>
      </c>
    </row>
    <row r="35">
      <c r="A35" s="4">
        <f>DATE(YEAR($AA$5),6,1)</f>
      </c>
      <c r="B35" s="1">
        <f>IFERROR(SUMIFS(tblTransactions[Amount],tblTransactions[Transaction Type],"Income",tblTransactions[Transaction Date],"&gt;="&amp;A35,tblTransactions[Transaction Date],"&lt;"&amp;DATE(YEAR($AA$5),6+1,1)),0)</f>
      </c>
      <c r="C35" s="1">
        <f>IFERROR(SUMIFS(tblTransactions[Amount],tblTransactions[Transaction Type],"Expense",tblTransactions[Transaction Date],"&gt;="&amp;A35,tblTransactions[Transaction Date],"&lt;"&amp;DATE(YEAR($AA$5),6+1,1)),0)</f>
      </c>
      <c r="D35" s="1">
        <f>B35-C35</f>
      </c>
      <c r="E35" s="1">
        <f>IFERROR(D35/B35,0)</f>
      </c>
    </row>
    <row r="36">
      <c r="A36" s="4">
        <f>DATE(YEAR($AA$5),7,1)</f>
      </c>
      <c r="B36" s="1">
        <f>IFERROR(SUMIFS(tblTransactions[Amount],tblTransactions[Transaction Type],"Income",tblTransactions[Transaction Date],"&gt;="&amp;A36,tblTransactions[Transaction Date],"&lt;"&amp;DATE(YEAR($AA$5),7+1,1)),0)</f>
      </c>
      <c r="C36" s="1">
        <f>IFERROR(SUMIFS(tblTransactions[Amount],tblTransactions[Transaction Type],"Expense",tblTransactions[Transaction Date],"&gt;="&amp;A36,tblTransactions[Transaction Date],"&lt;"&amp;DATE(YEAR($AA$5),7+1,1)),0)</f>
      </c>
      <c r="D36" s="1">
        <f>B36-C36</f>
      </c>
      <c r="E36" s="1">
        <f>IFERROR(D36/B36,0)</f>
      </c>
    </row>
    <row r="37">
      <c r="A37" s="4">
        <f>DATE(YEAR($AA$5),8,1)</f>
      </c>
      <c r="B37" s="1">
        <f>IFERROR(SUMIFS(tblTransactions[Amount],tblTransactions[Transaction Type],"Income",tblTransactions[Transaction Date],"&gt;="&amp;A37,tblTransactions[Transaction Date],"&lt;"&amp;DATE(YEAR($AA$5),8+1,1)),0)</f>
      </c>
      <c r="C37" s="1">
        <f>IFERROR(SUMIFS(tblTransactions[Amount],tblTransactions[Transaction Type],"Expense",tblTransactions[Transaction Date],"&gt;="&amp;A37,tblTransactions[Transaction Date],"&lt;"&amp;DATE(YEAR($AA$5),8+1,1)),0)</f>
      </c>
      <c r="D37" s="1">
        <f>B37-C37</f>
      </c>
      <c r="E37" s="1">
        <f>IFERROR(D37/B37,0)</f>
      </c>
    </row>
    <row r="38">
      <c r="A38" s="4">
        <f>DATE(YEAR($AA$5),9,1)</f>
      </c>
      <c r="B38" s="1">
        <f>IFERROR(SUMIFS(tblTransactions[Amount],tblTransactions[Transaction Type],"Income",tblTransactions[Transaction Date],"&gt;="&amp;A38,tblTransactions[Transaction Date],"&lt;"&amp;DATE(YEAR($AA$5),9+1,1)),0)</f>
      </c>
      <c r="C38" s="1">
        <f>IFERROR(SUMIFS(tblTransactions[Amount],tblTransactions[Transaction Type],"Expense",tblTransactions[Transaction Date],"&gt;="&amp;A38,tblTransactions[Transaction Date],"&lt;"&amp;DATE(YEAR($AA$5),9+1,1)),0)</f>
      </c>
      <c r="D38" s="1">
        <f>B38-C38</f>
      </c>
      <c r="E38" s="1">
        <f>IFERROR(D38/B38,0)</f>
      </c>
    </row>
    <row r="39">
      <c r="A39" s="4">
        <f>DATE(YEAR($AA$5),10,1)</f>
      </c>
      <c r="B39" s="1">
        <f>IFERROR(SUMIFS(tblTransactions[Amount],tblTransactions[Transaction Type],"Income",tblTransactions[Transaction Date],"&gt;="&amp;A39,tblTransactions[Transaction Date],"&lt;"&amp;DATE(YEAR($AA$5),10+1,1)),0)</f>
      </c>
      <c r="C39" s="1">
        <f>IFERROR(SUMIFS(tblTransactions[Amount],tblTransactions[Transaction Type],"Expense",tblTransactions[Transaction Date],"&gt;="&amp;A39,tblTransactions[Transaction Date],"&lt;"&amp;DATE(YEAR($AA$5),10+1,1)),0)</f>
      </c>
      <c r="D39" s="1">
        <f>B39-C39</f>
      </c>
      <c r="E39" s="1">
        <f>IFERROR(D39/B39,0)</f>
      </c>
    </row>
    <row r="40">
      <c r="A40" s="4">
        <f>DATE(YEAR($AA$5),11,1)</f>
      </c>
      <c r="B40" s="1">
        <f>IFERROR(SUMIFS(tblTransactions[Amount],tblTransactions[Transaction Type],"Income",tblTransactions[Transaction Date],"&gt;="&amp;A40,tblTransactions[Transaction Date],"&lt;"&amp;DATE(YEAR($AA$5),11+1,1)),0)</f>
      </c>
      <c r="C40" s="1">
        <f>IFERROR(SUMIFS(tblTransactions[Amount],tblTransactions[Transaction Type],"Expense",tblTransactions[Transaction Date],"&gt;="&amp;A40,tblTransactions[Transaction Date],"&lt;"&amp;DATE(YEAR($AA$5),11+1,1)),0)</f>
      </c>
      <c r="D40" s="1">
        <f>B40-C40</f>
      </c>
      <c r="E40" s="1">
        <f>IFERROR(D40/B40,0)</f>
      </c>
    </row>
    <row r="41">
      <c r="A41" s="4">
        <f>DATE(YEAR($AA$5),12,1)</f>
      </c>
      <c r="B41" s="1">
        <f>IFERROR(SUMIFS(tblTransactions[Amount],tblTransactions[Transaction Type],"Income",tblTransactions[Transaction Date],"&gt;="&amp;A41,tblTransactions[Transaction Date],"&lt;"&amp;DATE(YEAR($AA$5),12+1,1)),0)</f>
      </c>
      <c r="C41" s="1">
        <f>IFERROR(SUMIFS(tblTransactions[Amount],tblTransactions[Transaction Type],"Expense",tblTransactions[Transaction Date],"&gt;="&amp;A41,tblTransactions[Transaction Date],"&lt;"&amp;DATE(YEAR($AA$5),12+1,1)),0)</f>
      </c>
      <c r="D41" s="1">
        <f>B41-C41</f>
      </c>
      <c r="E41" s="1">
        <f>IFERROR(D41/B41,0)</f>
      </c>
    </row>
    <row r="43">
      <c r="A43" s="1" t="s">
        <v>300</v>
      </c>
    </row>
    <row r="44">
      <c r="A44" s="1" t="s">
        <v>95</v>
      </c>
      <c r="B44" s="1">
        <f>'Business Engine'!$B$16</f>
      </c>
    </row>
    <row r="45">
      <c r="A45" s="1" t="s">
        <v>274</v>
      </c>
      <c r="B45" s="1">
        <f>'Business Engine'!$B$22</f>
      </c>
    </row>
    <row r="46">
      <c r="A46" s="1" t="s">
        <v>275</v>
      </c>
      <c r="B46" s="1">
        <f>'Business Engine'!$B$29</f>
      </c>
    </row>
    <row r="47">
      <c r="A47" s="1" t="s">
        <v>276</v>
      </c>
      <c r="B47" s="1">
        <f>'Business Engine'!$B$30</f>
      </c>
    </row>
    <row r="48">
      <c r="A48" s="1" t="s">
        <v>242</v>
      </c>
      <c r="B48" s="1">
        <f>'Business Engine'!$B$23</f>
      </c>
    </row>
    <row r="49">
      <c r="A49" s="1" t="s">
        <v>301</v>
      </c>
      <c r="B49" s="1">
        <f>IFERROR($B$45-$B$48,0)</f>
      </c>
    </row>
    <row r="50">
      <c r="A50" s="1" t="s">
        <v>302</v>
      </c>
      <c r="B50" s="1">
        <f>IFERROR(($B$45-$B$48)/$B$48,0)</f>
      </c>
    </row>
    <row r="51">
      <c r="A51" s="1" t="s">
        <v>303</v>
      </c>
      <c r="B51" s="1" t="s">
        <v>304</v>
      </c>
    </row>
    <row r="53">
      <c r="A53" s="1" t="s">
        <v>305</v>
      </c>
    </row>
    <row r="54">
      <c r="A54" s="1" t="s">
        <v>251</v>
      </c>
      <c r="B54" s="1">
        <f>'Business Engine'!$B$34</f>
      </c>
    </row>
    <row r="55">
      <c r="A55" s="1" t="s">
        <v>252</v>
      </c>
      <c r="B55" s="1">
        <f>'Business Engine'!$B$35</f>
      </c>
    </row>
    <row r="56">
      <c r="A56" s="1" t="s">
        <v>306</v>
      </c>
      <c r="B56" s="1">
        <f>'Business Engine'!$B$36</f>
      </c>
    </row>
    <row r="57">
      <c r="A57" s="1" t="s">
        <v>32</v>
      </c>
      <c r="B57" s="1">
        <f>'Business Engine'!$B$37</f>
      </c>
    </row>
    <row r="58">
      <c r="A58" s="1" t="s">
        <v>255</v>
      </c>
      <c r="B58" s="1">
        <f>'Business Engine'!$B$38</f>
      </c>
    </row>
    <row r="60">
      <c r="A60" s="1" t="s">
        <v>307</v>
      </c>
    </row>
    <row r="61">
      <c r="A61" s="1" t="s">
        <v>26</v>
      </c>
      <c r="B61" s="1" t="s">
        <v>30</v>
      </c>
      <c r="C61" s="1" t="s">
        <v>308</v>
      </c>
    </row>
    <row r="62">
      <c r="A62" s="1">
        <f>IFERROR(INDEX(lkpAssetType[Asset Type],1),"")</f>
      </c>
      <c r="B62" s="1">
        <f>IFERROR(SUMIFS(tblAssets[Current Value],tblAssets[Asset Type],A62,tblAssets[Status],"Active"),0)</f>
      </c>
      <c r="C62" s="1">
        <f>IFERROR(B62/$B$55,0)</f>
      </c>
    </row>
    <row r="63">
      <c r="A63" s="1">
        <f>IFERROR(INDEX(lkpAssetType[Asset Type],2),"")</f>
      </c>
      <c r="B63" s="1">
        <f>IFERROR(SUMIFS(tblAssets[Current Value],tblAssets[Asset Type],A63,tblAssets[Status],"Active"),0)</f>
      </c>
      <c r="C63" s="1">
        <f>IFERROR(B63/$B$55,0)</f>
      </c>
    </row>
    <row r="64">
      <c r="A64" s="1">
        <f>IFERROR(INDEX(lkpAssetType[Asset Type],3),"")</f>
      </c>
      <c r="B64" s="1">
        <f>IFERROR(SUMIFS(tblAssets[Current Value],tblAssets[Asset Type],A64,tblAssets[Status],"Active"),0)</f>
      </c>
      <c r="C64" s="1">
        <f>IFERROR(B64/$B$55,0)</f>
      </c>
    </row>
    <row r="65">
      <c r="A65" s="1">
        <f>IFERROR(INDEX(lkpAssetType[Asset Type],4),"")</f>
      </c>
      <c r="B65" s="1">
        <f>IFERROR(SUMIFS(tblAssets[Current Value],tblAssets[Asset Type],A65,tblAssets[Status],"Active"),0)</f>
      </c>
      <c r="C65" s="1">
        <f>IFERROR(B65/$B$55,0)</f>
      </c>
    </row>
    <row r="66">
      <c r="A66" s="1">
        <f>IFERROR(INDEX(lkpAssetType[Asset Type],5),"")</f>
      </c>
      <c r="B66" s="1">
        <f>IFERROR(SUMIFS(tblAssets[Current Value],tblAssets[Asset Type],A66,tblAssets[Status],"Active"),0)</f>
      </c>
      <c r="C66" s="1">
        <f>IFERROR(B66/$B$55,0)</f>
      </c>
    </row>
    <row r="67">
      <c r="A67" s="1">
        <f>IFERROR(INDEX(lkpAssetType[Asset Type],6),"")</f>
      </c>
      <c r="B67" s="1">
        <f>IFERROR(SUMIFS(tblAssets[Current Value],tblAssets[Asset Type],A67,tblAssets[Status],"Active"),0)</f>
      </c>
      <c r="C67" s="1">
        <f>IFERROR(B67/$B$55,0)</f>
      </c>
    </row>
    <row r="68">
      <c r="A68" s="1">
        <f>IFERROR(INDEX(lkpAssetType[Asset Type],7),"")</f>
      </c>
      <c r="B68" s="1">
        <f>IFERROR(SUMIFS(tblAssets[Current Value],tblAssets[Asset Type],A68,tblAssets[Status],"Active"),0)</f>
      </c>
      <c r="C68" s="1">
        <f>IFERROR(B68/$B$55,0)</f>
      </c>
    </row>
    <row r="69">
      <c r="A69" s="1">
        <f>IFERROR(INDEX(lkpAssetType[Asset Type],8),"")</f>
      </c>
      <c r="B69" s="1">
        <f>IFERROR(SUMIFS(tblAssets[Current Value],tblAssets[Asset Type],A69,tblAssets[Status],"Active"),0)</f>
      </c>
      <c r="C69" s="1">
        <f>IFERROR(B69/$B$55,0)</f>
      </c>
    </row>
    <row r="70">
      <c r="A70" s="1">
        <f>IFERROR(INDEX(lkpAssetType[Asset Type],9),"")</f>
      </c>
      <c r="B70" s="1">
        <f>IFERROR(SUMIFS(tblAssets[Current Value],tblAssets[Asset Type],A70,tblAssets[Status],"Active"),0)</f>
      </c>
      <c r="C70" s="1">
        <f>IFERROR(B70/$B$55,0)</f>
      </c>
    </row>
    <row r="71">
      <c r="A71" s="1">
        <f>IFERROR(INDEX(lkpAssetType[Asset Type],10),"")</f>
      </c>
      <c r="B71" s="1">
        <f>IFERROR(SUMIFS(tblAssets[Current Value],tblAssets[Asset Type],A71,tblAssets[Status],"Active"),0)</f>
      </c>
      <c r="C71" s="1">
        <f>IFERROR(B71/$B$55,0)</f>
      </c>
    </row>
    <row r="73">
      <c r="A73" s="1" t="s">
        <v>309</v>
      </c>
    </row>
    <row r="74">
      <c r="A74" s="1" t="s">
        <v>257</v>
      </c>
      <c r="B74" s="1">
        <f>'Business Engine'!$B$41</f>
      </c>
    </row>
    <row r="75">
      <c r="A75" s="1" t="s">
        <v>38</v>
      </c>
      <c r="B75" s="1">
        <f>'Business Engine'!$B$42</f>
      </c>
    </row>
    <row r="76">
      <c r="A76" s="1" t="s">
        <v>259</v>
      </c>
      <c r="B76" s="1">
        <f>'Business Engine'!$B$43</f>
      </c>
    </row>
    <row r="77">
      <c r="A77" s="1" t="s">
        <v>260</v>
      </c>
      <c r="B77" s="1">
        <f>'Business Engine'!$B$44</f>
      </c>
    </row>
    <row r="78">
      <c r="A78" s="1" t="s">
        <v>310</v>
      </c>
      <c r="B78" s="1">
        <f>IFERROR($B$75*$B$77/12,0)</f>
      </c>
    </row>
    <row r="79">
      <c r="A79" s="1" t="s">
        <v>261</v>
      </c>
      <c r="B79" s="1">
        <f>'Business Engine'!$B$45</f>
      </c>
    </row>
    <row r="80">
      <c r="A80" s="1" t="s">
        <v>311</v>
      </c>
      <c r="B80" s="1">
        <f>'Business Engine'!$B$66</f>
      </c>
    </row>
    <row r="81">
      <c r="A81" s="1" t="s">
        <v>312</v>
      </c>
      <c r="B81" s="1">
        <f>'Business Engine'!$B$68</f>
      </c>
    </row>
    <row r="83">
      <c r="A83" s="1" t="s">
        <v>313</v>
      </c>
    </row>
    <row r="84">
      <c r="A84" s="1" t="s">
        <v>36</v>
      </c>
      <c r="B84" s="1" t="s">
        <v>314</v>
      </c>
      <c r="C84" s="1" t="s">
        <v>315</v>
      </c>
    </row>
    <row r="85">
      <c r="A85" s="1">
        <f>IFERROR(INDEX(lkpLiabilityType[Liability Type],1),"")</f>
      </c>
      <c r="B85" s="1">
        <f>IFERROR(SUMIFS(tblLiabilities[Outstanding Balance],tblLiabilities[Liability Type],A85,tblLiabilities[Status],"Active"),0)</f>
      </c>
      <c r="C85" s="1">
        <f>IFERROR(B85/$B$75,0)</f>
      </c>
    </row>
    <row r="86">
      <c r="A86" s="1">
        <f>IFERROR(INDEX(lkpLiabilityType[Liability Type],2),"")</f>
      </c>
      <c r="B86" s="1">
        <f>IFERROR(SUMIFS(tblLiabilities[Outstanding Balance],tblLiabilities[Liability Type],A86,tblLiabilities[Status],"Active"),0)</f>
      </c>
      <c r="C86" s="1">
        <f>IFERROR(B86/$B$75,0)</f>
      </c>
    </row>
    <row r="87">
      <c r="A87" s="1">
        <f>IFERROR(INDEX(lkpLiabilityType[Liability Type],3),"")</f>
      </c>
      <c r="B87" s="1">
        <f>IFERROR(SUMIFS(tblLiabilities[Outstanding Balance],tblLiabilities[Liability Type],A87,tblLiabilities[Status],"Active"),0)</f>
      </c>
      <c r="C87" s="1">
        <f>IFERROR(B87/$B$75,0)</f>
      </c>
    </row>
    <row r="88">
      <c r="A88" s="1">
        <f>IFERROR(INDEX(lkpLiabilityType[Liability Type],4),"")</f>
      </c>
      <c r="B88" s="1">
        <f>IFERROR(SUMIFS(tblLiabilities[Outstanding Balance],tblLiabilities[Liability Type],A88,tblLiabilities[Status],"Active"),0)</f>
      </c>
      <c r="C88" s="1">
        <f>IFERROR(B88/$B$75,0)</f>
      </c>
    </row>
    <row r="89">
      <c r="A89" s="1">
        <f>IFERROR(INDEX(lkpLiabilityType[Liability Type],5),"")</f>
      </c>
      <c r="B89" s="1">
        <f>IFERROR(SUMIFS(tblLiabilities[Outstanding Balance],tblLiabilities[Liability Type],A89,tblLiabilities[Status],"Active"),0)</f>
      </c>
      <c r="C89" s="1">
        <f>IFERROR(B89/$B$75,0)</f>
      </c>
    </row>
    <row r="90">
      <c r="A90" s="1">
        <f>IFERROR(INDEX(lkpLiabilityType[Liability Type],6),"")</f>
      </c>
      <c r="B90" s="1">
        <f>IFERROR(SUMIFS(tblLiabilities[Outstanding Balance],tblLiabilities[Liability Type],A90,tblLiabilities[Status],"Active"),0)</f>
      </c>
      <c r="C90" s="1">
        <f>IFERROR(B90/$B$75,0)</f>
      </c>
    </row>
    <row r="91">
      <c r="A91" s="1">
        <f>IFERROR(INDEX(lkpLiabilityType[Liability Type],7),"")</f>
      </c>
      <c r="B91" s="1">
        <f>IFERROR(SUMIFS(tblLiabilities[Outstanding Balance],tblLiabilities[Liability Type],A91,tblLiabilities[Status],"Active"),0)</f>
      </c>
      <c r="C91" s="1">
        <f>IFERROR(B91/$B$75,0)</f>
      </c>
    </row>
    <row r="92">
      <c r="A92" s="1">
        <f>IFERROR(INDEX(lkpLiabilityType[Liability Type],8),"")</f>
      </c>
      <c r="B92" s="1">
        <f>IFERROR(SUMIFS(tblLiabilities[Outstanding Balance],tblLiabilities[Liability Type],A92,tblLiabilities[Status],"Active"),0)</f>
      </c>
      <c r="C92" s="1">
        <f>IFERROR(B92/$B$75,0)</f>
      </c>
    </row>
    <row r="93">
      <c r="A93" s="1">
        <f>IFERROR(INDEX(lkpLiabilityType[Liability Type],9),"")</f>
      </c>
      <c r="B93" s="1">
        <f>IFERROR(SUMIFS(tblLiabilities[Outstanding Balance],tblLiabilities[Liability Type],A93,tblLiabilities[Status],"Active"),0)</f>
      </c>
      <c r="C93" s="1">
        <f>IFERROR(B93/$B$75,0)</f>
      </c>
    </row>
    <row r="94">
      <c r="A94" s="1">
        <f>IFERROR(INDEX(lkpLiabilityType[Liability Type],10),"")</f>
      </c>
      <c r="B94" s="1">
        <f>IFERROR(SUMIFS(tblLiabilities[Outstanding Balance],tblLiabilities[Liability Type],A94,tblLiabilities[Status],"Active"),0)</f>
      </c>
      <c r="C94" s="1">
        <f>IFERROR(B94/$B$75,0)</f>
      </c>
    </row>
    <row r="96">
      <c r="A96" s="1" t="s">
        <v>316</v>
      </c>
    </row>
    <row r="97">
      <c r="A97" s="1" t="s">
        <v>101</v>
      </c>
      <c r="B97" s="1" t="s">
        <v>317</v>
      </c>
      <c r="C97" s="1" t="s">
        <v>318</v>
      </c>
      <c r="D97" s="1" t="s">
        <v>319</v>
      </c>
      <c r="E97" s="1" t="s">
        <v>320</v>
      </c>
    </row>
    <row r="98">
      <c r="A98" s="1">
        <f>IFERROR(INDEX(tblGoals[Goal Name],1),"")</f>
      </c>
      <c r="B98" s="1">
        <f>IFERROR(INDEX(tblGoals[Current Saved Amount],1)/INDEX(tblGoals[Target Amount],1),0)</f>
      </c>
      <c r="C98" s="1">
        <f>IFERROR(INDEX(tblGoals[Remaining Amount],1),0)</f>
      </c>
      <c r="D98" s="1">
        <f>IFERROR(INDEX(tblGoals[Remaining Amount],1)/MAX(1,(YEAR(INDEX(tblGoals[Target Date],1))-YEAR($AA$5))*12+MONTH(INDEX(tblGoals[Target Date],1))-MONTH($AA$5)),0)</f>
      </c>
      <c r="E98" s="1">
        <f>IF((IFERROR(INDEX(tblGoals[Goal Status],1),"")="Active")*(IFERROR(INDEX(tblGoals[Target Date],1),0)&lt;$AA$5)*(IFERROR(INDEX(tblGoals[Remaining Amount],1),0)&gt;0),1,0)</f>
      </c>
    </row>
    <row r="99">
      <c r="A99" s="1">
        <f>IFERROR(INDEX(tblGoals[Goal Name],2),"")</f>
      </c>
      <c r="B99" s="1">
        <f>IFERROR(INDEX(tblGoals[Current Saved Amount],2)/INDEX(tblGoals[Target Amount],2),0)</f>
      </c>
      <c r="C99" s="1">
        <f>IFERROR(INDEX(tblGoals[Remaining Amount],2),0)</f>
      </c>
      <c r="D99" s="1">
        <f>IFERROR(INDEX(tblGoals[Remaining Amount],2)/MAX(1,(YEAR(INDEX(tblGoals[Target Date],2))-YEAR($AA$5))*12+MONTH(INDEX(tblGoals[Target Date],2))-MONTH($AA$5)),0)</f>
      </c>
      <c r="E99" s="1">
        <f>IF((IFERROR(INDEX(tblGoals[Goal Status],2),"")="Active")*(IFERROR(INDEX(tblGoals[Target Date],2),0)&lt;$AA$5)*(IFERROR(INDEX(tblGoals[Remaining Amount],2),0)&gt;0),1,0)</f>
      </c>
    </row>
    <row r="100">
      <c r="A100" s="1">
        <f>IFERROR(INDEX(tblGoals[Goal Name],3),"")</f>
      </c>
      <c r="B100" s="1">
        <f>IFERROR(INDEX(tblGoals[Current Saved Amount],3)/INDEX(tblGoals[Target Amount],3),0)</f>
      </c>
      <c r="C100" s="1">
        <f>IFERROR(INDEX(tblGoals[Remaining Amount],3),0)</f>
      </c>
      <c r="D100" s="1">
        <f>IFERROR(INDEX(tblGoals[Remaining Amount],3)/MAX(1,(YEAR(INDEX(tblGoals[Target Date],3))-YEAR($AA$5))*12+MONTH(INDEX(tblGoals[Target Date],3))-MONTH($AA$5)),0)</f>
      </c>
      <c r="E100" s="1">
        <f>IF((IFERROR(INDEX(tblGoals[Goal Status],3),"")="Active")*(IFERROR(INDEX(tblGoals[Target Date],3),0)&lt;$AA$5)*(IFERROR(INDEX(tblGoals[Remaining Amount],3),0)&gt;0),1,0)</f>
      </c>
    </row>
    <row r="101">
      <c r="A101" s="1">
        <f>IFERROR(INDEX(tblGoals[Goal Name],4),"")</f>
      </c>
      <c r="B101" s="1">
        <f>IFERROR(INDEX(tblGoals[Current Saved Amount],4)/INDEX(tblGoals[Target Amount],4),0)</f>
      </c>
      <c r="C101" s="1">
        <f>IFERROR(INDEX(tblGoals[Remaining Amount],4),0)</f>
      </c>
      <c r="D101" s="1">
        <f>IFERROR(INDEX(tblGoals[Remaining Amount],4)/MAX(1,(YEAR(INDEX(tblGoals[Target Date],4))-YEAR($AA$5))*12+MONTH(INDEX(tblGoals[Target Date],4))-MONTH($AA$5)),0)</f>
      </c>
      <c r="E101" s="1">
        <f>IF((IFERROR(INDEX(tblGoals[Goal Status],4),"")="Active")*(IFERROR(INDEX(tblGoals[Target Date],4),0)&lt;$AA$5)*(IFERROR(INDEX(tblGoals[Remaining Amount],4),0)&gt;0),1,0)</f>
      </c>
    </row>
    <row r="102">
      <c r="A102" s="1">
        <f>IFERROR(INDEX(tblGoals[Goal Name],5),"")</f>
      </c>
      <c r="B102" s="1">
        <f>IFERROR(INDEX(tblGoals[Current Saved Amount],5)/INDEX(tblGoals[Target Amount],5),0)</f>
      </c>
      <c r="C102" s="1">
        <f>IFERROR(INDEX(tblGoals[Remaining Amount],5),0)</f>
      </c>
      <c r="D102" s="1">
        <f>IFERROR(INDEX(tblGoals[Remaining Amount],5)/MAX(1,(YEAR(INDEX(tblGoals[Target Date],5))-YEAR($AA$5))*12+MONTH(INDEX(tblGoals[Target Date],5))-MONTH($AA$5)),0)</f>
      </c>
      <c r="E102" s="1">
        <f>IF((IFERROR(INDEX(tblGoals[Goal Status],5),"")="Active")*(IFERROR(INDEX(tblGoals[Target Date],5),0)&lt;$AA$5)*(IFERROR(INDEX(tblGoals[Remaining Amount],5),0)&gt;0),1,0)</f>
      </c>
    </row>
    <row r="103">
      <c r="A103" s="1">
        <f>IFERROR(INDEX(tblGoals[Goal Name],6),"")</f>
      </c>
      <c r="B103" s="1">
        <f>IFERROR(INDEX(tblGoals[Current Saved Amount],6)/INDEX(tblGoals[Target Amount],6),0)</f>
      </c>
      <c r="C103" s="1">
        <f>IFERROR(INDEX(tblGoals[Remaining Amount],6),0)</f>
      </c>
      <c r="D103" s="1">
        <f>IFERROR(INDEX(tblGoals[Remaining Amount],6)/MAX(1,(YEAR(INDEX(tblGoals[Target Date],6))-YEAR($AA$5))*12+MONTH(INDEX(tblGoals[Target Date],6))-MONTH($AA$5)),0)</f>
      </c>
      <c r="E103" s="1">
        <f>IF((IFERROR(INDEX(tblGoals[Goal Status],6),"")="Active")*(IFERROR(INDEX(tblGoals[Target Date],6),0)&lt;$AA$5)*(IFERROR(INDEX(tblGoals[Remaining Amount],6),0)&gt;0),1,0)</f>
      </c>
    </row>
    <row r="104">
      <c r="A104" s="1">
        <f>IFERROR(INDEX(tblGoals[Goal Name],7),"")</f>
      </c>
      <c r="B104" s="1">
        <f>IFERROR(INDEX(tblGoals[Current Saved Amount],7)/INDEX(tblGoals[Target Amount],7),0)</f>
      </c>
      <c r="C104" s="1">
        <f>IFERROR(INDEX(tblGoals[Remaining Amount],7),0)</f>
      </c>
      <c r="D104" s="1">
        <f>IFERROR(INDEX(tblGoals[Remaining Amount],7)/MAX(1,(YEAR(INDEX(tblGoals[Target Date],7))-YEAR($AA$5))*12+MONTH(INDEX(tblGoals[Target Date],7))-MONTH($AA$5)),0)</f>
      </c>
      <c r="E104" s="1">
        <f>IF((IFERROR(INDEX(tblGoals[Goal Status],7),"")="Active")*(IFERROR(INDEX(tblGoals[Target Date],7),0)&lt;$AA$5)*(IFERROR(INDEX(tblGoals[Remaining Amount],7),0)&gt;0),1,0)</f>
      </c>
    </row>
    <row r="105">
      <c r="A105" s="1">
        <f>IFERROR(INDEX(tblGoals[Goal Name],8),"")</f>
      </c>
      <c r="B105" s="1">
        <f>IFERROR(INDEX(tblGoals[Current Saved Amount],8)/INDEX(tblGoals[Target Amount],8),0)</f>
      </c>
      <c r="C105" s="1">
        <f>IFERROR(INDEX(tblGoals[Remaining Amount],8),0)</f>
      </c>
      <c r="D105" s="1">
        <f>IFERROR(INDEX(tblGoals[Remaining Amount],8)/MAX(1,(YEAR(INDEX(tblGoals[Target Date],8))-YEAR($AA$5))*12+MONTH(INDEX(tblGoals[Target Date],8))-MONTH($AA$5)),0)</f>
      </c>
      <c r="E105" s="1">
        <f>IF((IFERROR(INDEX(tblGoals[Goal Status],8),"")="Active")*(IFERROR(INDEX(tblGoals[Target Date],8),0)&lt;$AA$5)*(IFERROR(INDEX(tblGoals[Remaining Amount],8),0)&gt;0),1,0)</f>
      </c>
    </row>
    <row r="107">
      <c r="A107" s="1" t="s">
        <v>321</v>
      </c>
      <c r="B107" s="1">
        <f>SUM($E$98:$E$105)</f>
      </c>
    </row>
    <row r="108">
      <c r="A108" s="1" t="s">
        <v>322</v>
      </c>
      <c r="B108" s="1">
        <f>'Business Engine'!$B$58</f>
      </c>
    </row>
    <row r="109">
      <c r="A109" s="1" t="s">
        <v>323</v>
      </c>
      <c r="B109" s="1">
        <f>'Business Engine'!$B$56</f>
      </c>
    </row>
    <row r="111">
      <c r="A111" s="1" t="s">
        <v>324</v>
      </c>
    </row>
    <row r="112">
      <c r="A112" s="1" t="s">
        <v>325</v>
      </c>
    </row>
    <row r="113">
      <c r="A113" s="1" t="s">
        <v>21</v>
      </c>
      <c r="B113" s="1" t="s">
        <v>53</v>
      </c>
      <c r="C113" s="1" t="s">
        <v>297</v>
      </c>
    </row>
    <row r="114">
      <c r="A114" s="1" t="s">
        <v>214</v>
      </c>
      <c r="B114" s="1">
        <f>$B$7</f>
      </c>
      <c r="C114" s="1">
        <f>1+COUNTIFS($B$114:$B$118,"&gt;"&amp;B114)</f>
      </c>
    </row>
    <row r="115">
      <c r="A115" s="1" t="s">
        <v>215</v>
      </c>
      <c r="B115" s="1">
        <f>$B$9</f>
      </c>
      <c r="C115" s="1">
        <f>1+COUNTIFS($B$114:$B$118,"&gt;"&amp;B115)</f>
      </c>
    </row>
    <row r="116">
      <c r="A116" s="1" t="s">
        <v>221</v>
      </c>
      <c r="B116" s="1">
        <f>$B$8</f>
      </c>
      <c r="C116" s="1">
        <f>1+COUNTIFS($B$114:$B$118,"&gt;"&amp;B116)</f>
      </c>
    </row>
    <row r="117">
      <c r="A117" s="1" t="s">
        <v>222</v>
      </c>
      <c r="B117" s="1">
        <f>$B$10</f>
      </c>
      <c r="C117" s="1">
        <f>1+COUNTIFS($B$114:$B$118,"&gt;"&amp;B117)</f>
      </c>
    </row>
    <row r="118">
      <c r="A118" s="1" t="s">
        <v>292</v>
      </c>
      <c r="B118" s="1">
        <f>$B$11</f>
      </c>
      <c r="C118" s="1">
        <f>1+COUNTIFS($B$114:$B$118,"&gt;"&amp;B118)</f>
      </c>
    </row>
    <row r="120">
      <c r="A120" s="1" t="s">
        <v>326</v>
      </c>
    </row>
    <row r="121">
      <c r="A121" s="1" t="s">
        <v>327</v>
      </c>
      <c r="B121" s="1">
        <f>IFERROR(INDEX($A$17:$A$26,MATCH(MAX($B$17:$B$26),$B$17:$B$26,0)),"")</f>
      </c>
    </row>
    <row r="122">
      <c r="A122" s="1" t="s">
        <v>328</v>
      </c>
      <c r="B122" s="1">
        <f>MAX($B$17:$B$26)</f>
      </c>
    </row>
    <row r="124">
      <c r="A124" s="1" t="s">
        <v>329</v>
      </c>
    </row>
    <row r="125">
      <c r="A125" s="1" t="s">
        <v>408</v>
      </c>
      <c r="B125" s="1">
        <f>'Business Engine'!$B$5</f>
      </c>
    </row>
    <row r="126">
      <c r="A126" s="1" t="s">
        <v>409</v>
      </c>
      <c r="B126" s="1">
        <f>IFERROR(SUMIFS('Business Engine'!$E$2:$E$200,'Business Engine'!$L$2:$L$200,"Active",'Business Engine'!$K$2:$K$200,"Yes"),0)</f>
      </c>
    </row>
    <row r="127">
      <c r="A127" s="1" t="s">
        <v>410</v>
      </c>
      <c r="B127" s="1">
        <f>'Business Engine'!$B$4</f>
      </c>
    </row>
    <row r="128">
      <c r="A128" s="1" t="s">
        <v>411</v>
      </c>
      <c r="B128" s="1">
        <f>'Business Engine'!$B$6</f>
      </c>
    </row>
    <row r="129">
      <c r="A129" s="1" t="s">
        <v>412</v>
      </c>
      <c r="B129" s="1">
        <f>'Business Engine'!$B$7</f>
      </c>
    </row>
    <row r="130">
      <c r="A130" s="1" t="s">
        <v>413</v>
      </c>
      <c r="B130" s="1">
        <f>IFERROR(SUMIFS('Business Engine'!$H$2:$H$200,'Business Engine'!$J$2:$J$200,"Current Bank",'Business Engine'!$L$2:$L$200,"Active",'Business Engine'!$K$2:$K$200,"Yes"),0)</f>
      </c>
    </row>
    <row r="131">
      <c r="A131" s="1" t="s">
        <v>414</v>
      </c>
      <c r="B131" s="1">
        <f>IFERROR(SUMIFS('Business Engine'!$H$2:$H$200,'Business Engine'!$J$2:$J$200,"Wallet",'Business Engine'!$L$2:$L$200,"Active",'Business Engine'!$K$2:$K$200,"Yes"),0)</f>
      </c>
    </row>
    <row r="132">
      <c r="A132" s="1" t="s">
        <v>415</v>
      </c>
      <c r="B132" s="1" t="s">
        <v>415</v>
      </c>
    </row>
    <row r="134">
      <c r="A134" s="1" t="s">
        <v>339</v>
      </c>
    </row>
    <row r="135">
      <c r="A135" s="1" t="s">
        <v>340</v>
      </c>
      <c r="B135" s="1" t="s">
        <v>341</v>
      </c>
    </row>
    <row r="136">
      <c r="A136" s="1" t="s">
        <v>223</v>
      </c>
      <c r="B136" s="4">
        <f>$B$2</f>
      </c>
    </row>
    <row r="137">
      <c r="A137" s="1" t="s">
        <v>342</v>
      </c>
      <c r="B137" s="1">
        <f>$B$44</f>
      </c>
    </row>
    <row r="138">
      <c r="A138" s="1" t="s">
        <v>343</v>
      </c>
      <c r="B138" s="1">
        <f>$B$45</f>
      </c>
    </row>
    <row r="139">
      <c r="A139" s="1" t="s">
        <v>344</v>
      </c>
      <c r="B139" s="1">
        <f>$B$46</f>
      </c>
    </row>
    <row r="140">
      <c r="A140" s="1" t="s">
        <v>276</v>
      </c>
      <c r="B140" s="1">
        <f>$B$47</f>
      </c>
    </row>
    <row r="141">
      <c r="A141" s="1" t="s">
        <v>263</v>
      </c>
      <c r="B141" s="1">
        <f>'Business Engine'!$B$48</f>
      </c>
    </row>
    <row r="142">
      <c r="A142" s="1" t="s">
        <v>345</v>
      </c>
      <c r="B142" s="1">
        <f>'Business Engine'!$B$49</f>
      </c>
    </row>
    <row r="143">
      <c r="A143" s="1" t="s">
        <v>265</v>
      </c>
      <c r="B143" s="1">
        <f>'Business Engine'!$B$50</f>
      </c>
    </row>
    <row r="144">
      <c r="A144" s="1" t="s">
        <v>277</v>
      </c>
      <c r="B144" s="1">
        <f>$B$80</f>
      </c>
    </row>
    <row r="145">
      <c r="A145" s="1" t="s">
        <v>279</v>
      </c>
      <c r="B145" s="1">
        <f>$B$81</f>
      </c>
    </row>
    <row r="146">
      <c r="A146" s="1" t="s">
        <v>272</v>
      </c>
      <c r="B146" s="1">
        <f>$B$108</f>
      </c>
    </row>
    <row r="147">
      <c r="A147" s="1" t="s">
        <v>321</v>
      </c>
      <c r="B147" s="1">
        <f>$B$107</f>
      </c>
    </row>
    <row r="148">
      <c r="A148" s="1" t="s">
        <v>330</v>
      </c>
      <c r="B148" s="1">
        <f>$B$125</f>
      </c>
    </row>
    <row r="149">
      <c r="A149" s="1" t="s">
        <v>346</v>
      </c>
      <c r="B149" s="1">
        <f>$B$55</f>
      </c>
    </row>
    <row r="150">
      <c r="A150" s="1" t="s">
        <v>347</v>
      </c>
      <c r="B150" s="1">
        <f>$B$75</f>
      </c>
    </row>
    <row r="151">
      <c r="A151" s="1" t="s">
        <v>310</v>
      </c>
      <c r="B151" s="1">
        <f>$B$78</f>
      </c>
    </row>
    <row r="152">
      <c r="A152" s="1" t="s">
        <v>301</v>
      </c>
      <c r="B152" s="1">
        <f>$B$49</f>
      </c>
    </row>
    <row r="153">
      <c r="A153" s="1" t="s">
        <v>327</v>
      </c>
      <c r="B153" s="1">
        <f>$B$121</f>
      </c>
    </row>
    <row r="154">
      <c r="A154" s="1" t="s">
        <v>348</v>
      </c>
      <c r="B154" s="1">
        <f>IFERROR($B$127/$B$45,0)</f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46</vt:i4>
      </vt:variant>
    </vt:vector>
  </HeadingPairs>
  <TitlesOfParts>
    <vt:vector size="60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  <vt:lpstr>rngAccounts</vt:lpstr>
      <vt:lpstr>rngAccountStatus</vt:lpstr>
      <vt:lpstr>rngAccountType</vt:lpstr>
      <vt:lpstr>rngActiveAccounts</vt:lpstr>
      <vt:lpstr>rngActiveAssets</vt:lpstr>
      <vt:lpstr>rngActiveGoals</vt:lpstr>
      <vt:lpstr>rngActiveLiabilities</vt:lpstr>
      <vt:lpstr>rngAssets</vt:lpstr>
      <vt:lpstr>rngAssetType</vt:lpstr>
      <vt:lpstr>rngBoolean</vt:lpstr>
      <vt:lpstr>rngCategories</vt:lpstr>
      <vt:lpstr>rngCategoryType</vt:lpstr>
      <vt:lpstr>rngCurrency</vt:lpstr>
      <vt:lpstr>rngExpenseCategories</vt:lpstr>
      <vt:lpstr>rngFinancialYears</vt:lpstr>
      <vt:lpstr>rngFrequency</vt:lpstr>
      <vt:lpstr>rngGoals</vt:lpstr>
      <vt:lpstr>rngGoalStatus</vt:lpstr>
      <vt:lpstr>rngIncomeCategories</vt:lpstr>
      <vt:lpstr>rngIncomeSources</vt:lpstr>
      <vt:lpstr>rngIncomeType</vt:lpstr>
      <vt:lpstr>rngLiabilities</vt:lpstr>
      <vt:lpstr>rngLiabilityType</vt:lpstr>
      <vt:lpstr>rngMonths</vt:lpstr>
      <vt:lpstr>rngPaymentMethods</vt:lpstr>
      <vt:lpstr>rngPriority</vt:lpstr>
      <vt:lpstr>rngTransactionType</vt:lpstr>
      <vt:lpstr>valAccountStatus</vt:lpstr>
      <vt:lpstr>valAccountTypes</vt:lpstr>
      <vt:lpstr>valActiveAccounts</vt:lpstr>
      <vt:lpstr>valActiveAssets</vt:lpstr>
      <vt:lpstr>valActiveGoals</vt:lpstr>
      <vt:lpstr>valActiveLiabilities</vt:lpstr>
      <vt:lpstr>valCategoryTypes</vt:lpstr>
      <vt:lpstr>valCommitmentStatus</vt:lpstr>
      <vt:lpstr>valCurrencies</vt:lpstr>
      <vt:lpstr>valDestinationTypes</vt:lpstr>
      <vt:lpstr>valExpenseCategories</vt:lpstr>
      <vt:lpstr>valFrequency</vt:lpstr>
      <vt:lpstr>valGoalStatus</vt:lpstr>
      <vt:lpstr>valIncomeCategories</vt:lpstr>
      <vt:lpstr>valIncomeSources</vt:lpstr>
      <vt:lpstr>valPaymentMethods</vt:lpstr>
      <vt:lpstr>valPriority</vt:lpstr>
      <vt:lpstr>valThemes</vt:lpstr>
      <vt:lpstr>valTransactionTypes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2026-08-25T13:34:09Z</dcterms:created>
  <dcterms:modified xsi:type="dcterms:W3CDTF">2026-08-26T08:51:44Z</dcterms:modified>
  <cp:category/>
</cp:coreProperties>
</file>