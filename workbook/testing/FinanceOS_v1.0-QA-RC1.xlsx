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Assets!$B$2:$B$200</definedName>
    <definedName name="rngAssetType">Helpers!$AG$2:$AG$25</definedName>
    <definedName name="rngBoolean">Helpers!$A$86:$A$87</definedName>
    <definedName name="rngCategories">Categories!$B$2:$B$200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Helpers!$B$131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rngDestinationType">Helpers!$A$28:$A$34</definedName>
    <definedName name="rngOwnershipType">Helpers!$A$81:$A$82</definedName>
    <definedName name="rngCommitmentStatus">Helpers!$A$75:$A$77</definedName>
    <definedName name="rngLiabilityStatus">Helpers!$A$65:$A$66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<sst xmlns="http://schemas.openxmlformats.org/spreadsheetml/2006/main" count="691" uniqueCount="691">
  <si>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</si>
  <si>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</si>
  <si>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</si>
  <si>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</si>
  <si>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</si>
  <si>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</si>
  <si>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</si>
  <si>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</si>
  <si>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</si>
  <si>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</si>
  <si>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</si>
  <si>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</si>
  <si>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</si>
  <si>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</si>
  <si>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</si>
  <si>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</si>
  <si>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</si>
  <si>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</si>
  <si>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</si>
  <si>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</si>
  <si>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</si>
  <si>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</si>
  <si>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</si>
  <si>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</si>
  <si>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</si>
  <si>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</si>
  <si>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</si>
  <si>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</si>
  <si>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</si>
  <si>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</si>
  <si>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</si>
  <si>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</si>
  <si>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</si>
  <si>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</si>
  <si>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</si>
  <si>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</si>
  <si>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</si>
  <si>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</si>
  <si>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</si>
  <si>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</si>
  <si>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</si>
  <si>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</si>
  <si>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</si>
  <si>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</si>
  <si>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</si>
  <si>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</si>
  <si>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</si>
  <si>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</si>
  <si>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</si>
  <si>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</si>
  <si>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</si>
  <si>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</si>
  <si>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</si>
  <si>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</si>
  <si>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</si>
  <si>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</si>
  <si>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</si>
  <si>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</si>
  <si>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</si>
  <si>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</si>
  <si>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</si>
  <si>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</si>
  <si>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</si>
  <si>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</si>
  <si>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</si>
  <si>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</si>
  <si>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</si>
  <si>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</si>
  <si>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</si>
  <si>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</si>
  <si>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</si>
  <si>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</si>
  <si>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</si>
  <si>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</si>
  <si>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</si>
  <si>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</si>
  <si>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</si>
  <si>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</si>
  <si>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</si>
  <si>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</si>
  <si>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</si>
  <si>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</si>
  <si>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</si>
  <si>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</si>
  <si>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</si>
  <si>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</si>
  <si>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</si>
  <si>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</si>
  <si>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</si>
  <si>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</si>
  <si>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</si>
  <si>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</si>
  <si>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</si>
  <si>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</si>
  <si>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</si>
  <si>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</si>
  <si>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</si>
  <si>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</si>
  <si>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</si>
  <si>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</si>
  <si>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</si>
  <si>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</si>
  <si>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</si>
  <si>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</si>
  <si>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</si>
  <si>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</si>
  <si>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</si>
  <si>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</si>
  <si>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</si>
  <si>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</si>
  <si>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</si>
  <si>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</si>
  <si>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</si>
  <si>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</si>
  <si>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</si>
  <si>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</si>
  <si>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</si>
  <si>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</si>
  <si>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</si>
  <si>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</si>
  <si>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</si>
  <si>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</si>
  <si>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</si>
  <si>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</si>
  <si>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</si>
  <si>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</si>
  <si>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</si>
  <si>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</si>
  <si>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</si>
  <si>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</si>
  <si>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</si>
  <si>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</si>
  <si>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</si>
  <si>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</si>
  <si>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</si>
  <si>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</si>
  <si>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</si>
  <si>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</si>
  <si>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</si>
  <si>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</si>
  <si>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</si>
  <si>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</si>
  <si>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</si>
  <si>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</si>
  <si>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</si>
  <si>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</si>
  <si>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</si>
  <si>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</si>
  <si>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</si>
  <si>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</si>
  <si>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</si>
  <si>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</si>
  <si>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</si>
  <si>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</si>
  <si>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</si>
  <si>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</si>
  <si>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</si>
  <si>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</si>
  <si>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</si>
  <si>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</si>
  <si>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</si>
  <si>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</si>
  <si>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</si>
  <si>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</si>
  <si>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</si>
  <si>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</si>
  <si>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</si>
  <si>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</si>
  <si>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</si>
  <si>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</si>
  <si>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</si>
  <si>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</si>
  <si>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</si>
  <si>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</si>
  <si>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</si>
  <si>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</si>
  <si>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</si>
  <si>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</si>
  <si>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</si>
  <si>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</si>
  <si>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</si>
  <si>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</si>
  <si>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</si>
  <si>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</si>
  <si>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</si>
  <si>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</si>
  <si>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</si>
  <si>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</si>
  <si>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</si>
  <si>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</si>
  <si>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</si>
  <si>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</si>
  <si>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</si>
  <si>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</si>
  <si>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</si>
  <si>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</si>
  <si>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</si>
  <si>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</si>
  <si>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</si>
  <si>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</si>
  <si>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</si>
  <si>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</si>
  <si>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</si>
  <si>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</si>
  <si>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</si>
  <si>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</si>
  <si>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</si>
  <si>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</si>
  <si>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</si>
  <si>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</si>
  <si>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</si>
  <si>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</si>
  <si>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</si>
  <si>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</si>
  <si>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</si>
  <si>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</si>
  <si>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</si>
  <si>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</si>
  <si>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</si>
  <si>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</si>
  <si>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</si>
  <si>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</si>
  <si>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</si>
  <si>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</si>
  <si>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</si>
  <si>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</si>
  <si>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</si>
  <si>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</si>
  <si>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</si>
  <si>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</si>
  <si>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</si>
  <si>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</si>
  <si>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</si>
  <si>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</si>
  <si>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</si>
  <si>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</si>
  <si>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</si>
  <si>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</si>
  <si>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</si>
  <si>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</si>
  <si>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</si>
  <si>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</si>
  <si>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</si>
  <si>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</si>
  <si>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</si>
  <si>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</si>
  <si>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</si>
  <si>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</si>
  <si>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</si>
  <si>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</si>
  <si>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</si>
  <si>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</si>
  <si>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</si>
  <si>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</si>
  <si>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</si>
  <si>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</si>
  <si>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</si>
  <si>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</si>
  <si>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</si>
  <si>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</si>
  <si>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</si>
  <si>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</si>
  <si>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</si>
  <si>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</si>
  <si>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</si>
  <si>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</si>
  <si>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</si>
  <si>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</si>
  <si>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</si>
  <si>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</si>
  <si>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</si>
  <si>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</si>
  <si>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</si>
  <si>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</si>
  <si>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</si>
  <si>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</si>
  <si>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</si>
  <si>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</si>
  <si>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</si>
  <si>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</si>
  <si>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</si>
  <si>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</si>
  <si>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</si>
  <si>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</si>
  <si>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</si>
  <si>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</si>
  <si>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</si>
  <si>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</si>
  <si>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</si>
  <si>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</si>
  <si>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</si>
  <si>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</si>
  <si>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</si>
  <si>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</si>
  <si>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</si>
  <si>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</si>
  <si>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</si>
  <si>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</si>
  <si>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</si>
  <si>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</si>
  <si>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</si>
  <si>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</si>
  <si>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</si>
  <si>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</si>
  <si>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</si>
  <si>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</si>
  <si>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</si>
  <si>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</si>
  <si>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</si>
  <si>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</si>
  <si>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</si>
  <si>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</si>
  <si>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</si>
  <si>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</si>
  <si>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</si>
  <si>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</si>
  <si>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</si>
  <si>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</si>
  <si>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</si>
  <si>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</si>
  <si>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</si>
  <si>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</si>
  <si>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</si>
  <si>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</si>
  <si>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</si>
  <si>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</si>
  <si>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</si>
  <si>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</si>
  <si>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</si>
  <si>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</si>
  <si>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</si>
  <si>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Opening Balances (Active)</t>
  </si>
  <si>
    <t>Current Balances (placeholder)</t>
  </si>
  <si>
    <t>Cash Accounts Total (placeholder)</t>
  </si>
  <si>
    <t>Savings Accounts Total (placeholder)</t>
  </si>
  <si>
    <t>Investment Accounts Total (placeholder)</t>
  </si>
  <si>
    <t>Credit Accounts Total (placeholder)</t>
  </si>
  <si>
    <t>Balance summary</t>
  </si>
  <si>
    <t>Current balances pending Account Engine (BE returns 0)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</si>
  <si>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</si>
  <si>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</si>
  <si>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</si>
  <si>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</si>
  <si>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</si>
  <si>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</si>
  <si>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</si>
  <si>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</si>
  <si>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</si>
  <si>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</si>
  <si>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SET-0001</t>
  </si>
  <si>
    <t>Display currency</t>
  </si>
  <si>
    <t>SET-0002</t>
  </si>
  <si>
    <t>Financial Year Start</t>
  </si>
  <si>
    <t>Date</t>
  </si>
  <si>
    <t>Indian fiscal year</t>
  </si>
  <si>
    <t>SET-0003</t>
  </si>
  <si>
    <t>Week Starts</t>
  </si>
  <si>
    <t>Monday</t>
  </si>
  <si>
    <t>Week start day</t>
  </si>
  <si>
    <t>SET-0004</t>
  </si>
  <si>
    <t>Dashboard Theme</t>
  </si>
  <si>
    <t>Workbook theme</t>
  </si>
  <si>
    <t>SET-0005</t>
  </si>
  <si>
    <t>Decimal Places</t>
  </si>
  <si>
    <t>2</t>
  </si>
  <si>
    <t>Display</t>
  </si>
  <si>
    <t>Amount precision</t>
  </si>
  <si>
    <t>SET-0006</t>
  </si>
  <si>
    <t>Date Format</t>
  </si>
  <si>
    <t>DD/MM/YYYY</t>
  </si>
  <si>
    <t>Display date format</t>
  </si>
  <si>
    <t>SET-0007</t>
  </si>
  <si>
    <t>12/09/2026</t>
  </si>
  <si>
    <t>Business Engine as-of date</t>
  </si>
  <si>
    <t>CAT-0001</t>
  </si>
  <si>
    <t>Rent</t>
  </si>
  <si>
    <t>Housing</t>
  </si>
  <si>
    <t>CAT-0002</t>
  </si>
  <si>
    <t>Groceries</t>
  </si>
  <si>
    <t>Food at home</t>
  </si>
  <si>
    <t>CAT-0003</t>
  </si>
  <si>
    <t>Dining</t>
  </si>
  <si>
    <t>Restaurants</t>
  </si>
  <si>
    <t>CAT-0004</t>
  </si>
  <si>
    <t>Transport</t>
  </si>
  <si>
    <t>Commute</t>
  </si>
  <si>
    <t>CAT-0005</t>
  </si>
  <si>
    <t>Utilities</t>
  </si>
  <si>
    <t>Power and internet</t>
  </si>
  <si>
    <t>CAT-0006</t>
  </si>
  <si>
    <t>Subscriptions</t>
  </si>
  <si>
    <t>OTT and apps</t>
  </si>
  <si>
    <t>CAT-0007</t>
  </si>
  <si>
    <t>Shopping</t>
  </si>
  <si>
    <t>Retail</t>
  </si>
  <si>
    <t>CAT-0008</t>
  </si>
  <si>
    <t>Healthcare</t>
  </si>
  <si>
    <t>Medical</t>
  </si>
  <si>
    <t>CAT-0009</t>
  </si>
  <si>
    <t>Entertainment</t>
  </si>
  <si>
    <t>Leisure</t>
  </si>
  <si>
    <t>CAT-0010</t>
  </si>
  <si>
    <t>Insurance</t>
  </si>
  <si>
    <t>Policies</t>
  </si>
  <si>
    <t>CAT-0011</t>
  </si>
  <si>
    <t>EMI</t>
  </si>
  <si>
    <t>Loan payments</t>
  </si>
  <si>
    <t>CAT-0012</t>
  </si>
  <si>
    <t>Investments</t>
  </si>
  <si>
    <t>CAT-0013</t>
  </si>
  <si>
    <t>Salary Income</t>
  </si>
  <si>
    <t>Payroll</t>
  </si>
  <si>
    <t>CAT-0014</t>
  </si>
  <si>
    <t>Freelance Income</t>
  </si>
  <si>
    <t>Contract work</t>
  </si>
  <si>
    <t>CAT-0015</t>
  </si>
  <si>
    <t>Interest Income</t>
  </si>
  <si>
    <t>Bank interest</t>
  </si>
  <si>
    <t>CAT-0016</t>
  </si>
  <si>
    <t>Cashback Income</t>
  </si>
  <si>
    <t>Card cashback</t>
  </si>
  <si>
    <t>ACC-0001</t>
  </si>
  <si>
    <t>HDFC Salary</t>
  </si>
  <si>
    <t>HDFC Bank</t>
  </si>
  <si>
    <t>Primary salary account</t>
  </si>
  <si>
    <t>ACC-0002</t>
  </si>
  <si>
    <t>SBI Savings</t>
  </si>
  <si>
    <t>State Bank of India</t>
  </si>
  <si>
    <t>Secondary savings</t>
  </si>
  <si>
    <t>ACC-0003</t>
  </si>
  <si>
    <t>Axis Savings</t>
  </si>
  <si>
    <t>Axis Bank</t>
  </si>
  <si>
    <t>Trip and freelance</t>
  </si>
  <si>
    <t>ACC-0004</t>
  </si>
  <si>
    <t>ICICI Credit Card</t>
  </si>
  <si>
    <t>ICICI Bank</t>
  </si>
  <si>
    <t>Everyday card</t>
  </si>
  <si>
    <t>ACC-0005</t>
  </si>
  <si>
    <t>Cash Wallet</t>
  </si>
  <si>
    <t>Pocket cash</t>
  </si>
  <si>
    <t>ACC-0006</t>
  </si>
  <si>
    <t>Home</t>
  </si>
  <si>
    <t>Physical emergency cash</t>
  </si>
  <si>
    <t>INC-0001</t>
  </si>
  <si>
    <t>Acme Payroll</t>
  </si>
  <si>
    <t>Monthly salary</t>
  </si>
  <si>
    <t>INC-0002</t>
  </si>
  <si>
    <t>Freelance Gigs</t>
  </si>
  <si>
    <t>Design and writing</t>
  </si>
  <si>
    <t>INC-0003</t>
  </si>
  <si>
    <t>HDFC Cashback</t>
  </si>
  <si>
    <t>INC-0004</t>
  </si>
  <si>
    <t>FD Interest</t>
  </si>
  <si>
    <t>Fixed deposit interest</t>
  </si>
  <si>
    <t>AST-0001</t>
  </si>
  <si>
    <t>Gold</t>
  </si>
  <si>
    <t>Physical Asset</t>
  </si>
  <si>
    <t>Family jewellery</t>
  </si>
  <si>
    <t>AST-0002</t>
  </si>
  <si>
    <t>Laptop</t>
  </si>
  <si>
    <t>Work laptop</t>
  </si>
  <si>
    <t>AST-0003</t>
  </si>
  <si>
    <t>Flexi-cap SIP</t>
  </si>
  <si>
    <t>AST-0004</t>
  </si>
  <si>
    <t>Emergency Cash Reserve</t>
  </si>
  <si>
    <t>Cash Equivalent</t>
  </si>
  <si>
    <t>Mirrors cash account</t>
  </si>
  <si>
    <t>LIA-0001</t>
  </si>
  <si>
    <t>Consolidation loan</t>
  </si>
  <si>
    <t>LIA-0002</t>
  </si>
  <si>
    <t>Bike EMI</t>
  </si>
  <si>
    <t>Two-wheeler</t>
  </si>
  <si>
    <t>LIA-0003</t>
  </si>
  <si>
    <t>Credit Card EMI</t>
  </si>
  <si>
    <t>Converted EMI</t>
  </si>
  <si>
    <t>COM-0001</t>
  </si>
  <si>
    <t>House rent</t>
  </si>
  <si>
    <t>COM-0002</t>
  </si>
  <si>
    <t>Electricity</t>
  </si>
  <si>
    <t>Utility</t>
  </si>
  <si>
    <t>BESCOM</t>
  </si>
  <si>
    <t>COM-0003</t>
  </si>
  <si>
    <t>Internet</t>
  </si>
  <si>
    <t>Fiber</t>
  </si>
  <si>
    <t>COM-0004</t>
  </si>
  <si>
    <t>Mobile Recharge</t>
  </si>
  <si>
    <t>Jio</t>
  </si>
  <si>
    <t>COM-0005</t>
  </si>
  <si>
    <t>Spotify</t>
  </si>
  <si>
    <t>Subscription</t>
  </si>
  <si>
    <t>Family plan</t>
  </si>
  <si>
    <t>COM-0006</t>
  </si>
  <si>
    <t>Netflix</t>
  </si>
  <si>
    <t>Premium</t>
  </si>
  <si>
    <t>COM-0007</t>
  </si>
  <si>
    <t>GOAL-0001</t>
  </si>
  <si>
    <t>Emergency fund SIP</t>
  </si>
  <si>
    <t>COM-0008</t>
  </si>
  <si>
    <t>Term + health</t>
  </si>
  <si>
    <t>COM-0009</t>
  </si>
  <si>
    <t>Gym</t>
  </si>
  <si>
    <t>Membership</t>
  </si>
  <si>
    <t>Cult</t>
  </si>
  <si>
    <t>COM-0010</t>
  </si>
  <si>
    <t>Amazon Prime</t>
  </si>
  <si>
    <t>Prime monthly</t>
  </si>
  <si>
    <t>Emergency Fund</t>
  </si>
  <si>
    <t>6-month runway</t>
  </si>
  <si>
    <t>GOAL-0002</t>
  </si>
  <si>
    <t>Bike Down Payment</t>
  </si>
  <si>
    <t>Bike</t>
  </si>
  <si>
    <t>Down payment</t>
  </si>
  <si>
    <t>GOAL-0003</t>
  </si>
  <si>
    <t>Goa Trip</t>
  </si>
  <si>
    <t>Travel</t>
  </si>
  <si>
    <t>December trip</t>
  </si>
  <si>
    <t>GOAL-0004</t>
  </si>
  <si>
    <t>iPhone</t>
  </si>
  <si>
    <t>Refresh</t>
  </si>
  <si>
    <t>GOAL-0005</t>
  </si>
  <si>
    <t>Home Fund</t>
  </si>
  <si>
    <t>Long-term</t>
  </si>
  <si>
    <t>TXN-000090</t>
  </si>
  <si>
    <t>BUG-003 later salary ABOVE Jan salary</t>
  </si>
  <si>
    <t>TXN-000010</t>
  </si>
  <si>
    <t>BUG-003 earlier salary BELOW Sep salary</t>
  </si>
  <si>
    <t>TXN-000001</t>
  </si>
  <si>
    <t>TXN-000002</t>
  </si>
  <si>
    <t>TXN-000003</t>
  </si>
  <si>
    <t>TXN-000004</t>
  </si>
  <si>
    <t>TXN-000005</t>
  </si>
  <si>
    <t>TXN-000006</t>
  </si>
  <si>
    <t>TXN-000007</t>
  </si>
  <si>
    <t>TXN-000008</t>
  </si>
  <si>
    <t>TXN-000009</t>
  </si>
  <si>
    <t>Freelance invoice</t>
  </si>
  <si>
    <t>TXN-000011</t>
  </si>
  <si>
    <t>TXN-000012</t>
  </si>
  <si>
    <t>TXN-000013</t>
  </si>
  <si>
    <t>TXN-000014</t>
  </si>
  <si>
    <t>TXN-000015</t>
  </si>
  <si>
    <t>TXN-000016</t>
  </si>
  <si>
    <t>TXN-000017</t>
  </si>
  <si>
    <t>TXN-000018</t>
  </si>
  <si>
    <t>FD interest</t>
  </si>
  <si>
    <t>TXN-000019</t>
  </si>
  <si>
    <t>TXN-000020</t>
  </si>
  <si>
    <t>TXN-000021</t>
  </si>
  <si>
    <t>TXN-000022</t>
  </si>
  <si>
    <t>TXN-000023</t>
  </si>
  <si>
    <t>TXN-000024</t>
  </si>
  <si>
    <t>TXN-000025</t>
  </si>
  <si>
    <t>TXN-000026</t>
  </si>
  <si>
    <t>TXN-000027</t>
  </si>
  <si>
    <t>TXN-000028</t>
  </si>
  <si>
    <t>Monthly SIP</t>
  </si>
  <si>
    <t>TXN-000029</t>
  </si>
  <si>
    <t>Personal loan EMI</t>
  </si>
  <si>
    <t>TXN-000030</t>
  </si>
  <si>
    <t>TXN-000031</t>
  </si>
  <si>
    <t>TXN-000032</t>
  </si>
  <si>
    <t>TXN-000033</t>
  </si>
  <si>
    <t>TXN-000034</t>
  </si>
  <si>
    <t>TXN-000035</t>
  </si>
  <si>
    <t>TXN-000036</t>
  </si>
  <si>
    <t>TXN-000037</t>
  </si>
  <si>
    <t>TXN-000038</t>
  </si>
  <si>
    <t>TXN-000039</t>
  </si>
  <si>
    <t>TXN-000040</t>
  </si>
  <si>
    <t>TXN-000041</t>
  </si>
  <si>
    <t>TXN-000042</t>
  </si>
  <si>
    <t>TXN-000043</t>
  </si>
  <si>
    <t>TXN-000044</t>
  </si>
  <si>
    <t>TXN-000045</t>
  </si>
  <si>
    <t>TXN-000046</t>
  </si>
  <si>
    <t>TXN-000047</t>
  </si>
  <si>
    <t>TXN-000048</t>
  </si>
  <si>
    <t>TXN-000049</t>
  </si>
  <si>
    <t>TXN-000050</t>
  </si>
  <si>
    <t>TXN-000051</t>
  </si>
  <si>
    <t>TXN-000052</t>
  </si>
  <si>
    <t>TXN-000053</t>
  </si>
  <si>
    <t>TXN-000054</t>
  </si>
  <si>
    <t>TXN-000055</t>
  </si>
  <si>
    <t>TXN-000056</t>
  </si>
  <si>
    <t>TXN-000057</t>
  </si>
  <si>
    <t>TXN-000058</t>
  </si>
  <si>
    <t>TXN-000059</t>
  </si>
  <si>
    <t>TXN-000060</t>
  </si>
  <si>
    <t>TXN-000061</t>
  </si>
  <si>
    <t>TXN-000062</t>
  </si>
  <si>
    <t>TXN-000063</t>
  </si>
  <si>
    <t>TXN-000064</t>
  </si>
  <si>
    <t>TXN-000065</t>
  </si>
  <si>
    <t>TXN-000066</t>
  </si>
  <si>
    <t>Mobile recharge</t>
  </si>
  <si>
    <t>TXN-000067</t>
  </si>
  <si>
    <t>TXN-000068</t>
  </si>
  <si>
    <t>TXN-000069</t>
  </si>
  <si>
    <t>TXN-000070</t>
  </si>
  <si>
    <t>TXN-000071</t>
  </si>
  <si>
    <t>TXN-000072</t>
  </si>
  <si>
    <t>TXN-000073</t>
  </si>
  <si>
    <t>TXN-000074</t>
  </si>
  <si>
    <t>TXN-000075</t>
  </si>
  <si>
    <t>TXN-000076</t>
  </si>
  <si>
    <t>TXN-000077</t>
  </si>
  <si>
    <t>TXN-000078</t>
  </si>
  <si>
    <t>TXN-000079</t>
  </si>
  <si>
    <t>TXN-000080</t>
  </si>
  <si>
    <t>TXN-000081</t>
  </si>
  <si>
    <t>TXN-000082</t>
  </si>
  <si>
    <t>TXN-000083</t>
  </si>
  <si>
    <t>TXN-000084</t>
  </si>
  <si>
    <t>TXN-000085</t>
  </si>
  <si>
    <t>TXN-000086</t>
  </si>
  <si>
    <t>TXN-000087</t>
  </si>
  <si>
    <t>TXN-000088</t>
  </si>
  <si>
    <t>TXN-000089</t>
  </si>
  <si>
    <t>TXN-000091</t>
  </si>
  <si>
    <t>TXN-000092</t>
  </si>
  <si>
    <t>TXN-000093</t>
  </si>
  <si>
    <t>TXN-000094</t>
  </si>
  <si>
    <t>TXN-000095</t>
  </si>
  <si>
    <t>TXN-000096</t>
  </si>
  <si>
    <t>TXN-000097</t>
  </si>
  <si>
    <t>TXN-000098</t>
  </si>
  <si>
    <t>TXN-000099</t>
  </si>
  <si>
    <t>TXN-000100</t>
  </si>
  <si>
    <t>Local transport</t>
  </si>
  <si>
    <t>TXN-000101</t>
  </si>
  <si>
    <t>TXN-000102</t>
  </si>
  <si>
    <t>TXN-000103</t>
  </si>
  <si>
    <t>TXN-000104</t>
  </si>
  <si>
    <t>TXN-000105</t>
  </si>
  <si>
    <t>Sweep to SBI</t>
  </si>
  <si>
    <t>TXN-000106</t>
  </si>
  <si>
    <t>TXN-000107</t>
  </si>
  <si>
    <t>Inbound to HDFC</t>
  </si>
  <si>
    <t>TXN-000108</t>
  </si>
  <si>
    <t>Trip fund</t>
  </si>
  <si>
    <t>TXN-000109</t>
  </si>
  <si>
    <t>Cash withdrawal</t>
  </si>
  <si>
    <t>TXN-000110</t>
  </si>
  <si>
    <t>TXN-000111</t>
  </si>
  <si>
    <t>TXN-000112</t>
  </si>
  <si>
    <t>TXN-000113</t>
  </si>
  <si>
    <t>Credit card spend</t>
  </si>
  <si>
    <t>TXN-000114</t>
  </si>
  <si>
    <t>TXN-000115</t>
  </si>
  <si>
    <t>TXN-000116</t>
  </si>
  <si>
    <t>TXN-000117</t>
  </si>
  <si>
    <t>TXN-000118</t>
  </si>
  <si>
    <t>Credit card payment</t>
  </si>
  <si>
    <t>TXN-000119</t>
  </si>
  <si>
    <t>TXN-000120</t>
  </si>
  <si>
    <t>TXN-000121</t>
  </si>
  <si>
    <t>Goal contribution</t>
  </si>
  <si>
    <t>TXN-000122</t>
  </si>
  <si>
    <t>TXN-000123</t>
  </si>
  <si>
    <t>TXN-000124</t>
  </si>
  <si>
    <t>TXN-000125</t>
  </si>
  <si>
    <t>TXN-000126</t>
  </si>
  <si>
    <t>TXN-000127</t>
  </si>
  <si>
    <t>Asset purchase laptop (historical matching)</t>
  </si>
  <si>
    <t>TXN-000128</t>
  </si>
  <si>
    <t>Small amount</t>
  </si>
  <si>
    <t>TXN-000129</t>
  </si>
  <si>
    <t>TXN-000130</t>
  </si>
  <si>
    <t>Reconciled</t>
  </si>
  <si>
    <t>Large bonus reconciled</t>
  </si>
  <si>
    <t>TXN-000131</t>
  </si>
  <si>
    <t>Same-day as groceries 19</t>
  </si>
  <si>
    <t>TXN-000132</t>
  </si>
  <si>
    <t>Clinic</t>
  </si>
  <si>
    <t>TXN-000133</t>
  </si>
  <si>
    <t>Pharmacy</t>
  </si>
  <si>
    <t>TXN-000134</t>
  </si>
  <si>
    <t>Pending</t>
  </si>
  <si>
    <t>Pending latest after as-of</t>
  </si>
  <si>
    <t>TXN-000135</t>
  </si>
  <si>
    <t>Cancelled</t>
  </si>
  <si>
    <t>Cancelled latest after as-of</t>
  </si>
  <si>
    <t>TXN-000136</t>
  </si>
  <si>
    <t>Reconciled latest near as-of</t>
  </si>
  <si>
    <t>TXN-000137</t>
  </si>
  <si>
    <t>Future dated pending salary</t>
  </si>
  <si>
    <t>TXN-000138</t>
  </si>
  <si>
    <t>Inbound transfer near as-of</t>
  </si>
  <si>
    <t>TXN-000139</t>
  </si>
  <si>
    <t>Outbound transfer near as-of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</si>
</sst>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00" totalsRowShown="0">
  <autoFilter ref="A1:E200"/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00" totalsRowShown="0">
  <autoFilter ref="A1:G200"/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I200" totalsRowShown="0">
  <autoFilter ref="A1:I200"/>
  <tableColumns count="9">
    <tableColumn id="1" name="Account ID"/>
    <tableColumn id="2" name="Account Name"/>
    <tableColumn id="3" name="Account Type"/>
    <tableColumn id="4" name="Institution"/>
    <tableColumn id="5" name="Opening Balance"/>
    <tableColumn id="6" name="Current Balance"/>
    <tableColumn id="7" name="Currency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00" totalsRowShown="0">
  <autoFilter ref="A1:F200"/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00" totalsRowShown="0">
  <autoFilter ref="A1:M200"/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>
      <calculatedColumnFormula>tblAssets[[#This Row],[Current Value]]-tblAssets[[#This Row],[Purchase Value]]</calculatedColumnFormula>
    </tableColumn>
    <tableColumn id="10" name="Appreciation %">
      <calculatedColumnFormula>IFERROR(tblAssets[[#This Row],[Appreciation Amount]]/tblAssets[[#This Row],[Purchase Value]],0)</calculatedColumnFormula>
    </tableColumn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00" totalsRowShown="0">
  <autoFilter ref="A1:P200"/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00" totalsRowShown="0">
  <autoFilter ref="A1:N200"/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00" totalsRowShown="0">
  <autoFilter ref="A1:M200"/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00" totalsRowShown="0">
  <autoFilter ref="A1:L200"/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>
      <calculatedColumnFormula>MAX(0,tblGoals[[#This Row],[Target Amount]]-tblGoals[[#This Row],[Current Saved Amount]])</calculatedColumnFormula>
    </tableColumn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4:A66" totalsRowShown="0">
  <autoFilter ref="A64:A66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69:A71" totalsRowShown="0">
  <autoFilter ref="A69:A71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4:A77" totalsRowShown="0">
  <autoFilter ref="A74:A77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0:A82" totalsRowShown="0">
  <autoFilter ref="A80:A82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5:A87" totalsRowShown="0">
  <autoFilter ref="A85:A87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0:A98" totalsRowShown="0">
  <autoFilter ref="A90:A98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1:A103" totalsRowShown="0">
  <autoFilter ref="A101:A103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6:A107" totalsRowShown="0">
  <autoFilter ref="A106:A107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0:C122" totalsRowShown="0">
  <autoFilter ref="A110:C122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5:A126" totalsRowShown="0">
  <autoFilter ref="A125:A126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349</v>
      </c>
      <c r="B2" s="1" t="s">
        <v>18</v>
      </c>
      <c r="C2" s="2" t="s">
        <v>82</v>
      </c>
      <c r="D2" s="1" t="s">
        <v>18</v>
      </c>
      <c r="E2" s="1" t="s">
        <v>350</v>
      </c>
    </row>
    <row r="3">
      <c r="A3" s="1" t="s">
        <v>351</v>
      </c>
      <c r="B3" s="1" t="s">
        <v>352</v>
      </c>
      <c r="C3" s="2" t="s">
        <v>138</v>
      </c>
      <c r="D3" s="1" t="s">
        <v>353</v>
      </c>
      <c r="E3" s="1" t="s">
        <v>354</v>
      </c>
    </row>
    <row r="4">
      <c r="A4" s="1" t="s">
        <v>355</v>
      </c>
      <c r="B4" s="1" t="s">
        <v>356</v>
      </c>
      <c r="C4" s="2" t="s">
        <v>357</v>
      </c>
      <c r="D4" s="1" t="s">
        <v>353</v>
      </c>
      <c r="E4" s="1" t="s">
        <v>358</v>
      </c>
    </row>
    <row r="5">
      <c r="A5" s="1" t="s">
        <v>359</v>
      </c>
      <c r="B5" s="1" t="s">
        <v>360</v>
      </c>
      <c r="C5" s="2" t="s">
        <v>128</v>
      </c>
      <c r="D5" s="1" t="s">
        <v>127</v>
      </c>
      <c r="E5" s="1" t="s">
        <v>361</v>
      </c>
    </row>
    <row r="6">
      <c r="A6" s="1" t="s">
        <v>362</v>
      </c>
      <c r="B6" s="1" t="s">
        <v>363</v>
      </c>
      <c r="C6" s="2" t="s">
        <v>364</v>
      </c>
      <c r="D6" s="1" t="s">
        <v>365</v>
      </c>
      <c r="E6" s="1" t="s">
        <v>366</v>
      </c>
    </row>
    <row r="7">
      <c r="A7" s="1" t="s">
        <v>367</v>
      </c>
      <c r="B7" s="1" t="s">
        <v>368</v>
      </c>
      <c r="C7" s="2" t="s">
        <v>369</v>
      </c>
      <c r="D7" s="1" t="s">
        <v>353</v>
      </c>
      <c r="E7" s="1" t="s">
        <v>370</v>
      </c>
    </row>
    <row r="8">
      <c r="A8" s="1" t="s">
        <v>371</v>
      </c>
      <c r="B8" s="1" t="s">
        <v>223</v>
      </c>
      <c r="C8" s="2" t="s">
        <v>372</v>
      </c>
      <c r="D8" s="1" t="s">
        <v>353</v>
      </c>
      <c r="E8" s="1" t="s">
        <v>373</v>
      </c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1"/>
      <c r="B18" s="1"/>
      <c r="C18" s="2"/>
      <c r="D18" s="1"/>
      <c r="E18" s="1"/>
    </row>
    <row r="19">
      <c r="A19" s="1"/>
      <c r="B19" s="1"/>
      <c r="C19" s="2"/>
      <c r="D19" s="1"/>
      <c r="E19" s="1"/>
    </row>
    <row r="20">
      <c r="A20" s="1"/>
      <c r="B20" s="1"/>
      <c r="C20" s="2"/>
      <c r="D20" s="1"/>
      <c r="E20" s="1"/>
    </row>
    <row r="21">
      <c r="A21" s="1"/>
      <c r="B21" s="1"/>
      <c r="C21" s="2"/>
      <c r="D21" s="1"/>
      <c r="E21" s="1"/>
    </row>
    <row r="22">
      <c r="A22" s="1"/>
      <c r="B22" s="1"/>
      <c r="C22" s="2"/>
      <c r="D22" s="1"/>
      <c r="E22" s="1"/>
    </row>
    <row r="23">
      <c r="A23" s="1"/>
      <c r="B23" s="1"/>
      <c r="C23" s="2"/>
      <c r="D23" s="1"/>
      <c r="E23" s="1"/>
    </row>
    <row r="24">
      <c r="A24" s="1"/>
      <c r="B24" s="1"/>
      <c r="C24" s="2"/>
      <c r="D24" s="1"/>
      <c r="E24" s="1"/>
    </row>
    <row r="25">
      <c r="A25" s="1"/>
      <c r="B25" s="1"/>
      <c r="C25" s="2"/>
      <c r="D25" s="1"/>
      <c r="E25" s="1"/>
    </row>
    <row r="26">
      <c r="A26" s="1"/>
      <c r="B26" s="1"/>
      <c r="C26" s="2"/>
      <c r="D26" s="1"/>
      <c r="E26" s="1"/>
    </row>
    <row r="27">
      <c r="A27" s="1"/>
      <c r="B27" s="1"/>
      <c r="C27" s="2"/>
      <c r="D27" s="1"/>
      <c r="E27" s="1"/>
    </row>
    <row r="28">
      <c r="A28" s="1"/>
      <c r="B28" s="1"/>
      <c r="C28" s="2"/>
      <c r="D28" s="1"/>
      <c r="E28" s="1"/>
    </row>
    <row r="29">
      <c r="A29" s="1"/>
      <c r="B29" s="1"/>
      <c r="C29" s="2"/>
      <c r="D29" s="1"/>
      <c r="E29" s="1"/>
    </row>
    <row r="30">
      <c r="A30" s="1"/>
      <c r="B30" s="1"/>
      <c r="C30" s="2"/>
      <c r="D30" s="1"/>
      <c r="E30" s="1"/>
    </row>
    <row r="31">
      <c r="A31" s="1"/>
      <c r="B31" s="1"/>
      <c r="C31" s="2"/>
      <c r="D31" s="1"/>
      <c r="E31" s="1"/>
    </row>
    <row r="32">
      <c r="A32" s="1"/>
      <c r="B32" s="1"/>
      <c r="C32" s="2"/>
      <c r="D32" s="1"/>
      <c r="E32" s="1"/>
    </row>
    <row r="33">
      <c r="A33" s="1"/>
      <c r="B33" s="1"/>
      <c r="C33" s="2"/>
      <c r="D33" s="1"/>
      <c r="E33" s="1"/>
    </row>
    <row r="34">
      <c r="A34" s="1"/>
      <c r="B34" s="1"/>
      <c r="C34" s="2"/>
      <c r="D34" s="1"/>
      <c r="E34" s="1"/>
    </row>
    <row r="35">
      <c r="A35" s="1"/>
      <c r="B35" s="1"/>
      <c r="C35" s="2"/>
      <c r="D35" s="1"/>
      <c r="E35" s="1"/>
    </row>
    <row r="36">
      <c r="A36" s="1"/>
      <c r="B36" s="1"/>
      <c r="C36" s="2"/>
      <c r="D36" s="1"/>
      <c r="E36" s="1"/>
    </row>
    <row r="37">
      <c r="A37" s="1"/>
      <c r="B37" s="1"/>
      <c r="C37" s="2"/>
      <c r="D37" s="1"/>
      <c r="E37" s="1"/>
    </row>
    <row r="38">
      <c r="A38" s="1"/>
      <c r="B38" s="1"/>
      <c r="C38" s="2"/>
      <c r="D38" s="1"/>
      <c r="E38" s="1"/>
    </row>
    <row r="39">
      <c r="A39" s="1"/>
      <c r="B39" s="1"/>
      <c r="C39" s="2"/>
      <c r="D39" s="1"/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1"/>
      <c r="B48" s="1"/>
      <c r="C48" s="2"/>
      <c r="D48" s="1"/>
      <c r="E48" s="1"/>
    </row>
    <row r="49">
      <c r="A49" s="1"/>
      <c r="B49" s="1"/>
      <c r="C49" s="2"/>
      <c r="D49" s="1"/>
      <c r="E49" s="1"/>
    </row>
    <row r="50">
      <c r="A50" s="1"/>
      <c r="B50" s="1"/>
      <c r="C50" s="2"/>
      <c r="D50" s="1"/>
      <c r="E50" s="1"/>
    </row>
    <row r="51">
      <c r="A51" s="1"/>
      <c r="B51" s="1"/>
      <c r="C51" s="2"/>
      <c r="D51" s="1"/>
      <c r="E51" s="1"/>
    </row>
    <row r="52">
      <c r="A52" s="1"/>
      <c r="B52" s="1"/>
      <c r="C52" s="2"/>
      <c r="D52" s="1"/>
      <c r="E52" s="1"/>
    </row>
    <row r="53">
      <c r="A53" s="1"/>
      <c r="B53" s="1"/>
      <c r="C53" s="2"/>
      <c r="D53" s="1"/>
      <c r="E53" s="1"/>
    </row>
    <row r="54">
      <c r="A54" s="1"/>
      <c r="B54" s="1"/>
      <c r="C54" s="2"/>
      <c r="D54" s="1"/>
      <c r="E54" s="1"/>
    </row>
    <row r="55">
      <c r="A55" s="1"/>
      <c r="B55" s="1"/>
      <c r="C55" s="2"/>
      <c r="D55" s="1"/>
      <c r="E55" s="1"/>
    </row>
    <row r="56">
      <c r="A56" s="1"/>
      <c r="B56" s="1"/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374</v>
      </c>
      <c r="B2" s="2" t="s">
        <v>375</v>
      </c>
      <c r="C2" s="2" t="s">
        <v>96</v>
      </c>
      <c r="D2" s="2"/>
      <c r="E2" s="2" t="s">
        <v>111</v>
      </c>
      <c r="F2" s="2">
        <v>1</v>
      </c>
      <c r="G2" s="2" t="s">
        <v>376</v>
      </c>
    </row>
    <row r="3">
      <c r="A3" s="1" t="s">
        <v>377</v>
      </c>
      <c r="B3" s="2" t="s">
        <v>378</v>
      </c>
      <c r="C3" s="2" t="s">
        <v>96</v>
      </c>
      <c r="D3" s="2"/>
      <c r="E3" s="2" t="s">
        <v>111</v>
      </c>
      <c r="F3" s="2">
        <v>2</v>
      </c>
      <c r="G3" s="2" t="s">
        <v>379</v>
      </c>
    </row>
    <row r="4">
      <c r="A4" s="1" t="s">
        <v>380</v>
      </c>
      <c r="B4" s="2" t="s">
        <v>381</v>
      </c>
      <c r="C4" s="2" t="s">
        <v>96</v>
      </c>
      <c r="D4" s="2"/>
      <c r="E4" s="2" t="s">
        <v>111</v>
      </c>
      <c r="F4" s="2">
        <v>3</v>
      </c>
      <c r="G4" s="2" t="s">
        <v>382</v>
      </c>
    </row>
    <row r="5">
      <c r="A5" s="1" t="s">
        <v>383</v>
      </c>
      <c r="B5" s="2" t="s">
        <v>384</v>
      </c>
      <c r="C5" s="2" t="s">
        <v>96</v>
      </c>
      <c r="D5" s="2"/>
      <c r="E5" s="2" t="s">
        <v>111</v>
      </c>
      <c r="F5" s="2">
        <v>4</v>
      </c>
      <c r="G5" s="2" t="s">
        <v>385</v>
      </c>
    </row>
    <row r="6">
      <c r="A6" s="1" t="s">
        <v>386</v>
      </c>
      <c r="B6" s="2" t="s">
        <v>387</v>
      </c>
      <c r="C6" s="2" t="s">
        <v>96</v>
      </c>
      <c r="D6" s="2"/>
      <c r="E6" s="2" t="s">
        <v>111</v>
      </c>
      <c r="F6" s="2">
        <v>5</v>
      </c>
      <c r="G6" s="2" t="s">
        <v>388</v>
      </c>
    </row>
    <row r="7">
      <c r="A7" s="1" t="s">
        <v>389</v>
      </c>
      <c r="B7" s="2" t="s">
        <v>390</v>
      </c>
      <c r="C7" s="2" t="s">
        <v>96</v>
      </c>
      <c r="D7" s="2"/>
      <c r="E7" s="2" t="s">
        <v>111</v>
      </c>
      <c r="F7" s="2">
        <v>6</v>
      </c>
      <c r="G7" s="2" t="s">
        <v>391</v>
      </c>
    </row>
    <row r="8">
      <c r="A8" s="1" t="s">
        <v>392</v>
      </c>
      <c r="B8" s="2" t="s">
        <v>393</v>
      </c>
      <c r="C8" s="2" t="s">
        <v>96</v>
      </c>
      <c r="D8" s="2"/>
      <c r="E8" s="2" t="s">
        <v>111</v>
      </c>
      <c r="F8" s="2">
        <v>7</v>
      </c>
      <c r="G8" s="2" t="s">
        <v>394</v>
      </c>
    </row>
    <row r="9">
      <c r="A9" s="1" t="s">
        <v>395</v>
      </c>
      <c r="B9" s="2" t="s">
        <v>396</v>
      </c>
      <c r="C9" s="2" t="s">
        <v>96</v>
      </c>
      <c r="D9" s="2"/>
      <c r="E9" s="2" t="s">
        <v>111</v>
      </c>
      <c r="F9" s="2">
        <v>8</v>
      </c>
      <c r="G9" s="2" t="s">
        <v>397</v>
      </c>
    </row>
    <row r="10">
      <c r="A10" s="1" t="s">
        <v>398</v>
      </c>
      <c r="B10" s="2" t="s">
        <v>399</v>
      </c>
      <c r="C10" s="2" t="s">
        <v>96</v>
      </c>
      <c r="D10" s="2"/>
      <c r="E10" s="2" t="s">
        <v>111</v>
      </c>
      <c r="F10" s="2">
        <v>9</v>
      </c>
      <c r="G10" s="2" t="s">
        <v>400</v>
      </c>
    </row>
    <row r="11">
      <c r="A11" s="1" t="s">
        <v>401</v>
      </c>
      <c r="B11" s="2" t="s">
        <v>402</v>
      </c>
      <c r="C11" s="2" t="s">
        <v>96</v>
      </c>
      <c r="D11" s="2"/>
      <c r="E11" s="2" t="s">
        <v>111</v>
      </c>
      <c r="F11" s="2">
        <v>10</v>
      </c>
      <c r="G11" s="2" t="s">
        <v>403</v>
      </c>
    </row>
    <row r="12">
      <c r="A12" s="1" t="s">
        <v>404</v>
      </c>
      <c r="B12" s="2" t="s">
        <v>405</v>
      </c>
      <c r="C12" s="2" t="s">
        <v>96</v>
      </c>
      <c r="D12" s="2"/>
      <c r="E12" s="2" t="s">
        <v>111</v>
      </c>
      <c r="F12" s="2">
        <v>11</v>
      </c>
      <c r="G12" s="2" t="s">
        <v>406</v>
      </c>
    </row>
    <row r="13">
      <c r="A13" s="1" t="s">
        <v>407</v>
      </c>
      <c r="B13" s="2" t="s">
        <v>186</v>
      </c>
      <c r="C13" s="2" t="s">
        <v>96</v>
      </c>
      <c r="D13" s="2"/>
      <c r="E13" s="2" t="s">
        <v>111</v>
      </c>
      <c r="F13" s="2">
        <v>12</v>
      </c>
      <c r="G13" s="2" t="s">
        <v>408</v>
      </c>
    </row>
    <row r="14">
      <c r="A14" s="1" t="s">
        <v>409</v>
      </c>
      <c r="B14" s="2" t="s">
        <v>410</v>
      </c>
      <c r="C14" s="2" t="s">
        <v>95</v>
      </c>
      <c r="D14" s="2"/>
      <c r="E14" s="2" t="s">
        <v>111</v>
      </c>
      <c r="F14" s="2">
        <v>13</v>
      </c>
      <c r="G14" s="2" t="s">
        <v>411</v>
      </c>
    </row>
    <row r="15">
      <c r="A15" s="1" t="s">
        <v>412</v>
      </c>
      <c r="B15" s="2" t="s">
        <v>413</v>
      </c>
      <c r="C15" s="2" t="s">
        <v>95</v>
      </c>
      <c r="D15" s="2"/>
      <c r="E15" s="2" t="s">
        <v>111</v>
      </c>
      <c r="F15" s="2">
        <v>14</v>
      </c>
      <c r="G15" s="2" t="s">
        <v>414</v>
      </c>
    </row>
    <row r="16">
      <c r="A16" s="1" t="s">
        <v>415</v>
      </c>
      <c r="B16" s="2" t="s">
        <v>416</v>
      </c>
      <c r="C16" s="2" t="s">
        <v>95</v>
      </c>
      <c r="D16" s="2"/>
      <c r="E16" s="2" t="s">
        <v>111</v>
      </c>
      <c r="F16" s="2">
        <v>15</v>
      </c>
      <c r="G16" s="2" t="s">
        <v>417</v>
      </c>
    </row>
    <row r="17">
      <c r="A17" s="1" t="s">
        <v>418</v>
      </c>
      <c r="B17" s="2" t="s">
        <v>419</v>
      </c>
      <c r="C17" s="2" t="s">
        <v>95</v>
      </c>
      <c r="D17" s="2"/>
      <c r="E17" s="2" t="s">
        <v>111</v>
      </c>
      <c r="F17" s="2">
        <v>16</v>
      </c>
      <c r="G17" s="2" t="s">
        <v>420</v>
      </c>
    </row>
    <row r="18">
      <c r="A18" s="1"/>
      <c r="B18" s="2"/>
      <c r="C18" s="2"/>
      <c r="D18" s="2"/>
      <c r="E18" s="2"/>
      <c r="F18" s="2"/>
      <c r="G18" s="2"/>
    </row>
    <row r="19">
      <c r="A19" s="1"/>
      <c r="B19" s="2"/>
      <c r="C19" s="2"/>
      <c r="D19" s="2"/>
      <c r="E19" s="2"/>
      <c r="F19" s="2"/>
      <c r="G19" s="2"/>
    </row>
    <row r="20">
      <c r="A20" s="1"/>
      <c r="B20" s="2"/>
      <c r="C20" s="2"/>
      <c r="D20" s="2"/>
      <c r="E20" s="2"/>
      <c r="F20" s="2"/>
      <c r="G20" s="2"/>
    </row>
    <row r="21">
      <c r="A21" s="1"/>
      <c r="B21" s="2"/>
      <c r="C21" s="2"/>
      <c r="D21" s="2"/>
      <c r="E21" s="2"/>
      <c r="F21" s="2"/>
      <c r="G21" s="2"/>
    </row>
    <row r="22">
      <c r="A22" s="1"/>
      <c r="B22" s="2"/>
      <c r="C22" s="2"/>
      <c r="D22" s="2"/>
      <c r="E22" s="2"/>
      <c r="F22" s="2"/>
      <c r="G22" s="2"/>
    </row>
    <row r="23">
      <c r="A23" s="1"/>
      <c r="B23" s="2"/>
      <c r="C23" s="2"/>
      <c r="D23" s="2"/>
      <c r="E23" s="2"/>
      <c r="F23" s="2"/>
      <c r="G23" s="2"/>
    </row>
    <row r="24">
      <c r="A24" s="1"/>
      <c r="B24" s="2"/>
      <c r="C24" s="2"/>
      <c r="D24" s="2"/>
      <c r="E24" s="2"/>
      <c r="F24" s="2"/>
      <c r="G24" s="2"/>
    </row>
    <row r="25">
      <c r="A25" s="1"/>
      <c r="B25" s="2"/>
      <c r="C25" s="2"/>
      <c r="D25" s="2"/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1"/>
      <c r="B27" s="2"/>
      <c r="C27" s="2"/>
      <c r="D27" s="2"/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:C200">
      <formula1>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6" customWidth="1"/>
    <col min="5" max="5" width="16" customWidth="1"/>
    <col min="6" max="6" width="16" customWidth="1"/>
    <col min="7" max="7" width="12" customWidth="1"/>
    <col min="8" max="8" width="12" customWidth="1"/>
    <col min="9" max="9" width="22" customWidth="1"/>
  </cols>
  <sheetData>
    <row r="1" spans="1:9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9</v>
      </c>
      <c r="I1" s="1" t="s">
        <v>11</v>
      </c>
    </row>
    <row r="2">
      <c r="A2" s="1" t="s">
        <v>421</v>
      </c>
      <c r="B2" s="2" t="s">
        <v>422</v>
      </c>
      <c r="C2" s="2" t="s">
        <v>124</v>
      </c>
      <c r="D2" s="2" t="s">
        <v>423</v>
      </c>
      <c r="E2" s="2">
        <v>125000</v>
      </c>
      <c r="F2" s="1"/>
      <c r="G2" s="2" t="s">
        <v>82</v>
      </c>
      <c r="H2" s="2" t="s">
        <v>111</v>
      </c>
      <c r="I2" s="2" t="s">
        <v>424</v>
      </c>
    </row>
    <row r="3">
      <c r="A3" s="1" t="s">
        <v>425</v>
      </c>
      <c r="B3" s="2" t="s">
        <v>426</v>
      </c>
      <c r="C3" s="2" t="s">
        <v>124</v>
      </c>
      <c r="D3" s="2" t="s">
        <v>427</v>
      </c>
      <c r="E3" s="2">
        <v>82000</v>
      </c>
      <c r="F3" s="1"/>
      <c r="G3" s="2" t="s">
        <v>82</v>
      </c>
      <c r="H3" s="2" t="s">
        <v>111</v>
      </c>
      <c r="I3" s="2" t="s">
        <v>428</v>
      </c>
    </row>
    <row r="4">
      <c r="A4" s="1" t="s">
        <v>429</v>
      </c>
      <c r="B4" s="2" t="s">
        <v>430</v>
      </c>
      <c r="C4" s="2" t="s">
        <v>124</v>
      </c>
      <c r="D4" s="2" t="s">
        <v>431</v>
      </c>
      <c r="E4" s="2">
        <v>45000</v>
      </c>
      <c r="F4" s="1"/>
      <c r="G4" s="2" t="s">
        <v>82</v>
      </c>
      <c r="H4" s="2" t="s">
        <v>111</v>
      </c>
      <c r="I4" s="2" t="s">
        <v>432</v>
      </c>
    </row>
    <row r="5">
      <c r="A5" s="1" t="s">
        <v>433</v>
      </c>
      <c r="B5" s="2" t="s">
        <v>434</v>
      </c>
      <c r="C5" s="2" t="s">
        <v>91</v>
      </c>
      <c r="D5" s="2" t="s">
        <v>435</v>
      </c>
      <c r="E5" s="2">
        <v>0</v>
      </c>
      <c r="F5" s="1"/>
      <c r="G5" s="2" t="s">
        <v>82</v>
      </c>
      <c r="H5" s="2" t="s">
        <v>111</v>
      </c>
      <c r="I5" s="2" t="s">
        <v>436</v>
      </c>
    </row>
    <row r="6">
      <c r="A6" s="1" t="s">
        <v>437</v>
      </c>
      <c r="B6" s="2" t="s">
        <v>438</v>
      </c>
      <c r="C6" s="2" t="s">
        <v>92</v>
      </c>
      <c r="D6" s="2" t="s">
        <v>88</v>
      </c>
      <c r="E6" s="2">
        <v>8500</v>
      </c>
      <c r="F6" s="1"/>
      <c r="G6" s="2" t="s">
        <v>82</v>
      </c>
      <c r="H6" s="2" t="s">
        <v>111</v>
      </c>
      <c r="I6" s="2" t="s">
        <v>439</v>
      </c>
    </row>
    <row r="7">
      <c r="A7" s="1" t="s">
        <v>440</v>
      </c>
      <c r="B7" s="2" t="s">
        <v>202</v>
      </c>
      <c r="C7" s="2" t="s">
        <v>88</v>
      </c>
      <c r="D7" s="2" t="s">
        <v>441</v>
      </c>
      <c r="E7" s="2">
        <v>20000</v>
      </c>
      <c r="F7" s="1"/>
      <c r="G7" s="2" t="s">
        <v>82</v>
      </c>
      <c r="H7" s="2" t="s">
        <v>111</v>
      </c>
      <c r="I7" s="2" t="s">
        <v>442</v>
      </c>
    </row>
    <row r="8">
      <c r="A8" s="1"/>
      <c r="B8" s="2"/>
      <c r="C8" s="2"/>
      <c r="D8" s="2"/>
      <c r="E8" s="2"/>
      <c r="F8" s="1"/>
      <c r="G8" s="2"/>
      <c r="H8" s="2"/>
      <c r="I8" s="2"/>
    </row>
    <row r="9">
      <c r="A9" s="1"/>
      <c r="B9" s="2"/>
      <c r="C9" s="2"/>
      <c r="D9" s="2"/>
      <c r="E9" s="2"/>
      <c r="F9" s="1"/>
      <c r="G9" s="2"/>
      <c r="H9" s="2"/>
      <c r="I9" s="2"/>
    </row>
    <row r="10">
      <c r="A10" s="1"/>
      <c r="B10" s="2"/>
      <c r="C10" s="2"/>
      <c r="D10" s="2"/>
      <c r="E10" s="2"/>
      <c r="F10" s="1"/>
      <c r="G10" s="2"/>
      <c r="H10" s="2"/>
      <c r="I10" s="2"/>
    </row>
    <row r="11">
      <c r="A11" s="1"/>
      <c r="B11" s="2"/>
      <c r="C11" s="2"/>
      <c r="D11" s="2"/>
      <c r="E11" s="2"/>
      <c r="F11" s="1"/>
      <c r="G11" s="2"/>
      <c r="H11" s="2"/>
      <c r="I11" s="2"/>
    </row>
    <row r="12">
      <c r="A12" s="1"/>
      <c r="B12" s="2"/>
      <c r="C12" s="2"/>
      <c r="D12" s="2"/>
      <c r="E12" s="2"/>
      <c r="F12" s="1"/>
      <c r="G12" s="2"/>
      <c r="H12" s="2"/>
      <c r="I12" s="2"/>
    </row>
    <row r="13">
      <c r="A13" s="1"/>
      <c r="B13" s="2"/>
      <c r="C13" s="2"/>
      <c r="D13" s="2"/>
      <c r="E13" s="2"/>
      <c r="F13" s="1"/>
      <c r="G13" s="2"/>
      <c r="H13" s="2"/>
      <c r="I13" s="2"/>
    </row>
    <row r="14">
      <c r="A14" s="1"/>
      <c r="B14" s="2"/>
      <c r="C14" s="2"/>
      <c r="D14" s="2"/>
      <c r="E14" s="2"/>
      <c r="F14" s="1"/>
      <c r="G14" s="2"/>
      <c r="H14" s="2"/>
      <c r="I14" s="2"/>
    </row>
    <row r="15">
      <c r="A15" s="1"/>
      <c r="B15" s="2"/>
      <c r="C15" s="2"/>
      <c r="D15" s="2"/>
      <c r="E15" s="2"/>
      <c r="F15" s="1"/>
      <c r="G15" s="2"/>
      <c r="H15" s="2"/>
      <c r="I15" s="2"/>
    </row>
    <row r="16">
      <c r="A16" s="1"/>
      <c r="B16" s="2"/>
      <c r="C16" s="2"/>
      <c r="D16" s="2"/>
      <c r="E16" s="2"/>
      <c r="F16" s="1"/>
      <c r="G16" s="2"/>
      <c r="H16" s="2"/>
      <c r="I16" s="2"/>
    </row>
    <row r="17">
      <c r="A17" s="1"/>
      <c r="B17" s="2"/>
      <c r="C17" s="2"/>
      <c r="D17" s="2"/>
      <c r="E17" s="2"/>
      <c r="F17" s="1"/>
      <c r="G17" s="2"/>
      <c r="H17" s="2"/>
      <c r="I17" s="2"/>
    </row>
    <row r="18">
      <c r="A18" s="1"/>
      <c r="B18" s="2"/>
      <c r="C18" s="2"/>
      <c r="D18" s="2"/>
      <c r="E18" s="2"/>
      <c r="F18" s="1"/>
      <c r="G18" s="2"/>
      <c r="H18" s="2"/>
      <c r="I18" s="2"/>
    </row>
    <row r="19">
      <c r="A19" s="1"/>
      <c r="B19" s="2"/>
      <c r="C19" s="2"/>
      <c r="D19" s="2"/>
      <c r="E19" s="2"/>
      <c r="F19" s="1"/>
      <c r="G19" s="2"/>
      <c r="H19" s="2"/>
      <c r="I19" s="2"/>
    </row>
    <row r="20">
      <c r="A20" s="1"/>
      <c r="B20" s="2"/>
      <c r="C20" s="2"/>
      <c r="D20" s="2"/>
      <c r="E20" s="2"/>
      <c r="F20" s="1"/>
      <c r="G20" s="2"/>
      <c r="H20" s="2"/>
      <c r="I20" s="2"/>
    </row>
    <row r="21">
      <c r="A21" s="1"/>
      <c r="B21" s="2"/>
      <c r="C21" s="2"/>
      <c r="D21" s="2"/>
      <c r="E21" s="2"/>
      <c r="F21" s="1"/>
      <c r="G21" s="2"/>
      <c r="H21" s="2"/>
      <c r="I21" s="2"/>
    </row>
    <row r="22">
      <c r="A22" s="1"/>
      <c r="B22" s="2"/>
      <c r="C22" s="2"/>
      <c r="D22" s="2"/>
      <c r="E22" s="2"/>
      <c r="F22" s="1"/>
      <c r="G22" s="2"/>
      <c r="H22" s="2"/>
      <c r="I22" s="2"/>
    </row>
    <row r="23">
      <c r="A23" s="1"/>
      <c r="B23" s="2"/>
      <c r="C23" s="2"/>
      <c r="D23" s="2"/>
      <c r="E23" s="2"/>
      <c r="F23" s="1"/>
      <c r="G23" s="2"/>
      <c r="H23" s="2"/>
      <c r="I23" s="2"/>
    </row>
    <row r="24">
      <c r="A24" s="1"/>
      <c r="B24" s="2"/>
      <c r="C24" s="2"/>
      <c r="D24" s="2"/>
      <c r="E24" s="2"/>
      <c r="F24" s="1"/>
      <c r="G24" s="2"/>
      <c r="H24" s="2"/>
      <c r="I24" s="2"/>
    </row>
    <row r="25">
      <c r="A25" s="1"/>
      <c r="B25" s="2"/>
      <c r="C25" s="2"/>
      <c r="D25" s="2"/>
      <c r="E25" s="2"/>
      <c r="F25" s="1"/>
      <c r="G25" s="2"/>
      <c r="H25" s="2"/>
      <c r="I25" s="2"/>
    </row>
    <row r="26">
      <c r="A26" s="1"/>
      <c r="B26" s="2"/>
      <c r="C26" s="2"/>
      <c r="D26" s="2"/>
      <c r="E26" s="2"/>
      <c r="F26" s="1"/>
      <c r="G26" s="2"/>
      <c r="H26" s="2"/>
      <c r="I26" s="2"/>
    </row>
    <row r="27">
      <c r="A27" s="1"/>
      <c r="B27" s="2"/>
      <c r="C27" s="2"/>
      <c r="D27" s="2"/>
      <c r="E27" s="2"/>
      <c r="F27" s="1"/>
      <c r="G27" s="2"/>
      <c r="H27" s="2"/>
      <c r="I27" s="2"/>
    </row>
    <row r="28">
      <c r="A28" s="1"/>
      <c r="B28" s="2"/>
      <c r="C28" s="2"/>
      <c r="D28" s="2"/>
      <c r="E28" s="2"/>
      <c r="F28" s="1"/>
      <c r="G28" s="2"/>
      <c r="H28" s="2"/>
      <c r="I28" s="2"/>
    </row>
    <row r="29">
      <c r="A29" s="1"/>
      <c r="B29" s="2"/>
      <c r="C29" s="2"/>
      <c r="D29" s="2"/>
      <c r="E29" s="2"/>
      <c r="F29" s="1"/>
      <c r="G29" s="2"/>
      <c r="H29" s="2"/>
      <c r="I29" s="2"/>
    </row>
    <row r="30">
      <c r="A30" s="1"/>
      <c r="B30" s="2"/>
      <c r="C30" s="2"/>
      <c r="D30" s="2"/>
      <c r="E30" s="2"/>
      <c r="F30" s="1"/>
      <c r="G30" s="2"/>
      <c r="H30" s="2"/>
      <c r="I30" s="2"/>
    </row>
    <row r="31">
      <c r="A31" s="1"/>
      <c r="B31" s="2"/>
      <c r="C31" s="2"/>
      <c r="D31" s="2"/>
      <c r="E31" s="2"/>
      <c r="F31" s="1"/>
      <c r="G31" s="2"/>
      <c r="H31" s="2"/>
      <c r="I31" s="2"/>
    </row>
    <row r="32">
      <c r="A32" s="1"/>
      <c r="B32" s="2"/>
      <c r="C32" s="2"/>
      <c r="D32" s="2"/>
      <c r="E32" s="2"/>
      <c r="F32" s="1"/>
      <c r="G32" s="2"/>
      <c r="H32" s="2"/>
      <c r="I32" s="2"/>
    </row>
    <row r="33">
      <c r="A33" s="1"/>
      <c r="B33" s="2"/>
      <c r="C33" s="2"/>
      <c r="D33" s="2"/>
      <c r="E33" s="2"/>
      <c r="F33" s="1"/>
      <c r="G33" s="2"/>
      <c r="H33" s="2"/>
      <c r="I33" s="2"/>
    </row>
    <row r="34">
      <c r="A34" s="1"/>
      <c r="B34" s="2"/>
      <c r="C34" s="2"/>
      <c r="D34" s="2"/>
      <c r="E34" s="2"/>
      <c r="F34" s="1"/>
      <c r="G34" s="2"/>
      <c r="H34" s="2"/>
      <c r="I34" s="2"/>
    </row>
    <row r="35">
      <c r="A35" s="1"/>
      <c r="B35" s="2"/>
      <c r="C35" s="2"/>
      <c r="D35" s="2"/>
      <c r="E35" s="2"/>
      <c r="F35" s="1"/>
      <c r="G35" s="2"/>
      <c r="H35" s="2"/>
      <c r="I35" s="2"/>
    </row>
    <row r="36">
      <c r="A36" s="1"/>
      <c r="B36" s="2"/>
      <c r="C36" s="2"/>
      <c r="D36" s="2"/>
      <c r="E36" s="2"/>
      <c r="F36" s="1"/>
      <c r="G36" s="2"/>
      <c r="H36" s="2"/>
      <c r="I36" s="2"/>
    </row>
    <row r="37">
      <c r="A37" s="1"/>
      <c r="B37" s="2"/>
      <c r="C37" s="2"/>
      <c r="D37" s="2"/>
      <c r="E37" s="2"/>
      <c r="F37" s="1"/>
      <c r="G37" s="2"/>
      <c r="H37" s="2"/>
      <c r="I37" s="2"/>
    </row>
    <row r="38">
      <c r="A38" s="1"/>
      <c r="B38" s="2"/>
      <c r="C38" s="2"/>
      <c r="D38" s="2"/>
      <c r="E38" s="2"/>
      <c r="F38" s="1"/>
      <c r="G38" s="2"/>
      <c r="H38" s="2"/>
      <c r="I38" s="2"/>
    </row>
    <row r="39">
      <c r="A39" s="1"/>
      <c r="B39" s="2"/>
      <c r="C39" s="2"/>
      <c r="D39" s="2"/>
      <c r="E39" s="2"/>
      <c r="F39" s="1"/>
      <c r="G39" s="2"/>
      <c r="H39" s="2"/>
      <c r="I39" s="2"/>
    </row>
    <row r="40">
      <c r="A40" s="1"/>
      <c r="B40" s="2"/>
      <c r="C40" s="2"/>
      <c r="D40" s="2"/>
      <c r="E40" s="2"/>
      <c r="F40" s="1"/>
      <c r="G40" s="2"/>
      <c r="H40" s="2"/>
      <c r="I40" s="2"/>
    </row>
    <row r="41">
      <c r="A41" s="1"/>
      <c r="B41" s="2"/>
      <c r="C41" s="2"/>
      <c r="D41" s="2"/>
      <c r="E41" s="2"/>
      <c r="F41" s="1"/>
      <c r="G41" s="2"/>
      <c r="H41" s="2"/>
      <c r="I41" s="2"/>
    </row>
    <row r="42">
      <c r="A42" s="1"/>
      <c r="B42" s="2"/>
      <c r="C42" s="2"/>
      <c r="D42" s="2"/>
      <c r="E42" s="2"/>
      <c r="F42" s="1"/>
      <c r="G42" s="2"/>
      <c r="H42" s="2"/>
      <c r="I42" s="2"/>
    </row>
    <row r="43">
      <c r="A43" s="1"/>
      <c r="B43" s="2"/>
      <c r="C43" s="2"/>
      <c r="D43" s="2"/>
      <c r="E43" s="2"/>
      <c r="F43" s="1"/>
      <c r="G43" s="2"/>
      <c r="H43" s="2"/>
      <c r="I43" s="2"/>
    </row>
    <row r="44">
      <c r="A44" s="1"/>
      <c r="B44" s="2"/>
      <c r="C44" s="2"/>
      <c r="D44" s="2"/>
      <c r="E44" s="2"/>
      <c r="F44" s="1"/>
      <c r="G44" s="2"/>
      <c r="H44" s="2"/>
      <c r="I44" s="2"/>
    </row>
    <row r="45">
      <c r="A45" s="1"/>
      <c r="B45" s="2"/>
      <c r="C45" s="2"/>
      <c r="D45" s="2"/>
      <c r="E45" s="2"/>
      <c r="F45" s="1"/>
      <c r="G45" s="2"/>
      <c r="H45" s="2"/>
      <c r="I45" s="2"/>
    </row>
    <row r="46">
      <c r="A46" s="1"/>
      <c r="B46" s="2"/>
      <c r="C46" s="2"/>
      <c r="D46" s="2"/>
      <c r="E46" s="2"/>
      <c r="F46" s="1"/>
      <c r="G46" s="2"/>
      <c r="H46" s="2"/>
      <c r="I46" s="2"/>
    </row>
    <row r="47">
      <c r="A47" s="1"/>
      <c r="B47" s="2"/>
      <c r="C47" s="2"/>
      <c r="D47" s="2"/>
      <c r="E47" s="2"/>
      <c r="F47" s="1"/>
      <c r="G47" s="2"/>
      <c r="H47" s="2"/>
      <c r="I47" s="2"/>
    </row>
    <row r="48">
      <c r="A48" s="1"/>
      <c r="B48" s="2"/>
      <c r="C48" s="2"/>
      <c r="D48" s="2"/>
      <c r="E48" s="2"/>
      <c r="F48" s="1"/>
      <c r="G48" s="2"/>
      <c r="H48" s="2"/>
      <c r="I48" s="2"/>
    </row>
    <row r="49">
      <c r="A49" s="1"/>
      <c r="B49" s="2"/>
      <c r="C49" s="2"/>
      <c r="D49" s="2"/>
      <c r="E49" s="2"/>
      <c r="F49" s="1"/>
      <c r="G49" s="2"/>
      <c r="H49" s="2"/>
      <c r="I49" s="2"/>
    </row>
    <row r="50">
      <c r="A50" s="1"/>
      <c r="B50" s="2"/>
      <c r="C50" s="2"/>
      <c r="D50" s="2"/>
      <c r="E50" s="2"/>
      <c r="F50" s="1"/>
      <c r="G50" s="2"/>
      <c r="H50" s="2"/>
      <c r="I50" s="2"/>
    </row>
    <row r="51">
      <c r="A51" s="1"/>
      <c r="B51" s="2"/>
      <c r="C51" s="2"/>
      <c r="D51" s="2"/>
      <c r="E51" s="2"/>
      <c r="F51" s="1"/>
      <c r="G51" s="2"/>
      <c r="H51" s="2"/>
      <c r="I51" s="2"/>
    </row>
    <row r="52">
      <c r="A52" s="1"/>
      <c r="B52" s="2"/>
      <c r="C52" s="2"/>
      <c r="D52" s="2"/>
      <c r="E52" s="2"/>
      <c r="F52" s="1"/>
      <c r="G52" s="2"/>
      <c r="H52" s="2"/>
      <c r="I52" s="2"/>
    </row>
    <row r="53">
      <c r="A53" s="1"/>
      <c r="B53" s="2"/>
      <c r="C53" s="2"/>
      <c r="D53" s="2"/>
      <c r="E53" s="2"/>
      <c r="F53" s="1"/>
      <c r="G53" s="2"/>
      <c r="H53" s="2"/>
      <c r="I53" s="2"/>
    </row>
    <row r="54">
      <c r="A54" s="1"/>
      <c r="B54" s="2"/>
      <c r="C54" s="2"/>
      <c r="D54" s="2"/>
      <c r="E54" s="2"/>
      <c r="F54" s="1"/>
      <c r="G54" s="2"/>
      <c r="H54" s="2"/>
      <c r="I54" s="2"/>
    </row>
    <row r="55">
      <c r="A55" s="1"/>
      <c r="B55" s="2"/>
      <c r="C55" s="2"/>
      <c r="D55" s="2"/>
      <c r="E55" s="2"/>
      <c r="F55" s="1"/>
      <c r="G55" s="2"/>
      <c r="H55" s="2"/>
      <c r="I55" s="2"/>
    </row>
    <row r="56">
      <c r="A56" s="1"/>
      <c r="B56" s="2"/>
      <c r="C56" s="2"/>
      <c r="D56" s="2"/>
      <c r="E56" s="2"/>
      <c r="F56" s="1"/>
      <c r="G56" s="2"/>
      <c r="H56" s="2"/>
      <c r="I56" s="2"/>
    </row>
    <row r="57">
      <c r="A57" s="1"/>
      <c r="B57" s="2"/>
      <c r="C57" s="2"/>
      <c r="D57" s="2"/>
      <c r="E57" s="2"/>
      <c r="F57" s="1"/>
      <c r="G57" s="2"/>
      <c r="H57" s="2"/>
      <c r="I57" s="2"/>
    </row>
    <row r="58">
      <c r="A58" s="1"/>
      <c r="B58" s="2"/>
      <c r="C58" s="2"/>
      <c r="D58" s="2"/>
      <c r="E58" s="2"/>
      <c r="F58" s="1"/>
      <c r="G58" s="2"/>
      <c r="H58" s="2"/>
      <c r="I58" s="2"/>
    </row>
    <row r="59">
      <c r="A59" s="1"/>
      <c r="B59" s="2"/>
      <c r="C59" s="2"/>
      <c r="D59" s="2"/>
      <c r="E59" s="2"/>
      <c r="F59" s="1"/>
      <c r="G59" s="2"/>
      <c r="H59" s="2"/>
      <c r="I59" s="2"/>
    </row>
    <row r="60">
      <c r="A60" s="1"/>
      <c r="B60" s="2"/>
      <c r="C60" s="2"/>
      <c r="D60" s="2"/>
      <c r="E60" s="2"/>
      <c r="F60" s="1"/>
      <c r="G60" s="2"/>
      <c r="H60" s="2"/>
      <c r="I60" s="2"/>
    </row>
    <row r="61">
      <c r="A61" s="1"/>
      <c r="B61" s="2"/>
      <c r="C61" s="2"/>
      <c r="D61" s="2"/>
      <c r="E61" s="2"/>
      <c r="F61" s="1"/>
      <c r="G61" s="2"/>
      <c r="H61" s="2"/>
      <c r="I61" s="2"/>
    </row>
    <row r="62">
      <c r="A62" s="1"/>
      <c r="B62" s="2"/>
      <c r="C62" s="2"/>
      <c r="D62" s="2"/>
      <c r="E62" s="2"/>
      <c r="F62" s="1"/>
      <c r="G62" s="2"/>
      <c r="H62" s="2"/>
      <c r="I62" s="2"/>
    </row>
    <row r="63">
      <c r="A63" s="1"/>
      <c r="B63" s="2"/>
      <c r="C63" s="2"/>
      <c r="D63" s="2"/>
      <c r="E63" s="2"/>
      <c r="F63" s="1"/>
      <c r="G63" s="2"/>
      <c r="H63" s="2"/>
      <c r="I63" s="2"/>
    </row>
    <row r="64">
      <c r="A64" s="1"/>
      <c r="B64" s="2"/>
      <c r="C64" s="2"/>
      <c r="D64" s="2"/>
      <c r="E64" s="2"/>
      <c r="F64" s="1"/>
      <c r="G64" s="2"/>
      <c r="H64" s="2"/>
      <c r="I64" s="2"/>
    </row>
    <row r="65">
      <c r="A65" s="1"/>
      <c r="B65" s="2"/>
      <c r="C65" s="2"/>
      <c r="D65" s="2"/>
      <c r="E65" s="2"/>
      <c r="F65" s="1"/>
      <c r="G65" s="2"/>
      <c r="H65" s="2"/>
      <c r="I65" s="2"/>
    </row>
    <row r="66">
      <c r="A66" s="1"/>
      <c r="B66" s="2"/>
      <c r="C66" s="2"/>
      <c r="D66" s="2"/>
      <c r="E66" s="2"/>
      <c r="F66" s="1"/>
      <c r="G66" s="2"/>
      <c r="H66" s="2"/>
      <c r="I66" s="2"/>
    </row>
    <row r="67">
      <c r="A67" s="1"/>
      <c r="B67" s="2"/>
      <c r="C67" s="2"/>
      <c r="D67" s="2"/>
      <c r="E67" s="2"/>
      <c r="F67" s="1"/>
      <c r="G67" s="2"/>
      <c r="H67" s="2"/>
      <c r="I67" s="2"/>
    </row>
    <row r="68">
      <c r="A68" s="1"/>
      <c r="B68" s="2"/>
      <c r="C68" s="2"/>
      <c r="D68" s="2"/>
      <c r="E68" s="2"/>
      <c r="F68" s="1"/>
      <c r="G68" s="2"/>
      <c r="H68" s="2"/>
      <c r="I68" s="2"/>
    </row>
    <row r="69">
      <c r="A69" s="1"/>
      <c r="B69" s="2"/>
      <c r="C69" s="2"/>
      <c r="D69" s="2"/>
      <c r="E69" s="2"/>
      <c r="F69" s="1"/>
      <c r="G69" s="2"/>
      <c r="H69" s="2"/>
      <c r="I69" s="2"/>
    </row>
    <row r="70">
      <c r="A70" s="1"/>
      <c r="B70" s="2"/>
      <c r="C70" s="2"/>
      <c r="D70" s="2"/>
      <c r="E70" s="2"/>
      <c r="F70" s="1"/>
      <c r="G70" s="2"/>
      <c r="H70" s="2"/>
      <c r="I70" s="2"/>
    </row>
    <row r="71">
      <c r="A71" s="1"/>
      <c r="B71" s="2"/>
      <c r="C71" s="2"/>
      <c r="D71" s="2"/>
      <c r="E71" s="2"/>
      <c r="F71" s="1"/>
      <c r="G71" s="2"/>
      <c r="H71" s="2"/>
      <c r="I71" s="2"/>
    </row>
    <row r="72">
      <c r="A72" s="1"/>
      <c r="B72" s="2"/>
      <c r="C72" s="2"/>
      <c r="D72" s="2"/>
      <c r="E72" s="2"/>
      <c r="F72" s="1"/>
      <c r="G72" s="2"/>
      <c r="H72" s="2"/>
      <c r="I72" s="2"/>
    </row>
    <row r="73">
      <c r="A73" s="1"/>
      <c r="B73" s="2"/>
      <c r="C73" s="2"/>
      <c r="D73" s="2"/>
      <c r="E73" s="2"/>
      <c r="F73" s="1"/>
      <c r="G73" s="2"/>
      <c r="H73" s="2"/>
      <c r="I73" s="2"/>
    </row>
    <row r="74">
      <c r="A74" s="1"/>
      <c r="B74" s="2"/>
      <c r="C74" s="2"/>
      <c r="D74" s="2"/>
      <c r="E74" s="2"/>
      <c r="F74" s="1"/>
      <c r="G74" s="2"/>
      <c r="H74" s="2"/>
      <c r="I74" s="2"/>
    </row>
    <row r="75">
      <c r="A75" s="1"/>
      <c r="B75" s="2"/>
      <c r="C75" s="2"/>
      <c r="D75" s="2"/>
      <c r="E75" s="2"/>
      <c r="F75" s="1"/>
      <c r="G75" s="2"/>
      <c r="H75" s="2"/>
      <c r="I75" s="2"/>
    </row>
    <row r="76">
      <c r="A76" s="1"/>
      <c r="B76" s="2"/>
      <c r="C76" s="2"/>
      <c r="D76" s="2"/>
      <c r="E76" s="2"/>
      <c r="F76" s="1"/>
      <c r="G76" s="2"/>
      <c r="H76" s="2"/>
      <c r="I76" s="2"/>
    </row>
    <row r="77">
      <c r="A77" s="1"/>
      <c r="B77" s="2"/>
      <c r="C77" s="2"/>
      <c r="D77" s="2"/>
      <c r="E77" s="2"/>
      <c r="F77" s="1"/>
      <c r="G77" s="2"/>
      <c r="H77" s="2"/>
      <c r="I77" s="2"/>
    </row>
    <row r="78">
      <c r="A78" s="1"/>
      <c r="B78" s="2"/>
      <c r="C78" s="2"/>
      <c r="D78" s="2"/>
      <c r="E78" s="2"/>
      <c r="F78" s="1"/>
      <c r="G78" s="2"/>
      <c r="H78" s="2"/>
      <c r="I78" s="2"/>
    </row>
    <row r="79">
      <c r="A79" s="1"/>
      <c r="B79" s="2"/>
      <c r="C79" s="2"/>
      <c r="D79" s="2"/>
      <c r="E79" s="2"/>
      <c r="F79" s="1"/>
      <c r="G79" s="2"/>
      <c r="H79" s="2"/>
      <c r="I79" s="2"/>
    </row>
    <row r="80">
      <c r="A80" s="1"/>
      <c r="B80" s="2"/>
      <c r="C80" s="2"/>
      <c r="D80" s="2"/>
      <c r="E80" s="2"/>
      <c r="F80" s="1"/>
      <c r="G80" s="2"/>
      <c r="H80" s="2"/>
      <c r="I80" s="2"/>
    </row>
    <row r="81">
      <c r="A81" s="1"/>
      <c r="B81" s="2"/>
      <c r="C81" s="2"/>
      <c r="D81" s="2"/>
      <c r="E81" s="2"/>
      <c r="F81" s="1"/>
      <c r="G81" s="2"/>
      <c r="H81" s="2"/>
      <c r="I81" s="2"/>
    </row>
    <row r="82">
      <c r="A82" s="1"/>
      <c r="B82" s="2"/>
      <c r="C82" s="2"/>
      <c r="D82" s="2"/>
      <c r="E82" s="2"/>
      <c r="F82" s="1"/>
      <c r="G82" s="2"/>
      <c r="H82" s="2"/>
      <c r="I82" s="2"/>
    </row>
    <row r="83">
      <c r="A83" s="1"/>
      <c r="B83" s="2"/>
      <c r="C83" s="2"/>
      <c r="D83" s="2"/>
      <c r="E83" s="2"/>
      <c r="F83" s="1"/>
      <c r="G83" s="2"/>
      <c r="H83" s="2"/>
      <c r="I83" s="2"/>
    </row>
    <row r="84">
      <c r="A84" s="1"/>
      <c r="B84" s="2"/>
      <c r="C84" s="2"/>
      <c r="D84" s="2"/>
      <c r="E84" s="2"/>
      <c r="F84" s="1"/>
      <c r="G84" s="2"/>
      <c r="H84" s="2"/>
      <c r="I84" s="2"/>
    </row>
    <row r="85">
      <c r="A85" s="1"/>
      <c r="B85" s="2"/>
      <c r="C85" s="2"/>
      <c r="D85" s="2"/>
      <c r="E85" s="2"/>
      <c r="F85" s="1"/>
      <c r="G85" s="2"/>
      <c r="H85" s="2"/>
      <c r="I85" s="2"/>
    </row>
    <row r="86">
      <c r="A86" s="1"/>
      <c r="B86" s="2"/>
      <c r="C86" s="2"/>
      <c r="D86" s="2"/>
      <c r="E86" s="2"/>
      <c r="F86" s="1"/>
      <c r="G86" s="2"/>
      <c r="H86" s="2"/>
      <c r="I86" s="2"/>
    </row>
    <row r="87">
      <c r="A87" s="1"/>
      <c r="B87" s="2"/>
      <c r="C87" s="2"/>
      <c r="D87" s="2"/>
      <c r="E87" s="2"/>
      <c r="F87" s="1"/>
      <c r="G87" s="2"/>
      <c r="H87" s="2"/>
      <c r="I87" s="2"/>
    </row>
    <row r="88">
      <c r="A88" s="1"/>
      <c r="B88" s="2"/>
      <c r="C88" s="2"/>
      <c r="D88" s="2"/>
      <c r="E88" s="2"/>
      <c r="F88" s="1"/>
      <c r="G88" s="2"/>
      <c r="H88" s="2"/>
      <c r="I88" s="2"/>
    </row>
    <row r="89">
      <c r="A89" s="1"/>
      <c r="B89" s="2"/>
      <c r="C89" s="2"/>
      <c r="D89" s="2"/>
      <c r="E89" s="2"/>
      <c r="F89" s="1"/>
      <c r="G89" s="2"/>
      <c r="H89" s="2"/>
      <c r="I89" s="2"/>
    </row>
    <row r="90">
      <c r="A90" s="1"/>
      <c r="B90" s="2"/>
      <c r="C90" s="2"/>
      <c r="D90" s="2"/>
      <c r="E90" s="2"/>
      <c r="F90" s="1"/>
      <c r="G90" s="2"/>
      <c r="H90" s="2"/>
      <c r="I90" s="2"/>
    </row>
    <row r="91">
      <c r="A91" s="1"/>
      <c r="B91" s="2"/>
      <c r="C91" s="2"/>
      <c r="D91" s="2"/>
      <c r="E91" s="2"/>
      <c r="F91" s="1"/>
      <c r="G91" s="2"/>
      <c r="H91" s="2"/>
      <c r="I91" s="2"/>
    </row>
    <row r="92">
      <c r="A92" s="1"/>
      <c r="B92" s="2"/>
      <c r="C92" s="2"/>
      <c r="D92" s="2"/>
      <c r="E92" s="2"/>
      <c r="F92" s="1"/>
      <c r="G92" s="2"/>
      <c r="H92" s="2"/>
      <c r="I92" s="2"/>
    </row>
    <row r="93">
      <c r="A93" s="1"/>
      <c r="B93" s="2"/>
      <c r="C93" s="2"/>
      <c r="D93" s="2"/>
      <c r="E93" s="2"/>
      <c r="F93" s="1"/>
      <c r="G93" s="2"/>
      <c r="H93" s="2"/>
      <c r="I93" s="2"/>
    </row>
    <row r="94">
      <c r="A94" s="1"/>
      <c r="B94" s="2"/>
      <c r="C94" s="2"/>
      <c r="D94" s="2"/>
      <c r="E94" s="2"/>
      <c r="F94" s="1"/>
      <c r="G94" s="2"/>
      <c r="H94" s="2"/>
      <c r="I94" s="2"/>
    </row>
    <row r="95">
      <c r="A95" s="1"/>
      <c r="B95" s="2"/>
      <c r="C95" s="2"/>
      <c r="D95" s="2"/>
      <c r="E95" s="2"/>
      <c r="F95" s="1"/>
      <c r="G95" s="2"/>
      <c r="H95" s="2"/>
      <c r="I95" s="2"/>
    </row>
    <row r="96">
      <c r="A96" s="1"/>
      <c r="B96" s="2"/>
      <c r="C96" s="2"/>
      <c r="D96" s="2"/>
      <c r="E96" s="2"/>
      <c r="F96" s="1"/>
      <c r="G96" s="2"/>
      <c r="H96" s="2"/>
      <c r="I96" s="2"/>
    </row>
    <row r="97">
      <c r="A97" s="1"/>
      <c r="B97" s="2"/>
      <c r="C97" s="2"/>
      <c r="D97" s="2"/>
      <c r="E97" s="2"/>
      <c r="F97" s="1"/>
      <c r="G97" s="2"/>
      <c r="H97" s="2"/>
      <c r="I97" s="2"/>
    </row>
    <row r="98">
      <c r="A98" s="1"/>
      <c r="B98" s="2"/>
      <c r="C98" s="2"/>
      <c r="D98" s="2"/>
      <c r="E98" s="2"/>
      <c r="F98" s="1"/>
      <c r="G98" s="2"/>
      <c r="H98" s="2"/>
      <c r="I98" s="2"/>
    </row>
    <row r="99">
      <c r="A99" s="1"/>
      <c r="B99" s="2"/>
      <c r="C99" s="2"/>
      <c r="D99" s="2"/>
      <c r="E99" s="2"/>
      <c r="F99" s="1"/>
      <c r="G99" s="2"/>
      <c r="H99" s="2"/>
      <c r="I99" s="2"/>
    </row>
    <row r="100">
      <c r="A100" s="1"/>
      <c r="B100" s="2"/>
      <c r="C100" s="2"/>
      <c r="D100" s="2"/>
      <c r="E100" s="2"/>
      <c r="F100" s="1"/>
      <c r="G100" s="2"/>
      <c r="H100" s="2"/>
      <c r="I100" s="2"/>
    </row>
    <row r="101">
      <c r="A101" s="1"/>
      <c r="B101" s="2"/>
      <c r="C101" s="2"/>
      <c r="D101" s="2"/>
      <c r="E101" s="2"/>
      <c r="F101" s="1"/>
      <c r="G101" s="2"/>
      <c r="H101" s="2"/>
      <c r="I101" s="2"/>
    </row>
    <row r="102">
      <c r="A102" s="1"/>
      <c r="B102" s="2"/>
      <c r="C102" s="2"/>
      <c r="D102" s="2"/>
      <c r="E102" s="2"/>
      <c r="F102" s="1"/>
      <c r="G102" s="2"/>
      <c r="H102" s="2"/>
      <c r="I102" s="2"/>
    </row>
    <row r="103">
      <c r="A103" s="1"/>
      <c r="B103" s="2"/>
      <c r="C103" s="2"/>
      <c r="D103" s="2"/>
      <c r="E103" s="2"/>
      <c r="F103" s="1"/>
      <c r="G103" s="2"/>
      <c r="H103" s="2"/>
      <c r="I103" s="2"/>
    </row>
    <row r="104">
      <c r="A104" s="1"/>
      <c r="B104" s="2"/>
      <c r="C104" s="2"/>
      <c r="D104" s="2"/>
      <c r="E104" s="2"/>
      <c r="F104" s="1"/>
      <c r="G104" s="2"/>
      <c r="H104" s="2"/>
      <c r="I104" s="2"/>
    </row>
    <row r="105">
      <c r="A105" s="1"/>
      <c r="B105" s="2"/>
      <c r="C105" s="2"/>
      <c r="D105" s="2"/>
      <c r="E105" s="2"/>
      <c r="F105" s="1"/>
      <c r="G105" s="2"/>
      <c r="H105" s="2"/>
      <c r="I105" s="2"/>
    </row>
    <row r="106">
      <c r="A106" s="1"/>
      <c r="B106" s="2"/>
      <c r="C106" s="2"/>
      <c r="D106" s="2"/>
      <c r="E106" s="2"/>
      <c r="F106" s="1"/>
      <c r="G106" s="2"/>
      <c r="H106" s="2"/>
      <c r="I106" s="2"/>
    </row>
    <row r="107">
      <c r="A107" s="1"/>
      <c r="B107" s="2"/>
      <c r="C107" s="2"/>
      <c r="D107" s="2"/>
      <c r="E107" s="2"/>
      <c r="F107" s="1"/>
      <c r="G107" s="2"/>
      <c r="H107" s="2"/>
      <c r="I107" s="2"/>
    </row>
    <row r="108">
      <c r="A108" s="1"/>
      <c r="B108" s="2"/>
      <c r="C108" s="2"/>
      <c r="D108" s="2"/>
      <c r="E108" s="2"/>
      <c r="F108" s="1"/>
      <c r="G108" s="2"/>
      <c r="H108" s="2"/>
      <c r="I108" s="2"/>
    </row>
    <row r="109">
      <c r="A109" s="1"/>
      <c r="B109" s="2"/>
      <c r="C109" s="2"/>
      <c r="D109" s="2"/>
      <c r="E109" s="2"/>
      <c r="F109" s="1"/>
      <c r="G109" s="2"/>
      <c r="H109" s="2"/>
      <c r="I109" s="2"/>
    </row>
    <row r="110">
      <c r="A110" s="1"/>
      <c r="B110" s="2"/>
      <c r="C110" s="2"/>
      <c r="D110" s="2"/>
      <c r="E110" s="2"/>
      <c r="F110" s="1"/>
      <c r="G110" s="2"/>
      <c r="H110" s="2"/>
      <c r="I110" s="2"/>
    </row>
    <row r="111">
      <c r="A111" s="1"/>
      <c r="B111" s="2"/>
      <c r="C111" s="2"/>
      <c r="D111" s="2"/>
      <c r="E111" s="2"/>
      <c r="F111" s="1"/>
      <c r="G111" s="2"/>
      <c r="H111" s="2"/>
      <c r="I111" s="2"/>
    </row>
    <row r="112">
      <c r="A112" s="1"/>
      <c r="B112" s="2"/>
      <c r="C112" s="2"/>
      <c r="D112" s="2"/>
      <c r="E112" s="2"/>
      <c r="F112" s="1"/>
      <c r="G112" s="2"/>
      <c r="H112" s="2"/>
      <c r="I112" s="2"/>
    </row>
    <row r="113">
      <c r="A113" s="1"/>
      <c r="B113" s="2"/>
      <c r="C113" s="2"/>
      <c r="D113" s="2"/>
      <c r="E113" s="2"/>
      <c r="F113" s="1"/>
      <c r="G113" s="2"/>
      <c r="H113" s="2"/>
      <c r="I113" s="2"/>
    </row>
    <row r="114">
      <c r="A114" s="1"/>
      <c r="B114" s="2"/>
      <c r="C114" s="2"/>
      <c r="D114" s="2"/>
      <c r="E114" s="2"/>
      <c r="F114" s="1"/>
      <c r="G114" s="2"/>
      <c r="H114" s="2"/>
      <c r="I114" s="2"/>
    </row>
    <row r="115">
      <c r="A115" s="1"/>
      <c r="B115" s="2"/>
      <c r="C115" s="2"/>
      <c r="D115" s="2"/>
      <c r="E115" s="2"/>
      <c r="F115" s="1"/>
      <c r="G115" s="2"/>
      <c r="H115" s="2"/>
      <c r="I115" s="2"/>
    </row>
    <row r="116">
      <c r="A116" s="1"/>
      <c r="B116" s="2"/>
      <c r="C116" s="2"/>
      <c r="D116" s="2"/>
      <c r="E116" s="2"/>
      <c r="F116" s="1"/>
      <c r="G116" s="2"/>
      <c r="H116" s="2"/>
      <c r="I116" s="2"/>
    </row>
    <row r="117">
      <c r="A117" s="1"/>
      <c r="B117" s="2"/>
      <c r="C117" s="2"/>
      <c r="D117" s="2"/>
      <c r="E117" s="2"/>
      <c r="F117" s="1"/>
      <c r="G117" s="2"/>
      <c r="H117" s="2"/>
      <c r="I117" s="2"/>
    </row>
    <row r="118">
      <c r="A118" s="1"/>
      <c r="B118" s="2"/>
      <c r="C118" s="2"/>
      <c r="D118" s="2"/>
      <c r="E118" s="2"/>
      <c r="F118" s="1"/>
      <c r="G118" s="2"/>
      <c r="H118" s="2"/>
      <c r="I118" s="2"/>
    </row>
    <row r="119">
      <c r="A119" s="1"/>
      <c r="B119" s="2"/>
      <c r="C119" s="2"/>
      <c r="D119" s="2"/>
      <c r="E119" s="2"/>
      <c r="F119" s="1"/>
      <c r="G119" s="2"/>
      <c r="H119" s="2"/>
      <c r="I119" s="2"/>
    </row>
    <row r="120">
      <c r="A120" s="1"/>
      <c r="B120" s="2"/>
      <c r="C120" s="2"/>
      <c r="D120" s="2"/>
      <c r="E120" s="2"/>
      <c r="F120" s="1"/>
      <c r="G120" s="2"/>
      <c r="H120" s="2"/>
      <c r="I120" s="2"/>
    </row>
    <row r="121">
      <c r="A121" s="1"/>
      <c r="B121" s="2"/>
      <c r="C121" s="2"/>
      <c r="D121" s="2"/>
      <c r="E121" s="2"/>
      <c r="F121" s="1"/>
      <c r="G121" s="2"/>
      <c r="H121" s="2"/>
      <c r="I121" s="2"/>
    </row>
    <row r="122">
      <c r="A122" s="1"/>
      <c r="B122" s="2"/>
      <c r="C122" s="2"/>
      <c r="D122" s="2"/>
      <c r="E122" s="2"/>
      <c r="F122" s="1"/>
      <c r="G122" s="2"/>
      <c r="H122" s="2"/>
      <c r="I122" s="2"/>
    </row>
    <row r="123">
      <c r="A123" s="1"/>
      <c r="B123" s="2"/>
      <c r="C123" s="2"/>
      <c r="D123" s="2"/>
      <c r="E123" s="2"/>
      <c r="F123" s="1"/>
      <c r="G123" s="2"/>
      <c r="H123" s="2"/>
      <c r="I123" s="2"/>
    </row>
    <row r="124">
      <c r="A124" s="1"/>
      <c r="B124" s="2"/>
      <c r="C124" s="2"/>
      <c r="D124" s="2"/>
      <c r="E124" s="2"/>
      <c r="F124" s="1"/>
      <c r="G124" s="2"/>
      <c r="H124" s="2"/>
      <c r="I124" s="2"/>
    </row>
    <row r="125">
      <c r="A125" s="1"/>
      <c r="B125" s="2"/>
      <c r="C125" s="2"/>
      <c r="D125" s="2"/>
      <c r="E125" s="2"/>
      <c r="F125" s="1"/>
      <c r="G125" s="2"/>
      <c r="H125" s="2"/>
      <c r="I125" s="2"/>
    </row>
    <row r="126">
      <c r="A126" s="1"/>
      <c r="B126" s="2"/>
      <c r="C126" s="2"/>
      <c r="D126" s="2"/>
      <c r="E126" s="2"/>
      <c r="F126" s="1"/>
      <c r="G126" s="2"/>
      <c r="H126" s="2"/>
      <c r="I126" s="2"/>
    </row>
    <row r="127">
      <c r="A127" s="1"/>
      <c r="B127" s="2"/>
      <c r="C127" s="2"/>
      <c r="D127" s="2"/>
      <c r="E127" s="2"/>
      <c r="F127" s="1"/>
      <c r="G127" s="2"/>
      <c r="H127" s="2"/>
      <c r="I127" s="2"/>
    </row>
    <row r="128">
      <c r="A128" s="1"/>
      <c r="B128" s="2"/>
      <c r="C128" s="2"/>
      <c r="D128" s="2"/>
      <c r="E128" s="2"/>
      <c r="F128" s="1"/>
      <c r="G128" s="2"/>
      <c r="H128" s="2"/>
      <c r="I128" s="2"/>
    </row>
    <row r="129">
      <c r="A129" s="1"/>
      <c r="B129" s="2"/>
      <c r="C129" s="2"/>
      <c r="D129" s="2"/>
      <c r="E129" s="2"/>
      <c r="F129" s="1"/>
      <c r="G129" s="2"/>
      <c r="H129" s="2"/>
      <c r="I129" s="2"/>
    </row>
    <row r="130">
      <c r="A130" s="1"/>
      <c r="B130" s="2"/>
      <c r="C130" s="2"/>
      <c r="D130" s="2"/>
      <c r="E130" s="2"/>
      <c r="F130" s="1"/>
      <c r="G130" s="2"/>
      <c r="H130" s="2"/>
      <c r="I130" s="2"/>
    </row>
    <row r="131">
      <c r="A131" s="1"/>
      <c r="B131" s="2"/>
      <c r="C131" s="2"/>
      <c r="D131" s="2"/>
      <c r="E131" s="2"/>
      <c r="F131" s="1"/>
      <c r="G131" s="2"/>
      <c r="H131" s="2"/>
      <c r="I131" s="2"/>
    </row>
    <row r="132">
      <c r="A132" s="1"/>
      <c r="B132" s="2"/>
      <c r="C132" s="2"/>
      <c r="D132" s="2"/>
      <c r="E132" s="2"/>
      <c r="F132" s="1"/>
      <c r="G132" s="2"/>
      <c r="H132" s="2"/>
      <c r="I132" s="2"/>
    </row>
    <row r="133">
      <c r="A133" s="1"/>
      <c r="B133" s="2"/>
      <c r="C133" s="2"/>
      <c r="D133" s="2"/>
      <c r="E133" s="2"/>
      <c r="F133" s="1"/>
      <c r="G133" s="2"/>
      <c r="H133" s="2"/>
      <c r="I133" s="2"/>
    </row>
    <row r="134">
      <c r="A134" s="1"/>
      <c r="B134" s="2"/>
      <c r="C134" s="2"/>
      <c r="D134" s="2"/>
      <c r="E134" s="2"/>
      <c r="F134" s="1"/>
      <c r="G134" s="2"/>
      <c r="H134" s="2"/>
      <c r="I134" s="2"/>
    </row>
    <row r="135">
      <c r="A135" s="1"/>
      <c r="B135" s="2"/>
      <c r="C135" s="2"/>
      <c r="D135" s="2"/>
      <c r="E135" s="2"/>
      <c r="F135" s="1"/>
      <c r="G135" s="2"/>
      <c r="H135" s="2"/>
      <c r="I135" s="2"/>
    </row>
    <row r="136">
      <c r="A136" s="1"/>
      <c r="B136" s="2"/>
      <c r="C136" s="2"/>
      <c r="D136" s="2"/>
      <c r="E136" s="2"/>
      <c r="F136" s="1"/>
      <c r="G136" s="2"/>
      <c r="H136" s="2"/>
      <c r="I136" s="2"/>
    </row>
    <row r="137">
      <c r="A137" s="1"/>
      <c r="B137" s="2"/>
      <c r="C137" s="2"/>
      <c r="D137" s="2"/>
      <c r="E137" s="2"/>
      <c r="F137" s="1"/>
      <c r="G137" s="2"/>
      <c r="H137" s="2"/>
      <c r="I137" s="2"/>
    </row>
    <row r="138">
      <c r="A138" s="1"/>
      <c r="B138" s="2"/>
      <c r="C138" s="2"/>
      <c r="D138" s="2"/>
      <c r="E138" s="2"/>
      <c r="F138" s="1"/>
      <c r="G138" s="2"/>
      <c r="H138" s="2"/>
      <c r="I138" s="2"/>
    </row>
    <row r="139">
      <c r="A139" s="1"/>
      <c r="B139" s="2"/>
      <c r="C139" s="2"/>
      <c r="D139" s="2"/>
      <c r="E139" s="2"/>
      <c r="F139" s="1"/>
      <c r="G139" s="2"/>
      <c r="H139" s="2"/>
      <c r="I139" s="2"/>
    </row>
    <row r="140">
      <c r="A140" s="1"/>
      <c r="B140" s="2"/>
      <c r="C140" s="2"/>
      <c r="D140" s="2"/>
      <c r="E140" s="2"/>
      <c r="F140" s="1"/>
      <c r="G140" s="2"/>
      <c r="H140" s="2"/>
      <c r="I140" s="2"/>
    </row>
    <row r="141">
      <c r="A141" s="1"/>
      <c r="B141" s="2"/>
      <c r="C141" s="2"/>
      <c r="D141" s="2"/>
      <c r="E141" s="2"/>
      <c r="F141" s="1"/>
      <c r="G141" s="2"/>
      <c r="H141" s="2"/>
      <c r="I141" s="2"/>
    </row>
    <row r="142">
      <c r="A142" s="1"/>
      <c r="B142" s="2"/>
      <c r="C142" s="2"/>
      <c r="D142" s="2"/>
      <c r="E142" s="2"/>
      <c r="F142" s="1"/>
      <c r="G142" s="2"/>
      <c r="H142" s="2"/>
      <c r="I142" s="2"/>
    </row>
    <row r="143">
      <c r="A143" s="1"/>
      <c r="B143" s="2"/>
      <c r="C143" s="2"/>
      <c r="D143" s="2"/>
      <c r="E143" s="2"/>
      <c r="F143" s="1"/>
      <c r="G143" s="2"/>
      <c r="H143" s="2"/>
      <c r="I143" s="2"/>
    </row>
    <row r="144">
      <c r="A144" s="1"/>
      <c r="B144" s="2"/>
      <c r="C144" s="2"/>
      <c r="D144" s="2"/>
      <c r="E144" s="2"/>
      <c r="F144" s="1"/>
      <c r="G144" s="2"/>
      <c r="H144" s="2"/>
      <c r="I144" s="2"/>
    </row>
    <row r="145">
      <c r="A145" s="1"/>
      <c r="B145" s="2"/>
      <c r="C145" s="2"/>
      <c r="D145" s="2"/>
      <c r="E145" s="2"/>
      <c r="F145" s="1"/>
      <c r="G145" s="2"/>
      <c r="H145" s="2"/>
      <c r="I145" s="2"/>
    </row>
    <row r="146">
      <c r="A146" s="1"/>
      <c r="B146" s="2"/>
      <c r="C146" s="2"/>
      <c r="D146" s="2"/>
      <c r="E146" s="2"/>
      <c r="F146" s="1"/>
      <c r="G146" s="2"/>
      <c r="H146" s="2"/>
      <c r="I146" s="2"/>
    </row>
    <row r="147">
      <c r="A147" s="1"/>
      <c r="B147" s="2"/>
      <c r="C147" s="2"/>
      <c r="D147" s="2"/>
      <c r="E147" s="2"/>
      <c r="F147" s="1"/>
      <c r="G147" s="2"/>
      <c r="H147" s="2"/>
      <c r="I147" s="2"/>
    </row>
    <row r="148">
      <c r="A148" s="1"/>
      <c r="B148" s="2"/>
      <c r="C148" s="2"/>
      <c r="D148" s="2"/>
      <c r="E148" s="2"/>
      <c r="F148" s="1"/>
      <c r="G148" s="2"/>
      <c r="H148" s="2"/>
      <c r="I148" s="2"/>
    </row>
    <row r="149">
      <c r="A149" s="1"/>
      <c r="B149" s="2"/>
      <c r="C149" s="2"/>
      <c r="D149" s="2"/>
      <c r="E149" s="2"/>
      <c r="F149" s="1"/>
      <c r="G149" s="2"/>
      <c r="H149" s="2"/>
      <c r="I149" s="2"/>
    </row>
    <row r="150">
      <c r="A150" s="1"/>
      <c r="B150" s="2"/>
      <c r="C150" s="2"/>
      <c r="D150" s="2"/>
      <c r="E150" s="2"/>
      <c r="F150" s="1"/>
      <c r="G150" s="2"/>
      <c r="H150" s="2"/>
      <c r="I150" s="2"/>
    </row>
    <row r="151">
      <c r="A151" s="1"/>
      <c r="B151" s="2"/>
      <c r="C151" s="2"/>
      <c r="D151" s="2"/>
      <c r="E151" s="2"/>
      <c r="F151" s="1"/>
      <c r="G151" s="2"/>
      <c r="H151" s="2"/>
      <c r="I151" s="2"/>
    </row>
    <row r="152">
      <c r="A152" s="1"/>
      <c r="B152" s="2"/>
      <c r="C152" s="2"/>
      <c r="D152" s="2"/>
      <c r="E152" s="2"/>
      <c r="F152" s="1"/>
      <c r="G152" s="2"/>
      <c r="H152" s="2"/>
      <c r="I152" s="2"/>
    </row>
    <row r="153">
      <c r="A153" s="1"/>
      <c r="B153" s="2"/>
      <c r="C153" s="2"/>
      <c r="D153" s="2"/>
      <c r="E153" s="2"/>
      <c r="F153" s="1"/>
      <c r="G153" s="2"/>
      <c r="H153" s="2"/>
      <c r="I153" s="2"/>
    </row>
    <row r="154">
      <c r="A154" s="1"/>
      <c r="B154" s="2"/>
      <c r="C154" s="2"/>
      <c r="D154" s="2"/>
      <c r="E154" s="2"/>
      <c r="F154" s="1"/>
      <c r="G154" s="2"/>
      <c r="H154" s="2"/>
      <c r="I154" s="2"/>
    </row>
    <row r="155">
      <c r="A155" s="1"/>
      <c r="B155" s="2"/>
      <c r="C155" s="2"/>
      <c r="D155" s="2"/>
      <c r="E155" s="2"/>
      <c r="F155" s="1"/>
      <c r="G155" s="2"/>
      <c r="H155" s="2"/>
      <c r="I155" s="2"/>
    </row>
    <row r="156">
      <c r="A156" s="1"/>
      <c r="B156" s="2"/>
      <c r="C156" s="2"/>
      <c r="D156" s="2"/>
      <c r="E156" s="2"/>
      <c r="F156" s="1"/>
      <c r="G156" s="2"/>
      <c r="H156" s="2"/>
      <c r="I156" s="2"/>
    </row>
    <row r="157">
      <c r="A157" s="1"/>
      <c r="B157" s="2"/>
      <c r="C157" s="2"/>
      <c r="D157" s="2"/>
      <c r="E157" s="2"/>
      <c r="F157" s="1"/>
      <c r="G157" s="2"/>
      <c r="H157" s="2"/>
      <c r="I157" s="2"/>
    </row>
    <row r="158">
      <c r="A158" s="1"/>
      <c r="B158" s="2"/>
      <c r="C158" s="2"/>
      <c r="D158" s="2"/>
      <c r="E158" s="2"/>
      <c r="F158" s="1"/>
      <c r="G158" s="2"/>
      <c r="H158" s="2"/>
      <c r="I158" s="2"/>
    </row>
    <row r="159">
      <c r="A159" s="1"/>
      <c r="B159" s="2"/>
      <c r="C159" s="2"/>
      <c r="D159" s="2"/>
      <c r="E159" s="2"/>
      <c r="F159" s="1"/>
      <c r="G159" s="2"/>
      <c r="H159" s="2"/>
      <c r="I159" s="2"/>
    </row>
    <row r="160">
      <c r="A160" s="1"/>
      <c r="B160" s="2"/>
      <c r="C160" s="2"/>
      <c r="D160" s="2"/>
      <c r="E160" s="2"/>
      <c r="F160" s="1"/>
      <c r="G160" s="2"/>
      <c r="H160" s="2"/>
      <c r="I160" s="2"/>
    </row>
    <row r="161">
      <c r="A161" s="1"/>
      <c r="B161" s="2"/>
      <c r="C161" s="2"/>
      <c r="D161" s="2"/>
      <c r="E161" s="2"/>
      <c r="F161" s="1"/>
      <c r="G161" s="2"/>
      <c r="H161" s="2"/>
      <c r="I161" s="2"/>
    </row>
    <row r="162">
      <c r="A162" s="1"/>
      <c r="B162" s="2"/>
      <c r="C162" s="2"/>
      <c r="D162" s="2"/>
      <c r="E162" s="2"/>
      <c r="F162" s="1"/>
      <c r="G162" s="2"/>
      <c r="H162" s="2"/>
      <c r="I162" s="2"/>
    </row>
    <row r="163">
      <c r="A163" s="1"/>
      <c r="B163" s="2"/>
      <c r="C163" s="2"/>
      <c r="D163" s="2"/>
      <c r="E163" s="2"/>
      <c r="F163" s="1"/>
      <c r="G163" s="2"/>
      <c r="H163" s="2"/>
      <c r="I163" s="2"/>
    </row>
    <row r="164">
      <c r="A164" s="1"/>
      <c r="B164" s="2"/>
      <c r="C164" s="2"/>
      <c r="D164" s="2"/>
      <c r="E164" s="2"/>
      <c r="F164" s="1"/>
      <c r="G164" s="2"/>
      <c r="H164" s="2"/>
      <c r="I164" s="2"/>
    </row>
    <row r="165">
      <c r="A165" s="1"/>
      <c r="B165" s="2"/>
      <c r="C165" s="2"/>
      <c r="D165" s="2"/>
      <c r="E165" s="2"/>
      <c r="F165" s="1"/>
      <c r="G165" s="2"/>
      <c r="H165" s="2"/>
      <c r="I165" s="2"/>
    </row>
    <row r="166">
      <c r="A166" s="1"/>
      <c r="B166" s="2"/>
      <c r="C166" s="2"/>
      <c r="D166" s="2"/>
      <c r="E166" s="2"/>
      <c r="F166" s="1"/>
      <c r="G166" s="2"/>
      <c r="H166" s="2"/>
      <c r="I166" s="2"/>
    </row>
    <row r="167">
      <c r="A167" s="1"/>
      <c r="B167" s="2"/>
      <c r="C167" s="2"/>
      <c r="D167" s="2"/>
      <c r="E167" s="2"/>
      <c r="F167" s="1"/>
      <c r="G167" s="2"/>
      <c r="H167" s="2"/>
      <c r="I167" s="2"/>
    </row>
    <row r="168">
      <c r="A168" s="1"/>
      <c r="B168" s="2"/>
      <c r="C168" s="2"/>
      <c r="D168" s="2"/>
      <c r="E168" s="2"/>
      <c r="F168" s="1"/>
      <c r="G168" s="2"/>
      <c r="H168" s="2"/>
      <c r="I168" s="2"/>
    </row>
    <row r="169">
      <c r="A169" s="1"/>
      <c r="B169" s="2"/>
      <c r="C169" s="2"/>
      <c r="D169" s="2"/>
      <c r="E169" s="2"/>
      <c r="F169" s="1"/>
      <c r="G169" s="2"/>
      <c r="H169" s="2"/>
      <c r="I169" s="2"/>
    </row>
    <row r="170">
      <c r="A170" s="1"/>
      <c r="B170" s="2"/>
      <c r="C170" s="2"/>
      <c r="D170" s="2"/>
      <c r="E170" s="2"/>
      <c r="F170" s="1"/>
      <c r="G170" s="2"/>
      <c r="H170" s="2"/>
      <c r="I170" s="2"/>
    </row>
    <row r="171">
      <c r="A171" s="1"/>
      <c r="B171" s="2"/>
      <c r="C171" s="2"/>
      <c r="D171" s="2"/>
      <c r="E171" s="2"/>
      <c r="F171" s="1"/>
      <c r="G171" s="2"/>
      <c r="H171" s="2"/>
      <c r="I171" s="2"/>
    </row>
    <row r="172">
      <c r="A172" s="1"/>
      <c r="B172" s="2"/>
      <c r="C172" s="2"/>
      <c r="D172" s="2"/>
      <c r="E172" s="2"/>
      <c r="F172" s="1"/>
      <c r="G172" s="2"/>
      <c r="H172" s="2"/>
      <c r="I172" s="2"/>
    </row>
    <row r="173">
      <c r="A173" s="1"/>
      <c r="B173" s="2"/>
      <c r="C173" s="2"/>
      <c r="D173" s="2"/>
      <c r="E173" s="2"/>
      <c r="F173" s="1"/>
      <c r="G173" s="2"/>
      <c r="H173" s="2"/>
      <c r="I173" s="2"/>
    </row>
    <row r="174">
      <c r="A174" s="1"/>
      <c r="B174" s="2"/>
      <c r="C174" s="2"/>
      <c r="D174" s="2"/>
      <c r="E174" s="2"/>
      <c r="F174" s="1"/>
      <c r="G174" s="2"/>
      <c r="H174" s="2"/>
      <c r="I174" s="2"/>
    </row>
    <row r="175">
      <c r="A175" s="1"/>
      <c r="B175" s="2"/>
      <c r="C175" s="2"/>
      <c r="D175" s="2"/>
      <c r="E175" s="2"/>
      <c r="F175" s="1"/>
      <c r="G175" s="2"/>
      <c r="H175" s="2"/>
      <c r="I175" s="2"/>
    </row>
    <row r="176">
      <c r="A176" s="1"/>
      <c r="B176" s="2"/>
      <c r="C176" s="2"/>
      <c r="D176" s="2"/>
      <c r="E176" s="2"/>
      <c r="F176" s="1"/>
      <c r="G176" s="2"/>
      <c r="H176" s="2"/>
      <c r="I176" s="2"/>
    </row>
    <row r="177">
      <c r="A177" s="1"/>
      <c r="B177" s="2"/>
      <c r="C177" s="2"/>
      <c r="D177" s="2"/>
      <c r="E177" s="2"/>
      <c r="F177" s="1"/>
      <c r="G177" s="2"/>
      <c r="H177" s="2"/>
      <c r="I177" s="2"/>
    </row>
    <row r="178">
      <c r="A178" s="1"/>
      <c r="B178" s="2"/>
      <c r="C178" s="2"/>
      <c r="D178" s="2"/>
      <c r="E178" s="2"/>
      <c r="F178" s="1"/>
      <c r="G178" s="2"/>
      <c r="H178" s="2"/>
      <c r="I178" s="2"/>
    </row>
    <row r="179">
      <c r="A179" s="1"/>
      <c r="B179" s="2"/>
      <c r="C179" s="2"/>
      <c r="D179" s="2"/>
      <c r="E179" s="2"/>
      <c r="F179" s="1"/>
      <c r="G179" s="2"/>
      <c r="H179" s="2"/>
      <c r="I179" s="2"/>
    </row>
    <row r="180">
      <c r="A180" s="1"/>
      <c r="B180" s="2"/>
      <c r="C180" s="2"/>
      <c r="D180" s="2"/>
      <c r="E180" s="2"/>
      <c r="F180" s="1"/>
      <c r="G180" s="2"/>
      <c r="H180" s="2"/>
      <c r="I180" s="2"/>
    </row>
    <row r="181">
      <c r="A181" s="1"/>
      <c r="B181" s="2"/>
      <c r="C181" s="2"/>
      <c r="D181" s="2"/>
      <c r="E181" s="2"/>
      <c r="F181" s="1"/>
      <c r="G181" s="2"/>
      <c r="H181" s="2"/>
      <c r="I181" s="2"/>
    </row>
    <row r="182">
      <c r="A182" s="1"/>
      <c r="B182" s="2"/>
      <c r="C182" s="2"/>
      <c r="D182" s="2"/>
      <c r="E182" s="2"/>
      <c r="F182" s="1"/>
      <c r="G182" s="2"/>
      <c r="H182" s="2"/>
      <c r="I182" s="2"/>
    </row>
    <row r="183">
      <c r="A183" s="1"/>
      <c r="B183" s="2"/>
      <c r="C183" s="2"/>
      <c r="D183" s="2"/>
      <c r="E183" s="2"/>
      <c r="F183" s="1"/>
      <c r="G183" s="2"/>
      <c r="H183" s="2"/>
      <c r="I183" s="2"/>
    </row>
    <row r="184">
      <c r="A184" s="1"/>
      <c r="B184" s="2"/>
      <c r="C184" s="2"/>
      <c r="D184" s="2"/>
      <c r="E184" s="2"/>
      <c r="F184" s="1"/>
      <c r="G184" s="2"/>
      <c r="H184" s="2"/>
      <c r="I184" s="2"/>
    </row>
    <row r="185">
      <c r="A185" s="1"/>
      <c r="B185" s="2"/>
      <c r="C185" s="2"/>
      <c r="D185" s="2"/>
      <c r="E185" s="2"/>
      <c r="F185" s="1"/>
      <c r="G185" s="2"/>
      <c r="H185" s="2"/>
      <c r="I185" s="2"/>
    </row>
    <row r="186">
      <c r="A186" s="1"/>
      <c r="B186" s="2"/>
      <c r="C186" s="2"/>
      <c r="D186" s="2"/>
      <c r="E186" s="2"/>
      <c r="F186" s="1"/>
      <c r="G186" s="2"/>
      <c r="H186" s="2"/>
      <c r="I186" s="2"/>
    </row>
    <row r="187">
      <c r="A187" s="1"/>
      <c r="B187" s="2"/>
      <c r="C187" s="2"/>
      <c r="D187" s="2"/>
      <c r="E187" s="2"/>
      <c r="F187" s="1"/>
      <c r="G187" s="2"/>
      <c r="H187" s="2"/>
      <c r="I187" s="2"/>
    </row>
    <row r="188">
      <c r="A188" s="1"/>
      <c r="B188" s="2"/>
      <c r="C188" s="2"/>
      <c r="D188" s="2"/>
      <c r="E188" s="2"/>
      <c r="F188" s="1"/>
      <c r="G188" s="2"/>
      <c r="H188" s="2"/>
      <c r="I188" s="2"/>
    </row>
    <row r="189">
      <c r="A189" s="1"/>
      <c r="B189" s="2"/>
      <c r="C189" s="2"/>
      <c r="D189" s="2"/>
      <c r="E189" s="2"/>
      <c r="F189" s="1"/>
      <c r="G189" s="2"/>
      <c r="H189" s="2"/>
      <c r="I189" s="2"/>
    </row>
    <row r="190">
      <c r="A190" s="1"/>
      <c r="B190" s="2"/>
      <c r="C190" s="2"/>
      <c r="D190" s="2"/>
      <c r="E190" s="2"/>
      <c r="F190" s="1"/>
      <c r="G190" s="2"/>
      <c r="H190" s="2"/>
      <c r="I190" s="2"/>
    </row>
    <row r="191">
      <c r="A191" s="1"/>
      <c r="B191" s="2"/>
      <c r="C191" s="2"/>
      <c r="D191" s="2"/>
      <c r="E191" s="2"/>
      <c r="F191" s="1"/>
      <c r="G191" s="2"/>
      <c r="H191" s="2"/>
      <c r="I191" s="2"/>
    </row>
    <row r="192">
      <c r="A192" s="1"/>
      <c r="B192" s="2"/>
      <c r="C192" s="2"/>
      <c r="D192" s="2"/>
      <c r="E192" s="2"/>
      <c r="F192" s="1"/>
      <c r="G192" s="2"/>
      <c r="H192" s="2"/>
      <c r="I192" s="2"/>
    </row>
    <row r="193">
      <c r="A193" s="1"/>
      <c r="B193" s="2"/>
      <c r="C193" s="2"/>
      <c r="D193" s="2"/>
      <c r="E193" s="2"/>
      <c r="F193" s="1"/>
      <c r="G193" s="2"/>
      <c r="H193" s="2"/>
      <c r="I193" s="2"/>
    </row>
    <row r="194">
      <c r="A194" s="1"/>
      <c r="B194" s="2"/>
      <c r="C194" s="2"/>
      <c r="D194" s="2"/>
      <c r="E194" s="2"/>
      <c r="F194" s="1"/>
      <c r="G194" s="2"/>
      <c r="H194" s="2"/>
      <c r="I194" s="2"/>
    </row>
    <row r="195">
      <c r="A195" s="1"/>
      <c r="B195" s="2"/>
      <c r="C195" s="2"/>
      <c r="D195" s="2"/>
      <c r="E195" s="2"/>
      <c r="F195" s="1"/>
      <c r="G195" s="2"/>
      <c r="H195" s="2"/>
      <c r="I195" s="2"/>
    </row>
    <row r="196">
      <c r="A196" s="1"/>
      <c r="B196" s="2"/>
      <c r="C196" s="2"/>
      <c r="D196" s="2"/>
      <c r="E196" s="2"/>
      <c r="F196" s="1"/>
      <c r="G196" s="2"/>
      <c r="H196" s="2"/>
      <c r="I196" s="2"/>
    </row>
    <row r="197">
      <c r="A197" s="1"/>
      <c r="B197" s="2"/>
      <c r="C197" s="2"/>
      <c r="D197" s="2"/>
      <c r="E197" s="2"/>
      <c r="F197" s="1"/>
      <c r="G197" s="2"/>
      <c r="H197" s="2"/>
      <c r="I197" s="2"/>
    </row>
    <row r="198">
      <c r="A198" s="1"/>
      <c r="B198" s="2"/>
      <c r="C198" s="2"/>
      <c r="D198" s="2"/>
      <c r="E198" s="2"/>
      <c r="F198" s="1"/>
      <c r="G198" s="2"/>
      <c r="H198" s="2"/>
      <c r="I198" s="2"/>
    </row>
    <row r="199">
      <c r="A199" s="1"/>
      <c r="B199" s="2"/>
      <c r="C199" s="2"/>
      <c r="D199" s="2"/>
      <c r="E199" s="2"/>
      <c r="F199" s="1"/>
      <c r="G199" s="2"/>
      <c r="H199" s="2"/>
      <c r="I199" s="2"/>
    </row>
    <row r="200">
      <c r="A200" s="1"/>
      <c r="B200" s="2"/>
      <c r="C200" s="2"/>
      <c r="D200" s="2"/>
      <c r="E200" s="2"/>
      <c r="F200" s="1"/>
      <c r="G200" s="2"/>
      <c r="H200" s="2"/>
      <c r="I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rngCurrency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>
      <c r="A2" s="1" t="s">
        <v>443</v>
      </c>
      <c r="B2" s="2" t="s">
        <v>444</v>
      </c>
      <c r="C2" s="2" t="s">
        <v>214</v>
      </c>
      <c r="D2" s="2" t="s">
        <v>422</v>
      </c>
      <c r="E2" s="2" t="s">
        <v>111</v>
      </c>
      <c r="F2" s="2" t="s">
        <v>445</v>
      </c>
    </row>
    <row r="3">
      <c r="A3" s="1" t="s">
        <v>446</v>
      </c>
      <c r="B3" s="2" t="s">
        <v>447</v>
      </c>
      <c r="C3" s="2" t="s">
        <v>215</v>
      </c>
      <c r="D3" s="2" t="s">
        <v>430</v>
      </c>
      <c r="E3" s="2" t="s">
        <v>111</v>
      </c>
      <c r="F3" s="2" t="s">
        <v>448</v>
      </c>
    </row>
    <row r="4">
      <c r="A4" s="1" t="s">
        <v>449</v>
      </c>
      <c r="B4" s="2" t="s">
        <v>450</v>
      </c>
      <c r="C4" s="2" t="s">
        <v>219</v>
      </c>
      <c r="D4" s="2" t="s">
        <v>422</v>
      </c>
      <c r="E4" s="2" t="s">
        <v>111</v>
      </c>
      <c r="F4" s="2" t="s">
        <v>420</v>
      </c>
    </row>
    <row r="5">
      <c r="A5" s="1" t="s">
        <v>451</v>
      </c>
      <c r="B5" s="2" t="s">
        <v>452</v>
      </c>
      <c r="C5" s="2" t="s">
        <v>218</v>
      </c>
      <c r="D5" s="2" t="s">
        <v>426</v>
      </c>
      <c r="E5" s="2" t="s">
        <v>111</v>
      </c>
      <c r="F5" s="2" t="s">
        <v>453</v>
      </c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  <row r="8">
      <c r="A8" s="1"/>
      <c r="B8" s="2"/>
      <c r="C8" s="2"/>
      <c r="D8" s="2"/>
      <c r="E8" s="2"/>
      <c r="F8" s="2"/>
    </row>
    <row r="9">
      <c r="A9" s="1"/>
      <c r="B9" s="2"/>
      <c r="C9" s="2"/>
      <c r="D9" s="2"/>
      <c r="E9" s="2"/>
      <c r="F9" s="2"/>
    </row>
    <row r="10">
      <c r="A10" s="1"/>
      <c r="B10" s="2"/>
      <c r="C10" s="2"/>
      <c r="D10" s="2"/>
      <c r="E10" s="2"/>
      <c r="F10" s="2"/>
    </row>
    <row r="11">
      <c r="A11" s="1"/>
      <c r="B11" s="2"/>
      <c r="C11" s="2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/>
      <c r="B15" s="2"/>
      <c r="C15" s="2"/>
      <c r="D15" s="2"/>
      <c r="E15" s="2"/>
      <c r="F15" s="2"/>
    </row>
    <row r="16">
      <c r="A16" s="1"/>
      <c r="B16" s="2"/>
      <c r="C16" s="2"/>
      <c r="D16" s="2"/>
      <c r="E16" s="2"/>
      <c r="F16" s="2"/>
    </row>
    <row r="17">
      <c r="A17" s="1"/>
      <c r="B17" s="2"/>
      <c r="C17" s="2"/>
      <c r="D17" s="2"/>
      <c r="E17" s="2"/>
      <c r="F17" s="2"/>
    </row>
    <row r="18">
      <c r="A18" s="1"/>
      <c r="B18" s="2"/>
      <c r="C18" s="2"/>
      <c r="D18" s="2"/>
      <c r="E18" s="2"/>
      <c r="F18" s="2"/>
    </row>
    <row r="19">
      <c r="A19" s="1"/>
      <c r="B19" s="2"/>
      <c r="C19" s="2"/>
      <c r="D19" s="2"/>
      <c r="E19" s="2"/>
      <c r="F19" s="2"/>
    </row>
    <row r="20">
      <c r="A20" s="1"/>
      <c r="B20" s="2"/>
      <c r="C20" s="2"/>
      <c r="D20" s="2"/>
      <c r="E20" s="2"/>
      <c r="F20" s="2"/>
    </row>
    <row r="21">
      <c r="A21" s="1"/>
      <c r="B21" s="2"/>
      <c r="C21" s="2"/>
      <c r="D21" s="2"/>
      <c r="E21" s="2"/>
      <c r="F21" s="2"/>
    </row>
    <row r="22">
      <c r="A22" s="1"/>
      <c r="B22" s="2"/>
      <c r="C22" s="2"/>
      <c r="D22" s="2"/>
      <c r="E22" s="2"/>
      <c r="F22" s="2"/>
    </row>
    <row r="23">
      <c r="A23" s="1"/>
      <c r="B23" s="2"/>
      <c r="C23" s="2"/>
      <c r="D23" s="2"/>
      <c r="E23" s="2"/>
      <c r="F23" s="2"/>
    </row>
    <row r="24">
      <c r="A24" s="1"/>
      <c r="B24" s="2"/>
      <c r="C24" s="2"/>
      <c r="D24" s="2"/>
      <c r="E24" s="2"/>
      <c r="F24" s="2"/>
    </row>
    <row r="25">
      <c r="A25" s="1"/>
      <c r="B25" s="2"/>
      <c r="C25" s="2"/>
      <c r="D25" s="2"/>
      <c r="E25" s="2"/>
      <c r="F25" s="2"/>
    </row>
    <row r="26">
      <c r="A26" s="1"/>
      <c r="B26" s="2"/>
      <c r="C26" s="2"/>
      <c r="D26" s="2"/>
      <c r="E26" s="2"/>
      <c r="F26" s="2"/>
    </row>
    <row r="27">
      <c r="A27" s="1"/>
      <c r="B27" s="2"/>
      <c r="C27" s="2"/>
      <c r="D27" s="2"/>
      <c r="E27" s="2"/>
      <c r="F27" s="2"/>
    </row>
    <row r="28">
      <c r="A28" s="1"/>
      <c r="B28" s="2"/>
      <c r="C28" s="2"/>
      <c r="D28" s="2"/>
      <c r="E28" s="2"/>
      <c r="F28" s="2"/>
    </row>
    <row r="29">
      <c r="A29" s="1"/>
      <c r="B29" s="2"/>
      <c r="C29" s="2"/>
      <c r="D29" s="2"/>
      <c r="E29" s="2"/>
      <c r="F29" s="2"/>
    </row>
    <row r="30">
      <c r="A30" s="1"/>
      <c r="B30" s="2"/>
      <c r="C30" s="2"/>
      <c r="D30" s="2"/>
      <c r="E30" s="2"/>
      <c r="F30" s="2"/>
    </row>
    <row r="31">
      <c r="A31" s="1"/>
      <c r="B31" s="2"/>
      <c r="C31" s="2"/>
      <c r="D31" s="2"/>
      <c r="E31" s="2"/>
      <c r="F31" s="2"/>
    </row>
    <row r="32">
      <c r="A32" s="1"/>
      <c r="B32" s="2"/>
      <c r="C32" s="2"/>
      <c r="D32" s="2"/>
      <c r="E32" s="2"/>
      <c r="F32" s="2"/>
    </row>
    <row r="33">
      <c r="A33" s="1"/>
      <c r="B33" s="2"/>
      <c r="C33" s="2"/>
      <c r="D33" s="2"/>
      <c r="E33" s="2"/>
      <c r="F33" s="2"/>
    </row>
    <row r="34">
      <c r="A34" s="1"/>
      <c r="B34" s="2"/>
      <c r="C34" s="2"/>
      <c r="D34" s="2"/>
      <c r="E34" s="2"/>
      <c r="F34" s="2"/>
    </row>
    <row r="35">
      <c r="A35" s="1"/>
      <c r="B35" s="2"/>
      <c r="C35" s="2"/>
      <c r="D35" s="2"/>
      <c r="E35" s="2"/>
      <c r="F35" s="2"/>
    </row>
    <row r="36">
      <c r="A36" s="1"/>
      <c r="B36" s="2"/>
      <c r="C36" s="2"/>
      <c r="D36" s="2"/>
      <c r="E36" s="2"/>
      <c r="F36" s="2"/>
    </row>
    <row r="37">
      <c r="A37" s="1"/>
      <c r="B37" s="2"/>
      <c r="C37" s="2"/>
      <c r="D37" s="2"/>
      <c r="E37" s="2"/>
      <c r="F37" s="2"/>
    </row>
    <row r="38">
      <c r="A38" s="1"/>
      <c r="B38" s="2"/>
      <c r="C38" s="2"/>
      <c r="D38" s="2"/>
      <c r="E38" s="2"/>
      <c r="F38" s="2"/>
    </row>
    <row r="39">
      <c r="A39" s="1"/>
      <c r="B39" s="2"/>
      <c r="C39" s="2"/>
      <c r="D39" s="2"/>
      <c r="E39" s="2"/>
      <c r="F39" s="2"/>
    </row>
    <row r="40">
      <c r="A40" s="1"/>
      <c r="B40" s="2"/>
      <c r="C40" s="2"/>
      <c r="D40" s="2"/>
      <c r="E40" s="2"/>
      <c r="F40" s="2"/>
    </row>
    <row r="41">
      <c r="A41" s="1"/>
      <c r="B41" s="2"/>
      <c r="C41" s="2"/>
      <c r="D41" s="2"/>
      <c r="E41" s="2"/>
      <c r="F41" s="2"/>
    </row>
    <row r="42">
      <c r="A42" s="1"/>
      <c r="B42" s="2"/>
      <c r="C42" s="2"/>
      <c r="D42" s="2"/>
      <c r="E42" s="2"/>
      <c r="F42" s="2"/>
    </row>
    <row r="43">
      <c r="A43" s="1"/>
      <c r="B43" s="2"/>
      <c r="C43" s="2"/>
      <c r="D43" s="2"/>
      <c r="E43" s="2"/>
      <c r="F43" s="2"/>
    </row>
    <row r="44">
      <c r="A44" s="1"/>
      <c r="B44" s="2"/>
      <c r="C44" s="2"/>
      <c r="D44" s="2"/>
      <c r="E44" s="2"/>
      <c r="F44" s="2"/>
    </row>
    <row r="45">
      <c r="A45" s="1"/>
      <c r="B45" s="2"/>
      <c r="C45" s="2"/>
      <c r="D45" s="2"/>
      <c r="E45" s="2"/>
      <c r="F45" s="2"/>
    </row>
    <row r="46">
      <c r="A46" s="1"/>
      <c r="B46" s="2"/>
      <c r="C46" s="2"/>
      <c r="D46" s="2"/>
      <c r="E46" s="2"/>
      <c r="F46" s="2"/>
    </row>
    <row r="47">
      <c r="A47" s="1"/>
      <c r="B47" s="2"/>
      <c r="C47" s="2"/>
      <c r="D47" s="2"/>
      <c r="E47" s="2"/>
      <c r="F47" s="2"/>
    </row>
    <row r="48">
      <c r="A48" s="1"/>
      <c r="B48" s="2"/>
      <c r="C48" s="2"/>
      <c r="D48" s="2"/>
      <c r="E48" s="2"/>
      <c r="F48" s="2"/>
    </row>
    <row r="49">
      <c r="A49" s="1"/>
      <c r="B49" s="2"/>
      <c r="C49" s="2"/>
      <c r="D49" s="2"/>
      <c r="E49" s="2"/>
      <c r="F49" s="2"/>
    </row>
    <row r="50">
      <c r="A50" s="1"/>
      <c r="B50" s="2"/>
      <c r="C50" s="2"/>
      <c r="D50" s="2"/>
      <c r="E50" s="2"/>
      <c r="F50" s="2"/>
    </row>
    <row r="51">
      <c r="A51" s="1"/>
      <c r="B51" s="2"/>
      <c r="C51" s="2"/>
      <c r="D51" s="2"/>
      <c r="E51" s="2"/>
      <c r="F51" s="2"/>
    </row>
    <row r="52">
      <c r="A52" s="1"/>
      <c r="B52" s="2"/>
      <c r="C52" s="2"/>
      <c r="D52" s="2"/>
      <c r="E52" s="2"/>
      <c r="F52" s="2"/>
    </row>
    <row r="53">
      <c r="A53" s="1"/>
      <c r="B53" s="2"/>
      <c r="C53" s="2"/>
      <c r="D53" s="2"/>
      <c r="E53" s="2"/>
      <c r="F53" s="2"/>
    </row>
    <row r="54">
      <c r="A54" s="1"/>
      <c r="B54" s="2"/>
      <c r="C54" s="2"/>
      <c r="D54" s="2"/>
      <c r="E54" s="2"/>
      <c r="F54" s="2"/>
    </row>
    <row r="55">
      <c r="A55" s="1"/>
      <c r="B55" s="2"/>
      <c r="C55" s="2"/>
      <c r="D55" s="2"/>
      <c r="E55" s="2"/>
      <c r="F55" s="2"/>
    </row>
    <row r="56">
      <c r="A56" s="1"/>
      <c r="B56" s="2"/>
      <c r="C56" s="2"/>
      <c r="D56" s="2"/>
      <c r="E56" s="2"/>
      <c r="F56" s="2"/>
    </row>
    <row r="57">
      <c r="A57" s="1"/>
      <c r="B57" s="2"/>
      <c r="C57" s="2"/>
      <c r="D57" s="2"/>
      <c r="E57" s="2"/>
      <c r="F57" s="2"/>
    </row>
    <row r="58">
      <c r="A58" s="1"/>
      <c r="B58" s="2"/>
      <c r="C58" s="2"/>
      <c r="D58" s="2"/>
      <c r="E58" s="2"/>
      <c r="F58" s="2"/>
    </row>
    <row r="59">
      <c r="A59" s="1"/>
      <c r="B59" s="2"/>
      <c r="C59" s="2"/>
      <c r="D59" s="2"/>
      <c r="E59" s="2"/>
      <c r="F59" s="2"/>
    </row>
    <row r="60">
      <c r="A60" s="1"/>
      <c r="B60" s="2"/>
      <c r="C60" s="2"/>
      <c r="D60" s="2"/>
      <c r="E60" s="2"/>
      <c r="F60" s="2"/>
    </row>
    <row r="61">
      <c r="A61" s="1"/>
      <c r="B61" s="2"/>
      <c r="C61" s="2"/>
      <c r="D61" s="2"/>
      <c r="E61" s="2"/>
      <c r="F61" s="2"/>
    </row>
    <row r="62">
      <c r="A62" s="1"/>
      <c r="B62" s="2"/>
      <c r="C62" s="2"/>
      <c r="D62" s="2"/>
      <c r="E62" s="2"/>
      <c r="F62" s="2"/>
    </row>
    <row r="63">
      <c r="A63" s="1"/>
      <c r="B63" s="2"/>
      <c r="C63" s="2"/>
      <c r="D63" s="2"/>
      <c r="E63" s="2"/>
      <c r="F63" s="2"/>
    </row>
    <row r="64">
      <c r="A64" s="1"/>
      <c r="B64" s="2"/>
      <c r="C64" s="2"/>
      <c r="D64" s="2"/>
      <c r="E64" s="2"/>
      <c r="F64" s="2"/>
    </row>
    <row r="65">
      <c r="A65" s="1"/>
      <c r="B65" s="2"/>
      <c r="C65" s="2"/>
      <c r="D65" s="2"/>
      <c r="E65" s="2"/>
      <c r="F65" s="2"/>
    </row>
    <row r="66">
      <c r="A66" s="1"/>
      <c r="B66" s="2"/>
      <c r="C66" s="2"/>
      <c r="D66" s="2"/>
      <c r="E66" s="2"/>
      <c r="F66" s="2"/>
    </row>
    <row r="67">
      <c r="A67" s="1"/>
      <c r="B67" s="2"/>
      <c r="C67" s="2"/>
      <c r="D67" s="2"/>
      <c r="E67" s="2"/>
      <c r="F67" s="2"/>
    </row>
    <row r="68">
      <c r="A68" s="1"/>
      <c r="B68" s="2"/>
      <c r="C68" s="2"/>
      <c r="D68" s="2"/>
      <c r="E68" s="2"/>
      <c r="F68" s="2"/>
    </row>
    <row r="69">
      <c r="A69" s="1"/>
      <c r="B69" s="2"/>
      <c r="C69" s="2"/>
      <c r="D69" s="2"/>
      <c r="E69" s="2"/>
      <c r="F69" s="2"/>
    </row>
    <row r="70">
      <c r="A70" s="1"/>
      <c r="B70" s="2"/>
      <c r="C70" s="2"/>
      <c r="D70" s="2"/>
      <c r="E70" s="2"/>
      <c r="F70" s="2"/>
    </row>
    <row r="71">
      <c r="A71" s="1"/>
      <c r="B71" s="2"/>
      <c r="C71" s="2"/>
      <c r="D71" s="2"/>
      <c r="E71" s="2"/>
      <c r="F71" s="2"/>
    </row>
    <row r="72">
      <c r="A72" s="1"/>
      <c r="B72" s="2"/>
      <c r="C72" s="2"/>
      <c r="D72" s="2"/>
      <c r="E72" s="2"/>
      <c r="F72" s="2"/>
    </row>
    <row r="73">
      <c r="A73" s="1"/>
      <c r="B73" s="2"/>
      <c r="C73" s="2"/>
      <c r="D73" s="2"/>
      <c r="E73" s="2"/>
      <c r="F73" s="2"/>
    </row>
    <row r="74">
      <c r="A74" s="1"/>
      <c r="B74" s="2"/>
      <c r="C74" s="2"/>
      <c r="D74" s="2"/>
      <c r="E74" s="2"/>
      <c r="F74" s="2"/>
    </row>
    <row r="75">
      <c r="A75" s="1"/>
      <c r="B75" s="2"/>
      <c r="C75" s="2"/>
      <c r="D75" s="2"/>
      <c r="E75" s="2"/>
      <c r="F75" s="2"/>
    </row>
    <row r="76">
      <c r="A76" s="1"/>
      <c r="B76" s="2"/>
      <c r="C76" s="2"/>
      <c r="D76" s="2"/>
      <c r="E76" s="2"/>
      <c r="F76" s="2"/>
    </row>
    <row r="77">
      <c r="A77" s="1"/>
      <c r="B77" s="2"/>
      <c r="C77" s="2"/>
      <c r="D77" s="2"/>
      <c r="E77" s="2"/>
      <c r="F77" s="2"/>
    </row>
    <row r="78">
      <c r="A78" s="1"/>
      <c r="B78" s="2"/>
      <c r="C78" s="2"/>
      <c r="D78" s="2"/>
      <c r="E78" s="2"/>
      <c r="F78" s="2"/>
    </row>
    <row r="79">
      <c r="A79" s="1"/>
      <c r="B79" s="2"/>
      <c r="C79" s="2"/>
      <c r="D79" s="2"/>
      <c r="E79" s="2"/>
      <c r="F79" s="2"/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  <row r="89">
      <c r="A89" s="1"/>
      <c r="B89" s="2"/>
      <c r="C89" s="2"/>
      <c r="D89" s="2"/>
      <c r="E89" s="2"/>
      <c r="F89" s="2"/>
    </row>
    <row r="90">
      <c r="A90" s="1"/>
      <c r="B90" s="2"/>
      <c r="C90" s="2"/>
      <c r="D90" s="2"/>
      <c r="E90" s="2"/>
      <c r="F90" s="2"/>
    </row>
    <row r="91">
      <c r="A91" s="1"/>
      <c r="B91" s="2"/>
      <c r="C91" s="2"/>
      <c r="D91" s="2"/>
      <c r="E91" s="2"/>
      <c r="F91" s="2"/>
    </row>
    <row r="92">
      <c r="A92" s="1"/>
      <c r="B92" s="2"/>
      <c r="C92" s="2"/>
      <c r="D92" s="2"/>
      <c r="E92" s="2"/>
      <c r="F92" s="2"/>
    </row>
    <row r="93">
      <c r="A93" s="1"/>
      <c r="B93" s="2"/>
      <c r="C93" s="2"/>
      <c r="D93" s="2"/>
      <c r="E93" s="2"/>
      <c r="F93" s="2"/>
    </row>
    <row r="94">
      <c r="A94" s="1"/>
      <c r="B94" s="2"/>
      <c r="C94" s="2"/>
      <c r="D94" s="2"/>
      <c r="E94" s="2"/>
      <c r="F94" s="2"/>
    </row>
    <row r="95">
      <c r="A95" s="1"/>
      <c r="B95" s="2"/>
      <c r="C95" s="2"/>
      <c r="D95" s="2"/>
      <c r="E95" s="2"/>
      <c r="F95" s="2"/>
    </row>
    <row r="96">
      <c r="A96" s="1"/>
      <c r="B96" s="2"/>
      <c r="C96" s="2"/>
      <c r="D96" s="2"/>
      <c r="E96" s="2"/>
      <c r="F96" s="2"/>
    </row>
    <row r="97">
      <c r="A97" s="1"/>
      <c r="B97" s="2"/>
      <c r="C97" s="2"/>
      <c r="D97" s="2"/>
      <c r="E97" s="2"/>
      <c r="F97" s="2"/>
    </row>
    <row r="98">
      <c r="A98" s="1"/>
      <c r="B98" s="2"/>
      <c r="C98" s="2"/>
      <c r="D98" s="2"/>
      <c r="E98" s="2"/>
      <c r="F98" s="2"/>
    </row>
    <row r="99">
      <c r="A99" s="1"/>
      <c r="B99" s="2"/>
      <c r="C99" s="2"/>
      <c r="D99" s="2"/>
      <c r="E99" s="2"/>
      <c r="F99" s="2"/>
    </row>
    <row r="100">
      <c r="A100" s="1"/>
      <c r="B100" s="2"/>
      <c r="C100" s="2"/>
      <c r="D100" s="2"/>
      <c r="E100" s="2"/>
      <c r="F100" s="2"/>
    </row>
    <row r="101">
      <c r="A101" s="1"/>
      <c r="B101" s="2"/>
      <c r="C101" s="2"/>
      <c r="D101" s="2"/>
      <c r="E101" s="2"/>
      <c r="F101" s="2"/>
    </row>
    <row r="102">
      <c r="A102" s="1"/>
      <c r="B102" s="2"/>
      <c r="C102" s="2"/>
      <c r="D102" s="2"/>
      <c r="E102" s="2"/>
      <c r="F102" s="2"/>
    </row>
    <row r="103">
      <c r="A103" s="1"/>
      <c r="B103" s="2"/>
      <c r="C103" s="2"/>
      <c r="D103" s="2"/>
      <c r="E103" s="2"/>
      <c r="F103" s="2"/>
    </row>
    <row r="104">
      <c r="A104" s="1"/>
      <c r="B104" s="2"/>
      <c r="C104" s="2"/>
      <c r="D104" s="2"/>
      <c r="E104" s="2"/>
      <c r="F104" s="2"/>
    </row>
    <row r="105">
      <c r="A105" s="1"/>
      <c r="B105" s="2"/>
      <c r="C105" s="2"/>
      <c r="D105" s="2"/>
      <c r="E105" s="2"/>
      <c r="F105" s="2"/>
    </row>
    <row r="106">
      <c r="A106" s="1"/>
      <c r="B106" s="2"/>
      <c r="C106" s="2"/>
      <c r="D106" s="2"/>
      <c r="E106" s="2"/>
      <c r="F106" s="2"/>
    </row>
    <row r="107">
      <c r="A107" s="1"/>
      <c r="B107" s="2"/>
      <c r="C107" s="2"/>
      <c r="D107" s="2"/>
      <c r="E107" s="2"/>
      <c r="F107" s="2"/>
    </row>
    <row r="108">
      <c r="A108" s="1"/>
      <c r="B108" s="2"/>
      <c r="C108" s="2"/>
      <c r="D108" s="2"/>
      <c r="E108" s="2"/>
      <c r="F108" s="2"/>
    </row>
    <row r="109">
      <c r="A109" s="1"/>
      <c r="B109" s="2"/>
      <c r="C109" s="2"/>
      <c r="D109" s="2"/>
      <c r="E109" s="2"/>
      <c r="F109" s="2"/>
    </row>
    <row r="110">
      <c r="A110" s="1"/>
      <c r="B110" s="2"/>
      <c r="C110" s="2"/>
      <c r="D110" s="2"/>
      <c r="E110" s="2"/>
      <c r="F110" s="2"/>
    </row>
    <row r="111">
      <c r="A111" s="1"/>
      <c r="B111" s="2"/>
      <c r="C111" s="2"/>
      <c r="D111" s="2"/>
      <c r="E111" s="2"/>
      <c r="F111" s="2"/>
    </row>
    <row r="112">
      <c r="A112" s="1"/>
      <c r="B112" s="2"/>
      <c r="C112" s="2"/>
      <c r="D112" s="2"/>
      <c r="E112" s="2"/>
      <c r="F112" s="2"/>
    </row>
    <row r="113">
      <c r="A113" s="1"/>
      <c r="B113" s="2"/>
      <c r="C113" s="2"/>
      <c r="D113" s="2"/>
      <c r="E113" s="2"/>
      <c r="F113" s="2"/>
    </row>
    <row r="114">
      <c r="A114" s="1"/>
      <c r="B114" s="2"/>
      <c r="C114" s="2"/>
      <c r="D114" s="2"/>
      <c r="E114" s="2"/>
      <c r="F114" s="2"/>
    </row>
    <row r="115">
      <c r="A115" s="1"/>
      <c r="B115" s="2"/>
      <c r="C115" s="2"/>
      <c r="D115" s="2"/>
      <c r="E115" s="2"/>
      <c r="F115" s="2"/>
    </row>
    <row r="116">
      <c r="A116" s="1"/>
      <c r="B116" s="2"/>
      <c r="C116" s="2"/>
      <c r="D116" s="2"/>
      <c r="E116" s="2"/>
      <c r="F116" s="2"/>
    </row>
    <row r="117">
      <c r="A117" s="1"/>
      <c r="B117" s="2"/>
      <c r="C117" s="2"/>
      <c r="D117" s="2"/>
      <c r="E117" s="2"/>
      <c r="F117" s="2"/>
    </row>
    <row r="118">
      <c r="A118" s="1"/>
      <c r="B118" s="2"/>
      <c r="C118" s="2"/>
      <c r="D118" s="2"/>
      <c r="E118" s="2"/>
      <c r="F118" s="2"/>
    </row>
    <row r="119">
      <c r="A119" s="1"/>
      <c r="B119" s="2"/>
      <c r="C119" s="2"/>
      <c r="D119" s="2"/>
      <c r="E119" s="2"/>
      <c r="F119" s="2"/>
    </row>
    <row r="120">
      <c r="A120" s="1"/>
      <c r="B120" s="2"/>
      <c r="C120" s="2"/>
      <c r="D120" s="2"/>
      <c r="E120" s="2"/>
      <c r="F120" s="2"/>
    </row>
    <row r="121">
      <c r="A121" s="1"/>
      <c r="B121" s="2"/>
      <c r="C121" s="2"/>
      <c r="D121" s="2"/>
      <c r="E121" s="2"/>
      <c r="F121" s="2"/>
    </row>
    <row r="122">
      <c r="A122" s="1"/>
      <c r="B122" s="2"/>
      <c r="C122" s="2"/>
      <c r="D122" s="2"/>
      <c r="E122" s="2"/>
      <c r="F122" s="2"/>
    </row>
    <row r="123">
      <c r="A123" s="1"/>
      <c r="B123" s="2"/>
      <c r="C123" s="2"/>
      <c r="D123" s="2"/>
      <c r="E123" s="2"/>
      <c r="F123" s="2"/>
    </row>
    <row r="124">
      <c r="A124" s="1"/>
      <c r="B124" s="2"/>
      <c r="C124" s="2"/>
      <c r="D124" s="2"/>
      <c r="E124" s="2"/>
      <c r="F124" s="2"/>
    </row>
    <row r="125">
      <c r="A125" s="1"/>
      <c r="B125" s="2"/>
      <c r="C125" s="2"/>
      <c r="D125" s="2"/>
      <c r="E125" s="2"/>
      <c r="F125" s="2"/>
    </row>
    <row r="126">
      <c r="A126" s="1"/>
      <c r="B126" s="2"/>
      <c r="C126" s="2"/>
      <c r="D126" s="2"/>
      <c r="E126" s="2"/>
      <c r="F126" s="2"/>
    </row>
    <row r="127">
      <c r="A127" s="1"/>
      <c r="B127" s="2"/>
      <c r="C127" s="2"/>
      <c r="D127" s="2"/>
      <c r="E127" s="2"/>
      <c r="F127" s="2"/>
    </row>
    <row r="128">
      <c r="A128" s="1"/>
      <c r="B128" s="2"/>
      <c r="C128" s="2"/>
      <c r="D128" s="2"/>
      <c r="E128" s="2"/>
      <c r="F128" s="2"/>
    </row>
    <row r="129">
      <c r="A129" s="1"/>
      <c r="B129" s="2"/>
      <c r="C129" s="2"/>
      <c r="D129" s="2"/>
      <c r="E129" s="2"/>
      <c r="F129" s="2"/>
    </row>
    <r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 <c r="D131" s="2"/>
      <c r="E131" s="2"/>
      <c r="F131" s="2"/>
    </row>
    <row r="132">
      <c r="A132" s="1"/>
      <c r="B132" s="2"/>
      <c r="C132" s="2"/>
      <c r="D132" s="2"/>
      <c r="E132" s="2"/>
      <c r="F132" s="2"/>
    </row>
    <row r="133">
      <c r="A133" s="1"/>
      <c r="B133" s="2"/>
      <c r="C133" s="2"/>
      <c r="D133" s="2"/>
      <c r="E133" s="2"/>
      <c r="F133" s="2"/>
    </row>
    <row r="134">
      <c r="A134" s="1"/>
      <c r="B134" s="2"/>
      <c r="C134" s="2"/>
      <c r="D134" s="2"/>
      <c r="E134" s="2"/>
      <c r="F134" s="2"/>
    </row>
    <row r="135">
      <c r="A135" s="1"/>
      <c r="B135" s="2"/>
      <c r="C135" s="2"/>
      <c r="D135" s="2"/>
      <c r="E135" s="2"/>
      <c r="F135" s="2"/>
    </row>
    <row r="136">
      <c r="A136" s="1"/>
      <c r="B136" s="2"/>
      <c r="C136" s="2"/>
      <c r="D136" s="2"/>
      <c r="E136" s="2"/>
      <c r="F136" s="2"/>
    </row>
    <row r="137">
      <c r="A137" s="1"/>
      <c r="B137" s="2"/>
      <c r="C137" s="2"/>
      <c r="D137" s="2"/>
      <c r="E137" s="2"/>
      <c r="F137" s="2"/>
    </row>
    <row r="138">
      <c r="A138" s="1"/>
      <c r="B138" s="2"/>
      <c r="C138" s="2"/>
      <c r="D138" s="2"/>
      <c r="E138" s="2"/>
      <c r="F138" s="2"/>
    </row>
    <row r="139">
      <c r="A139" s="1"/>
      <c r="B139" s="2"/>
      <c r="C139" s="2"/>
      <c r="D139" s="2"/>
      <c r="E139" s="2"/>
      <c r="F139" s="2"/>
    </row>
    <row r="140">
      <c r="A140" s="1"/>
      <c r="B140" s="2"/>
      <c r="C140" s="2"/>
      <c r="D140" s="2"/>
      <c r="E140" s="2"/>
      <c r="F140" s="2"/>
    </row>
    <row r="141">
      <c r="A141" s="1"/>
      <c r="B141" s="2"/>
      <c r="C141" s="2"/>
      <c r="D141" s="2"/>
      <c r="E141" s="2"/>
      <c r="F141" s="2"/>
    </row>
    <row r="142">
      <c r="A142" s="1"/>
      <c r="B142" s="2"/>
      <c r="C142" s="2"/>
      <c r="D142" s="2"/>
      <c r="E142" s="2"/>
      <c r="F142" s="2"/>
    </row>
    <row r="143">
      <c r="A143" s="1"/>
      <c r="B143" s="2"/>
      <c r="C143" s="2"/>
      <c r="D143" s="2"/>
      <c r="E143" s="2"/>
      <c r="F143" s="2"/>
    </row>
    <row r="144">
      <c r="A144" s="1"/>
      <c r="B144" s="2"/>
      <c r="C144" s="2"/>
      <c r="D144" s="2"/>
      <c r="E144" s="2"/>
      <c r="F144" s="2"/>
    </row>
    <row r="145">
      <c r="A145" s="1"/>
      <c r="B145" s="2"/>
      <c r="C145" s="2"/>
      <c r="D145" s="2"/>
      <c r="E145" s="2"/>
      <c r="F145" s="2"/>
    </row>
    <row r="146">
      <c r="A146" s="1"/>
      <c r="B146" s="2"/>
      <c r="C146" s="2"/>
      <c r="D146" s="2"/>
      <c r="E146" s="2"/>
      <c r="F146" s="2"/>
    </row>
    <row r="147">
      <c r="A147" s="1"/>
      <c r="B147" s="2"/>
      <c r="C147" s="2"/>
      <c r="D147" s="2"/>
      <c r="E147" s="2"/>
      <c r="F147" s="2"/>
    </row>
    <row r="148">
      <c r="A148" s="1"/>
      <c r="B148" s="2"/>
      <c r="C148" s="2"/>
      <c r="D148" s="2"/>
      <c r="E148" s="2"/>
      <c r="F148" s="2"/>
    </row>
    <row r="149">
      <c r="A149" s="1"/>
      <c r="B149" s="2"/>
      <c r="C149" s="2"/>
      <c r="D149" s="2"/>
      <c r="E149" s="2"/>
      <c r="F149" s="2"/>
    </row>
    <row r="150">
      <c r="A150" s="1"/>
      <c r="B150" s="2"/>
      <c r="C150" s="2"/>
      <c r="D150" s="2"/>
      <c r="E150" s="2"/>
      <c r="F150" s="2"/>
    </row>
    <row r="151">
      <c r="A151" s="1"/>
      <c r="B151" s="2"/>
      <c r="C151" s="2"/>
      <c r="D151" s="2"/>
      <c r="E151" s="2"/>
      <c r="F151" s="2"/>
    </row>
    <row r="152">
      <c r="A152" s="1"/>
      <c r="B152" s="2"/>
      <c r="C152" s="2"/>
      <c r="D152" s="2"/>
      <c r="E152" s="2"/>
      <c r="F152" s="2"/>
    </row>
    <row r="153">
      <c r="A153" s="1"/>
      <c r="B153" s="2"/>
      <c r="C153" s="2"/>
      <c r="D153" s="2"/>
      <c r="E153" s="2"/>
      <c r="F153" s="2"/>
    </row>
    <row r="154">
      <c r="A154" s="1"/>
      <c r="B154" s="2"/>
      <c r="C154" s="2"/>
      <c r="D154" s="2"/>
      <c r="E154" s="2"/>
      <c r="F154" s="2"/>
    </row>
    <row r="155">
      <c r="A155" s="1"/>
      <c r="B155" s="2"/>
      <c r="C155" s="2"/>
      <c r="D155" s="2"/>
      <c r="E155" s="2"/>
      <c r="F155" s="2"/>
    </row>
    <row r="156">
      <c r="A156" s="1"/>
      <c r="B156" s="2"/>
      <c r="C156" s="2"/>
      <c r="D156" s="2"/>
      <c r="E156" s="2"/>
      <c r="F156" s="2"/>
    </row>
    <row r="157">
      <c r="A157" s="1"/>
      <c r="B157" s="2"/>
      <c r="C157" s="2"/>
      <c r="D157" s="2"/>
      <c r="E157" s="2"/>
      <c r="F157" s="2"/>
    </row>
    <row r="158">
      <c r="A158" s="1"/>
      <c r="B158" s="2"/>
      <c r="C158" s="2"/>
      <c r="D158" s="2"/>
      <c r="E158" s="2"/>
      <c r="F158" s="2"/>
    </row>
    <row r="159">
      <c r="A159" s="1"/>
      <c r="B159" s="2"/>
      <c r="C159" s="2"/>
      <c r="D159" s="2"/>
      <c r="E159" s="2"/>
      <c r="F159" s="2"/>
    </row>
    <row r="160">
      <c r="A160" s="1"/>
      <c r="B160" s="2"/>
      <c r="C160" s="2"/>
      <c r="D160" s="2"/>
      <c r="E160" s="2"/>
      <c r="F160" s="2"/>
    </row>
    <row r="161">
      <c r="A161" s="1"/>
      <c r="B161" s="2"/>
      <c r="C161" s="2"/>
      <c r="D161" s="2"/>
      <c r="E161" s="2"/>
      <c r="F161" s="2"/>
    </row>
    <row r="162">
      <c r="A162" s="1"/>
      <c r="B162" s="2"/>
      <c r="C162" s="2"/>
      <c r="D162" s="2"/>
      <c r="E162" s="2"/>
      <c r="F162" s="2"/>
    </row>
    <row r="163">
      <c r="A163" s="1"/>
      <c r="B163" s="2"/>
      <c r="C163" s="2"/>
      <c r="D163" s="2"/>
      <c r="E163" s="2"/>
      <c r="F163" s="2"/>
    </row>
    <row r="164">
      <c r="A164" s="1"/>
      <c r="B164" s="2"/>
      <c r="C164" s="2"/>
      <c r="D164" s="2"/>
      <c r="E164" s="2"/>
      <c r="F164" s="2"/>
    </row>
    <row r="165">
      <c r="A165" s="1"/>
      <c r="B165" s="2"/>
      <c r="C165" s="2"/>
      <c r="D165" s="2"/>
      <c r="E165" s="2"/>
      <c r="F165" s="2"/>
    </row>
    <row r="166">
      <c r="A166" s="1"/>
      <c r="B166" s="2"/>
      <c r="C166" s="2"/>
      <c r="D166" s="2"/>
      <c r="E166" s="2"/>
      <c r="F166" s="2"/>
    </row>
    <row r="167">
      <c r="A167" s="1"/>
      <c r="B167" s="2"/>
      <c r="C167" s="2"/>
      <c r="D167" s="2"/>
      <c r="E167" s="2"/>
      <c r="F167" s="2"/>
    </row>
    <row r="168">
      <c r="A168" s="1"/>
      <c r="B168" s="2"/>
      <c r="C168" s="2"/>
      <c r="D168" s="2"/>
      <c r="E168" s="2"/>
      <c r="F168" s="2"/>
    </row>
    <row r="169">
      <c r="A169" s="1"/>
      <c r="B169" s="2"/>
      <c r="C169" s="2"/>
      <c r="D169" s="2"/>
      <c r="E169" s="2"/>
      <c r="F169" s="2"/>
    </row>
    <row r="170">
      <c r="A170" s="1"/>
      <c r="B170" s="2"/>
      <c r="C170" s="2"/>
      <c r="D170" s="2"/>
      <c r="E170" s="2"/>
      <c r="F170" s="2"/>
    </row>
    <row r="171">
      <c r="A171" s="1"/>
      <c r="B171" s="2"/>
      <c r="C171" s="2"/>
      <c r="D171" s="2"/>
      <c r="E171" s="2"/>
      <c r="F171" s="2"/>
    </row>
    <row r="172">
      <c r="A172" s="1"/>
      <c r="B172" s="2"/>
      <c r="C172" s="2"/>
      <c r="D172" s="2"/>
      <c r="E172" s="2"/>
      <c r="F172" s="2"/>
    </row>
    <row r="173">
      <c r="A173" s="1"/>
      <c r="B173" s="2"/>
      <c r="C173" s="2"/>
      <c r="D173" s="2"/>
      <c r="E173" s="2"/>
      <c r="F173" s="2"/>
    </row>
    <row r="174">
      <c r="A174" s="1"/>
      <c r="B174" s="2"/>
      <c r="C174" s="2"/>
      <c r="D174" s="2"/>
      <c r="E174" s="2"/>
      <c r="F174" s="2"/>
    </row>
    <row r="175">
      <c r="A175" s="1"/>
      <c r="B175" s="2"/>
      <c r="C175" s="2"/>
      <c r="D175" s="2"/>
      <c r="E175" s="2"/>
      <c r="F175" s="2"/>
    </row>
    <row r="176">
      <c r="A176" s="1"/>
      <c r="B176" s="2"/>
      <c r="C176" s="2"/>
      <c r="D176" s="2"/>
      <c r="E176" s="2"/>
      <c r="F176" s="2"/>
    </row>
    <row r="177">
      <c r="A177" s="1"/>
      <c r="B177" s="2"/>
      <c r="C177" s="2"/>
      <c r="D177" s="2"/>
      <c r="E177" s="2"/>
      <c r="F177" s="2"/>
    </row>
    <row r="178">
      <c r="A178" s="1"/>
      <c r="B178" s="2"/>
      <c r="C178" s="2"/>
      <c r="D178" s="2"/>
      <c r="E178" s="2"/>
      <c r="F178" s="2"/>
    </row>
    <row r="179">
      <c r="A179" s="1"/>
      <c r="B179" s="2"/>
      <c r="C179" s="2"/>
      <c r="D179" s="2"/>
      <c r="E179" s="2"/>
      <c r="F179" s="2"/>
    </row>
    <row r="180">
      <c r="A180" s="1"/>
      <c r="B180" s="2"/>
      <c r="C180" s="2"/>
      <c r="D180" s="2"/>
      <c r="E180" s="2"/>
      <c r="F180" s="2"/>
    </row>
    <row r="181">
      <c r="A181" s="1"/>
      <c r="B181" s="2"/>
      <c r="C181" s="2"/>
      <c r="D181" s="2"/>
      <c r="E181" s="2"/>
      <c r="F181" s="2"/>
    </row>
    <row r="182">
      <c r="A182" s="1"/>
      <c r="B182" s="2"/>
      <c r="C182" s="2"/>
      <c r="D182" s="2"/>
      <c r="E182" s="2"/>
      <c r="F182" s="2"/>
    </row>
    <row r="183">
      <c r="A183" s="1"/>
      <c r="B183" s="2"/>
      <c r="C183" s="2"/>
      <c r="D183" s="2"/>
      <c r="E183" s="2"/>
      <c r="F183" s="2"/>
    </row>
    <row r="184">
      <c r="A184" s="1"/>
      <c r="B184" s="2"/>
      <c r="C184" s="2"/>
      <c r="D184" s="2"/>
      <c r="E184" s="2"/>
      <c r="F184" s="2"/>
    </row>
    <row r="185">
      <c r="A185" s="1"/>
      <c r="B185" s="2"/>
      <c r="C185" s="2"/>
      <c r="D185" s="2"/>
      <c r="E185" s="2"/>
      <c r="F185" s="2"/>
    </row>
    <row r="186">
      <c r="A186" s="1"/>
      <c r="B186" s="2"/>
      <c r="C186" s="2"/>
      <c r="D186" s="2"/>
      <c r="E186" s="2"/>
      <c r="F186" s="2"/>
    </row>
    <row r="187">
      <c r="A187" s="1"/>
      <c r="B187" s="2"/>
      <c r="C187" s="2"/>
      <c r="D187" s="2"/>
      <c r="E187" s="2"/>
      <c r="F187" s="2"/>
    </row>
    <row r="188">
      <c r="A188" s="1"/>
      <c r="B188" s="2"/>
      <c r="C188" s="2"/>
      <c r="D188" s="2"/>
      <c r="E188" s="2"/>
      <c r="F188" s="2"/>
    </row>
    <row r="189">
      <c r="A189" s="1"/>
      <c r="B189" s="2"/>
      <c r="C189" s="2"/>
      <c r="D189" s="2"/>
      <c r="E189" s="2"/>
      <c r="F189" s="2"/>
    </row>
    <row r="190">
      <c r="A190" s="1"/>
      <c r="B190" s="2"/>
      <c r="C190" s="2"/>
      <c r="D190" s="2"/>
      <c r="E190" s="2"/>
      <c r="F190" s="2"/>
    </row>
    <row r="191">
      <c r="A191" s="1"/>
      <c r="B191" s="2"/>
      <c r="C191" s="2"/>
      <c r="D191" s="2"/>
      <c r="E191" s="2"/>
      <c r="F191" s="2"/>
    </row>
    <row r="192">
      <c r="A192" s="1"/>
      <c r="B192" s="2"/>
      <c r="C192" s="2"/>
      <c r="D192" s="2"/>
      <c r="E192" s="2"/>
      <c r="F192" s="2"/>
    </row>
    <row r="193">
      <c r="A193" s="1"/>
      <c r="B193" s="2"/>
      <c r="C193" s="2"/>
      <c r="D193" s="2"/>
      <c r="E193" s="2"/>
      <c r="F193" s="2"/>
    </row>
    <row r="194">
      <c r="A194" s="1"/>
      <c r="B194" s="2"/>
      <c r="C194" s="2"/>
      <c r="D194" s="2"/>
      <c r="E194" s="2"/>
      <c r="F194" s="2"/>
    </row>
    <row r="195">
      <c r="A195" s="1"/>
      <c r="B195" s="2"/>
      <c r="C195" s="2"/>
      <c r="D195" s="2"/>
      <c r="E195" s="2"/>
      <c r="F195" s="2"/>
    </row>
    <row r="196">
      <c r="A196" s="1"/>
      <c r="B196" s="2"/>
      <c r="C196" s="2"/>
      <c r="D196" s="2"/>
      <c r="E196" s="2"/>
      <c r="F196" s="2"/>
    </row>
    <row r="197">
      <c r="A197" s="1"/>
      <c r="B197" s="2"/>
      <c r="C197" s="2"/>
      <c r="D197" s="2"/>
      <c r="E197" s="2"/>
      <c r="F197" s="2"/>
    </row>
    <row r="198">
      <c r="A198" s="1"/>
      <c r="B198" s="2"/>
      <c r="C198" s="2"/>
      <c r="D198" s="2"/>
      <c r="E198" s="2"/>
      <c r="F198" s="2"/>
    </row>
    <row r="199">
      <c r="A199" s="1"/>
      <c r="B199" s="2"/>
      <c r="C199" s="2"/>
      <c r="D199" s="2"/>
      <c r="E199" s="2"/>
      <c r="F199" s="2"/>
    </row>
    <row r="200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rngIncomeType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8" customWidth="1"/>
    <col min="6" max="6" width="14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>
      <c r="A2" s="1"/>
      <c r="B2" s="2"/>
      <c r="C2" s="2"/>
      <c r="D2" s="2"/>
      <c r="E2" s="2"/>
      <c r="F2" s="4"/>
      <c r="G2" s="2"/>
      <c r="H2" s="2"/>
      <c r="I2" s="1">
        <f>tblAssets[[#This Row],[Current Value]]-tblAssets[[#This Row],[Purchase Value]]</f>
      </c>
      <c r="J2" s="1">
        <f>IFERROR(tblAssets[[#This Row],[Appreciation Amount]]/tblAssets[[#This Row],[Purchase Value]],0)</f>
      </c>
      <c r="K2" s="2"/>
      <c r="L2" s="2"/>
      <c r="M2" s="2"/>
    </row>
    <row r="3">
      <c r="A3" s="1"/>
      <c r="B3" s="2"/>
      <c r="C3" s="2"/>
      <c r="D3" s="2"/>
      <c r="E3" s="2"/>
      <c r="F3" s="4"/>
      <c r="G3" s="2"/>
      <c r="H3" s="2"/>
      <c r="I3" s="1">
        <f>tblAssets[[#This Row],[Current Value]]-tblAssets[[#This Row],[Purchase Value]]</f>
      </c>
      <c r="J3" s="1">
        <f>IFERROR(tblAssets[[#This Row],[Appreciation Amount]]/tblAssets[[#This Row],[Purchase Value]],0)</f>
      </c>
      <c r="K3" s="2"/>
      <c r="L3" s="2"/>
      <c r="M3" s="2"/>
    </row>
    <row r="4">
      <c r="A4" s="1"/>
      <c r="B4" s="2"/>
      <c r="C4" s="2"/>
      <c r="D4" s="2"/>
      <c r="E4" s="2"/>
      <c r="F4" s="4"/>
      <c r="G4" s="2"/>
      <c r="H4" s="2"/>
      <c r="I4" s="1">
        <f>tblAssets[[#This Row],[Current Value]]-tblAssets[[#This Row],[Purchase Value]]</f>
      </c>
      <c r="J4" s="1">
        <f>IFERROR(tblAssets[[#This Row],[Appreciation Amount]]/tblAssets[[#This Row],[Purchase Value]],0)</f>
      </c>
      <c r="K4" s="2"/>
      <c r="L4" s="2"/>
      <c r="M4" s="2"/>
    </row>
    <row r="5">
      <c r="A5" s="1"/>
      <c r="B5" s="2"/>
      <c r="C5" s="2"/>
      <c r="D5" s="2"/>
      <c r="E5" s="2"/>
      <c r="F5" s="4"/>
      <c r="G5" s="2"/>
      <c r="H5" s="2"/>
      <c r="I5" s="1">
        <f>tblAssets[[#This Row],[Current Value]]-tblAssets[[#This Row],[Purchase Value]]</f>
      </c>
      <c r="J5" s="1">
        <f>IFERROR(tblAssets[[#This Row],[Appreciation Amount]]/tblAssets[[#This Row],[Purchase Value]],0)</f>
      </c>
      <c r="K5" s="2"/>
      <c r="L5" s="2"/>
      <c r="M5" s="2"/>
    </row>
    <row r="6">
      <c r="A6" s="1"/>
      <c r="B6" s="2"/>
      <c r="C6" s="2"/>
      <c r="D6" s="2"/>
      <c r="E6" s="2"/>
      <c r="F6" s="4"/>
      <c r="G6" s="2"/>
      <c r="H6" s="2"/>
      <c r="I6" s="1">
        <f>tblAssets[[#This Row],[Current Value]]-tblAssets[[#This Row],[Purchase Value]]</f>
      </c>
      <c r="J6" s="1">
        <f>IFERROR(tblAssets[[#This Row],[Appreciation Amount]]/tblAssets[[#This Row],[Purchase Value]],0)</f>
      </c>
      <c r="K6" s="2"/>
      <c r="L6" s="2"/>
      <c r="M6" s="2"/>
    </row>
    <row r="7">
      <c r="A7" s="1"/>
      <c r="B7" s="2"/>
      <c r="C7" s="2"/>
      <c r="D7" s="2"/>
      <c r="E7" s="2"/>
      <c r="F7" s="4"/>
      <c r="G7" s="2"/>
      <c r="H7" s="2"/>
      <c r="I7" s="1">
        <f>tblAssets[[#This Row],[Current Value]]-tblAssets[[#This Row],[Purchase Value]]</f>
      </c>
      <c r="J7" s="1">
        <f>IFERROR(tblAssets[[#This Row],[Appreciation Amount]]/tblAssets[[#This Row],[Purchase Value]],0)</f>
      </c>
      <c r="K7" s="2"/>
      <c r="L7" s="2"/>
      <c r="M7" s="2"/>
    </row>
    <row r="8">
      <c r="A8" s="1"/>
      <c r="B8" s="2"/>
      <c r="C8" s="2"/>
      <c r="D8" s="2"/>
      <c r="E8" s="2"/>
      <c r="F8" s="4"/>
      <c r="G8" s="2"/>
      <c r="H8" s="2"/>
      <c r="I8" s="1">
        <f>tblAssets[[#This Row],[Current Value]]-tblAssets[[#This Row],[Purchase Value]]</f>
      </c>
      <c r="J8" s="1">
        <f>IFERROR(tblAssets[[#This Row],[Appreciation Amount]]/tblAssets[[#This Row],[Purchase Value]],0)</f>
      </c>
      <c r="K8" s="2"/>
      <c r="L8" s="2"/>
      <c r="M8" s="2"/>
    </row>
    <row r="9">
      <c r="A9" s="1"/>
      <c r="B9" s="2"/>
      <c r="C9" s="2"/>
      <c r="D9" s="2"/>
      <c r="E9" s="2"/>
      <c r="F9" s="4"/>
      <c r="G9" s="2"/>
      <c r="H9" s="2"/>
      <c r="I9" s="1">
        <f>tblAssets[[#This Row],[Current Value]]-tblAssets[[#This Row],[Purchase Value]]</f>
      </c>
      <c r="J9" s="1">
        <f>IFERROR(tblAssets[[#This Row],[Appreciation Amount]]/tblAssets[[#This Row],[Purchase Value]],0)</f>
      </c>
      <c r="K9" s="2"/>
      <c r="L9" s="2"/>
      <c r="M9" s="2"/>
    </row>
    <row r="10">
      <c r="A10" s="1"/>
      <c r="B10" s="2"/>
      <c r="C10" s="2"/>
      <c r="D10" s="2"/>
      <c r="E10" s="2"/>
      <c r="F10" s="4"/>
      <c r="G10" s="2"/>
      <c r="H10" s="2"/>
      <c r="I10" s="1">
        <f>tblAssets[[#This Row],[Current Value]]-tblAssets[[#This Row],[Purchase Value]]</f>
      </c>
      <c r="J10" s="1">
        <f>IFERROR(tblAssets[[#This Row],[Appreciation Amount]]/tblAssets[[#This Row],[Purchase Value]],0)</f>
      </c>
      <c r="K10" s="2"/>
      <c r="L10" s="2"/>
      <c r="M10" s="2"/>
    </row>
    <row r="11">
      <c r="A11" s="1"/>
      <c r="B11" s="2"/>
      <c r="C11" s="2"/>
      <c r="D11" s="2"/>
      <c r="E11" s="2"/>
      <c r="F11" s="4"/>
      <c r="G11" s="2"/>
      <c r="H11" s="2"/>
      <c r="I11" s="1">
        <f>tblAssets[[#This Row],[Current Value]]-tblAssets[[#This Row],[Purchase Value]]</f>
      </c>
      <c r="J11" s="1">
        <f>IFERROR(tblAssets[[#This Row],[Appreciation Amount]]/tblAssets[[#This Row],[Purchase Value]],0)</f>
      </c>
      <c r="K11" s="2"/>
      <c r="L11" s="2"/>
      <c r="M11" s="2"/>
    </row>
    <row r="12">
      <c r="A12" s="1"/>
      <c r="B12" s="2"/>
      <c r="C12" s="2"/>
      <c r="D12" s="2"/>
      <c r="E12" s="2"/>
      <c r="F12" s="4"/>
      <c r="G12" s="2"/>
      <c r="H12" s="2"/>
      <c r="I12" s="1">
        <f>tblAssets[[#This Row],[Current Value]]-tblAssets[[#This Row],[Purchase Value]]</f>
      </c>
      <c r="J12" s="1">
        <f>IFERROR(tblAssets[[#This Row],[Appreciation Amount]]/tblAssets[[#This Row],[Purchase Value]],0)</f>
      </c>
      <c r="K12" s="2"/>
      <c r="L12" s="2"/>
      <c r="M12" s="2"/>
    </row>
    <row r="13">
      <c r="A13" s="1"/>
      <c r="B13" s="2"/>
      <c r="C13" s="2"/>
      <c r="D13" s="2"/>
      <c r="E13" s="2"/>
      <c r="F13" s="4"/>
      <c r="G13" s="2"/>
      <c r="H13" s="2"/>
      <c r="I13" s="1">
        <f>tblAssets[[#This Row],[Current Value]]-tblAssets[[#This Row],[Purchase Value]]</f>
      </c>
      <c r="J13" s="1">
        <f>IFERROR(tblAssets[[#This Row],[Appreciation Amount]]/tblAssets[[#This Row],[Purchase Value]],0)</f>
      </c>
      <c r="K13" s="2"/>
      <c r="L13" s="2"/>
      <c r="M13" s="2"/>
    </row>
    <row r="14">
      <c r="A14" s="1"/>
      <c r="B14" s="2"/>
      <c r="C14" s="2"/>
      <c r="D14" s="2"/>
      <c r="E14" s="2"/>
      <c r="F14" s="4"/>
      <c r="G14" s="2"/>
      <c r="H14" s="2"/>
      <c r="I14" s="1">
        <f>tblAssets[[#This Row],[Current Value]]-tblAssets[[#This Row],[Purchase Value]]</f>
      </c>
      <c r="J14" s="1">
        <f>IFERROR(tblAssets[[#This Row],[Appreciation Amount]]/tblAssets[[#This Row],[Purchase Value]],0)</f>
      </c>
      <c r="K14" s="2"/>
      <c r="L14" s="2"/>
      <c r="M14" s="2"/>
    </row>
    <row r="15">
      <c r="A15" s="1"/>
      <c r="B15" s="2"/>
      <c r="C15" s="2"/>
      <c r="D15" s="2"/>
      <c r="E15" s="2"/>
      <c r="F15" s="4"/>
      <c r="G15" s="2"/>
      <c r="H15" s="2"/>
      <c r="I15" s="1">
        <f>tblAssets[[#This Row],[Current Value]]-tblAssets[[#This Row],[Purchase Value]]</f>
      </c>
      <c r="J15" s="1">
        <f>IFERROR(tblAssets[[#This Row],[Appreciation Amount]]/tblAssets[[#This Row],[Purchase Value]],0)</f>
      </c>
      <c r="K15" s="2"/>
      <c r="L15" s="2"/>
      <c r="M15" s="2"/>
    </row>
    <row r="16">
      <c r="A16" s="1"/>
      <c r="B16" s="2"/>
      <c r="C16" s="2"/>
      <c r="D16" s="2"/>
      <c r="E16" s="2"/>
      <c r="F16" s="4"/>
      <c r="G16" s="2"/>
      <c r="H16" s="2"/>
      <c r="I16" s="1">
        <f>tblAssets[[#This Row],[Current Value]]-tblAssets[[#This Row],[Purchase Value]]</f>
      </c>
      <c r="J16" s="1">
        <f>IFERROR(tblAssets[[#This Row],[Appreciation Amount]]/tblAssets[[#This Row],[Purchase Value]],0)</f>
      </c>
      <c r="K16" s="2"/>
      <c r="L16" s="2"/>
      <c r="M16" s="2"/>
    </row>
    <row r="17">
      <c r="A17" s="1"/>
      <c r="B17" s="2"/>
      <c r="C17" s="2"/>
      <c r="D17" s="2"/>
      <c r="E17" s="2"/>
      <c r="F17" s="4"/>
      <c r="G17" s="2"/>
      <c r="H17" s="2"/>
      <c r="I17" s="1">
        <f>tblAssets[[#This Row],[Current Value]]-tblAssets[[#This Row],[Purchase Value]]</f>
      </c>
      <c r="J17" s="1">
        <f>IFERROR(tblAssets[[#This Row],[Appreciation Amount]]/tblAssets[[#This Row],[Purchase Value]],0)</f>
      </c>
      <c r="K17" s="2"/>
      <c r="L17" s="2"/>
      <c r="M17" s="2"/>
    </row>
    <row r="18">
      <c r="A18" s="1"/>
      <c r="B18" s="2"/>
      <c r="C18" s="2"/>
      <c r="D18" s="2"/>
      <c r="E18" s="2"/>
      <c r="F18" s="4"/>
      <c r="G18" s="2"/>
      <c r="H18" s="2"/>
      <c r="I18" s="1">
        <f>tblAssets[[#This Row],[Current Value]]-tblAssets[[#This Row],[Purchase Value]]</f>
      </c>
      <c r="J18" s="1">
        <f>IFERROR(tblAssets[[#This Row],[Appreciation Amount]]/tblAssets[[#This Row],[Purchase Value]],0)</f>
      </c>
      <c r="K18" s="2"/>
      <c r="L18" s="2"/>
      <c r="M18" s="2"/>
    </row>
    <row r="19">
      <c r="A19" s="1"/>
      <c r="B19" s="2"/>
      <c r="C19" s="2"/>
      <c r="D19" s="2"/>
      <c r="E19" s="2"/>
      <c r="F19" s="4"/>
      <c r="G19" s="2"/>
      <c r="H19" s="2"/>
      <c r="I19" s="1">
        <f>tblAssets[[#This Row],[Current Value]]-tblAssets[[#This Row],[Purchase Value]]</f>
      </c>
      <c r="J19" s="1">
        <f>IFERROR(tblAssets[[#This Row],[Appreciation Amount]]/tblAssets[[#This Row],[Purchase Value]],0)</f>
      </c>
      <c r="K19" s="2"/>
      <c r="L19" s="2"/>
      <c r="M19" s="2"/>
    </row>
    <row r="20">
      <c r="A20" s="1"/>
      <c r="B20" s="2"/>
      <c r="C20" s="2"/>
      <c r="D20" s="2"/>
      <c r="E20" s="2"/>
      <c r="F20" s="4"/>
      <c r="G20" s="2"/>
      <c r="H20" s="2"/>
      <c r="I20" s="1">
        <f>tblAssets[[#This Row],[Current Value]]-tblAssets[[#This Row],[Purchase Value]]</f>
      </c>
      <c r="J20" s="1">
        <f>IFERROR(tblAssets[[#This Row],[Appreciation Amount]]/tblAssets[[#This Row],[Purchase Value]],0)</f>
      </c>
      <c r="K20" s="2"/>
      <c r="L20" s="2"/>
      <c r="M20" s="2"/>
    </row>
    <row r="21">
      <c r="A21" s="1"/>
      <c r="B21" s="2"/>
      <c r="C21" s="2"/>
      <c r="D21" s="2"/>
      <c r="E21" s="2"/>
      <c r="F21" s="4"/>
      <c r="G21" s="2"/>
      <c r="H21" s="2"/>
      <c r="I21" s="1">
        <f>tblAssets[[#This Row],[Current Value]]-tblAssets[[#This Row],[Purchase Value]]</f>
      </c>
      <c r="J21" s="1">
        <f>IFERROR(tblAssets[[#This Row],[Appreciation Amount]]/tblAssets[[#This Row],[Purchase Value]],0)</f>
      </c>
      <c r="K21" s="2"/>
      <c r="L21" s="2"/>
      <c r="M21" s="2"/>
    </row>
    <row r="22">
      <c r="A22" s="1"/>
      <c r="B22" s="2"/>
      <c r="C22" s="2"/>
      <c r="D22" s="2"/>
      <c r="E22" s="2"/>
      <c r="F22" s="4"/>
      <c r="G22" s="2"/>
      <c r="H22" s="2"/>
      <c r="I22" s="1">
        <f>tblAssets[[#This Row],[Current Value]]-tblAssets[[#This Row],[Purchase Value]]</f>
      </c>
      <c r="J22" s="1">
        <f>IFERROR(tblAssets[[#This Row],[Appreciation Amount]]/tblAssets[[#This Row],[Purchase Value]],0)</f>
      </c>
      <c r="K22" s="2"/>
      <c r="L22" s="2"/>
      <c r="M22" s="2"/>
    </row>
    <row r="23">
      <c r="A23" s="1"/>
      <c r="B23" s="2"/>
      <c r="C23" s="2"/>
      <c r="D23" s="2"/>
      <c r="E23" s="2"/>
      <c r="F23" s="4"/>
      <c r="G23" s="2"/>
      <c r="H23" s="2"/>
      <c r="I23" s="1">
        <f>tblAssets[[#This Row],[Current Value]]-tblAssets[[#This Row],[Purchase Value]]</f>
      </c>
      <c r="J23" s="1">
        <f>IFERROR(tblAssets[[#This Row],[Appreciation Amount]]/tblAssets[[#This Row],[Purchase Value]],0)</f>
      </c>
      <c r="K23" s="2"/>
      <c r="L23" s="2"/>
      <c r="M23" s="2"/>
    </row>
    <row r="24">
      <c r="A24" s="1"/>
      <c r="B24" s="2"/>
      <c r="C24" s="2"/>
      <c r="D24" s="2"/>
      <c r="E24" s="2"/>
      <c r="F24" s="4"/>
      <c r="G24" s="2"/>
      <c r="H24" s="2"/>
      <c r="I24" s="1">
        <f>tblAssets[[#This Row],[Current Value]]-tblAssets[[#This Row],[Purchase Value]]</f>
      </c>
      <c r="J24" s="1">
        <f>IFERROR(tblAssets[[#This Row],[Appreciation Amount]]/tblAssets[[#This Row],[Purchase Value]],0)</f>
      </c>
      <c r="K24" s="2"/>
      <c r="L24" s="2"/>
      <c r="M24" s="2"/>
    </row>
    <row r="25">
      <c r="A25" s="1"/>
      <c r="B25" s="2"/>
      <c r="C25" s="2"/>
      <c r="D25" s="2"/>
      <c r="E25" s="2"/>
      <c r="F25" s="4"/>
      <c r="G25" s="2"/>
      <c r="H25" s="2"/>
      <c r="I25" s="1">
        <f>tblAssets[[#This Row],[Current Value]]-tblAssets[[#This Row],[Purchase Value]]</f>
      </c>
      <c r="J25" s="1">
        <f>IFERROR(tblAssets[[#This Row],[Appreciation Amount]]/tblAssets[[#This Row],[Purchase Value]],0)</f>
      </c>
      <c r="K25" s="2"/>
      <c r="L25" s="2"/>
      <c r="M25" s="2"/>
    </row>
    <row r="26">
      <c r="A26" s="1"/>
      <c r="B26" s="2"/>
      <c r="C26" s="2"/>
      <c r="D26" s="2"/>
      <c r="E26" s="2"/>
      <c r="F26" s="4"/>
      <c r="G26" s="2"/>
      <c r="H26" s="2"/>
      <c r="I26" s="1">
        <f>tblAssets[[#This Row],[Current Value]]-tblAssets[[#This Row],[Purchase Value]]</f>
      </c>
      <c r="J26" s="1">
        <f>IFERROR(tblAssets[[#This Row],[Appreciation Amount]]/tblAssets[[#This Row],[Purchase Value]],0)</f>
      </c>
      <c r="K26" s="2"/>
      <c r="L26" s="2"/>
      <c r="M26" s="2"/>
    </row>
    <row r="27">
      <c r="A27" s="1"/>
      <c r="B27" s="2"/>
      <c r="C27" s="2"/>
      <c r="D27" s="2"/>
      <c r="E27" s="2"/>
      <c r="F27" s="4"/>
      <c r="G27" s="2"/>
      <c r="H27" s="2"/>
      <c r="I27" s="1">
        <f>tblAssets[[#This Row],[Current Value]]-tblAssets[[#This Row],[Purchase Value]]</f>
      </c>
      <c r="J27" s="1">
        <f>IFERROR(tblAssets[[#This Row],[Appreciation Amount]]/tblAssets[[#This Row],[Purchase Value]],0)</f>
      </c>
      <c r="K27" s="2"/>
      <c r="L27" s="2"/>
      <c r="M27" s="2"/>
    </row>
    <row r="28">
      <c r="A28" s="1"/>
      <c r="B28" s="2"/>
      <c r="C28" s="2"/>
      <c r="D28" s="2"/>
      <c r="E28" s="2"/>
      <c r="F28" s="4"/>
      <c r="G28" s="2"/>
      <c r="H28" s="2"/>
      <c r="I28" s="1">
        <f>tblAssets[[#This Row],[Current Value]]-tblAssets[[#This Row],[Purchase Value]]</f>
      </c>
      <c r="J28" s="1">
        <f>IFERROR(tblAssets[[#This Row],[Appreciation Amount]]/tblAssets[[#This Row],[Purchase Value]],0)</f>
      </c>
      <c r="K28" s="2"/>
      <c r="L28" s="2"/>
      <c r="M28" s="2"/>
    </row>
    <row r="29">
      <c r="A29" s="1"/>
      <c r="B29" s="2"/>
      <c r="C29" s="2"/>
      <c r="D29" s="2"/>
      <c r="E29" s="2"/>
      <c r="F29" s="4"/>
      <c r="G29" s="2"/>
      <c r="H29" s="2"/>
      <c r="I29" s="1">
        <f>tblAssets[[#This Row],[Current Value]]-tblAssets[[#This Row],[Purchase Value]]</f>
      </c>
      <c r="J29" s="1">
        <f>IFERROR(tblAssets[[#This Row],[Appreciation Amount]]/tblAssets[[#This Row],[Purchase Value]],0)</f>
      </c>
      <c r="K29" s="2"/>
      <c r="L29" s="2"/>
      <c r="M29" s="2"/>
    </row>
    <row r="30">
      <c r="A30" s="1"/>
      <c r="B30" s="2"/>
      <c r="C30" s="2"/>
      <c r="D30" s="2"/>
      <c r="E30" s="2"/>
      <c r="F30" s="4"/>
      <c r="G30" s="2"/>
      <c r="H30" s="2"/>
      <c r="I30" s="1">
        <f>tblAssets[[#This Row],[Current Value]]-tblAssets[[#This Row],[Purchase Value]]</f>
      </c>
      <c r="J30" s="1">
        <f>IFERROR(tblAssets[[#This Row],[Appreciation Amount]]/tblAssets[[#This Row],[Purchase Value]],0)</f>
      </c>
      <c r="K30" s="2"/>
      <c r="L30" s="2"/>
      <c r="M30" s="2"/>
    </row>
    <row r="31">
      <c r="A31" s="1"/>
      <c r="B31" s="2"/>
      <c r="C31" s="2"/>
      <c r="D31" s="2"/>
      <c r="E31" s="2"/>
      <c r="F31" s="4"/>
      <c r="G31" s="2"/>
      <c r="H31" s="2"/>
      <c r="I31" s="1">
        <f>tblAssets[[#This Row],[Current Value]]-tblAssets[[#This Row],[Purchase Value]]</f>
      </c>
      <c r="J31" s="1">
        <f>IFERROR(tblAssets[[#This Row],[Appreciation Amount]]/tblAssets[[#This Row],[Purchase Value]],0)</f>
      </c>
      <c r="K31" s="2"/>
      <c r="L31" s="2"/>
      <c r="M31" s="2"/>
    </row>
    <row r="32">
      <c r="A32" s="1"/>
      <c r="B32" s="2"/>
      <c r="C32" s="2"/>
      <c r="D32" s="2"/>
      <c r="E32" s="2"/>
      <c r="F32" s="4"/>
      <c r="G32" s="2"/>
      <c r="H32" s="2"/>
      <c r="I32" s="1">
        <f>tblAssets[[#This Row],[Current Value]]-tblAssets[[#This Row],[Purchase Value]]</f>
      </c>
      <c r="J32" s="1">
        <f>IFERROR(tblAssets[[#This Row],[Appreciation Amount]]/tblAssets[[#This Row],[Purchase Value]],0)</f>
      </c>
      <c r="K32" s="2"/>
      <c r="L32" s="2"/>
      <c r="M32" s="2"/>
    </row>
    <row r="33">
      <c r="A33" s="1"/>
      <c r="B33" s="2"/>
      <c r="C33" s="2"/>
      <c r="D33" s="2"/>
      <c r="E33" s="2"/>
      <c r="F33" s="4"/>
      <c r="G33" s="2"/>
      <c r="H33" s="2"/>
      <c r="I33" s="1">
        <f>tblAssets[[#This Row],[Current Value]]-tblAssets[[#This Row],[Purchase Value]]</f>
      </c>
      <c r="J33" s="1">
        <f>IFERROR(tblAssets[[#This Row],[Appreciation Amount]]/tblAssets[[#This Row],[Purchase Value]],0)</f>
      </c>
      <c r="K33" s="2"/>
      <c r="L33" s="2"/>
      <c r="M33" s="2"/>
    </row>
    <row r="34">
      <c r="A34" s="1"/>
      <c r="B34" s="2"/>
      <c r="C34" s="2"/>
      <c r="D34" s="2"/>
      <c r="E34" s="2"/>
      <c r="F34" s="4"/>
      <c r="G34" s="2"/>
      <c r="H34" s="2"/>
      <c r="I34" s="1">
        <f>tblAssets[[#This Row],[Current Value]]-tblAssets[[#This Row],[Purchase Value]]</f>
      </c>
      <c r="J34" s="1">
        <f>IFERROR(tblAssets[[#This Row],[Appreciation Amount]]/tblAssets[[#This Row],[Purchase Value]],0)</f>
      </c>
      <c r="K34" s="2"/>
      <c r="L34" s="2"/>
      <c r="M34" s="2"/>
    </row>
    <row r="35">
      <c r="A35" s="1"/>
      <c r="B35" s="2"/>
      <c r="C35" s="2"/>
      <c r="D35" s="2"/>
      <c r="E35" s="2"/>
      <c r="F35" s="4"/>
      <c r="G35" s="2"/>
      <c r="H35" s="2"/>
      <c r="I35" s="1">
        <f>tblAssets[[#This Row],[Current Value]]-tblAssets[[#This Row],[Purchase Value]]</f>
      </c>
      <c r="J35" s="1">
        <f>IFERROR(tblAssets[[#This Row],[Appreciation Amount]]/tblAssets[[#This Row],[Purchase Value]],0)</f>
      </c>
      <c r="K35" s="2"/>
      <c r="L35" s="2"/>
      <c r="M35" s="2"/>
    </row>
    <row r="36">
      <c r="A36" s="1"/>
      <c r="B36" s="2"/>
      <c r="C36" s="2"/>
      <c r="D36" s="2"/>
      <c r="E36" s="2"/>
      <c r="F36" s="4"/>
      <c r="G36" s="2"/>
      <c r="H36" s="2"/>
      <c r="I36" s="1">
        <f>tblAssets[[#This Row],[Current Value]]-tblAssets[[#This Row],[Purchase Value]]</f>
      </c>
      <c r="J36" s="1">
        <f>IFERROR(tblAssets[[#This Row],[Appreciation Amount]]/tblAssets[[#This Row],[Purchase Value]],0)</f>
      </c>
      <c r="K36" s="2"/>
      <c r="L36" s="2"/>
      <c r="M36" s="2"/>
    </row>
    <row r="37">
      <c r="A37" s="1"/>
      <c r="B37" s="2"/>
      <c r="C37" s="2"/>
      <c r="D37" s="2"/>
      <c r="E37" s="2"/>
      <c r="F37" s="4"/>
      <c r="G37" s="2"/>
      <c r="H37" s="2"/>
      <c r="I37" s="1">
        <f>tblAssets[[#This Row],[Current Value]]-tblAssets[[#This Row],[Purchase Value]]</f>
      </c>
      <c r="J37" s="1">
        <f>IFERROR(tblAssets[[#This Row],[Appreciation Amount]]/tblAssets[[#This Row],[Purchase Value]],0)</f>
      </c>
      <c r="K37" s="2"/>
      <c r="L37" s="2"/>
      <c r="M37" s="2"/>
    </row>
    <row r="38">
      <c r="A38" s="1"/>
      <c r="B38" s="2"/>
      <c r="C38" s="2"/>
      <c r="D38" s="2"/>
      <c r="E38" s="2"/>
      <c r="F38" s="4"/>
      <c r="G38" s="2"/>
      <c r="H38" s="2"/>
      <c r="I38" s="1">
        <f>tblAssets[[#This Row],[Current Value]]-tblAssets[[#This Row],[Purchase Value]]</f>
      </c>
      <c r="J38" s="1">
        <f>IFERROR(tblAssets[[#This Row],[Appreciation Amount]]/tblAssets[[#This Row],[Purchase Value]],0)</f>
      </c>
      <c r="K38" s="2"/>
      <c r="L38" s="2"/>
      <c r="M38" s="2"/>
    </row>
    <row r="39">
      <c r="A39" s="1"/>
      <c r="B39" s="2"/>
      <c r="C39" s="2"/>
      <c r="D39" s="2"/>
      <c r="E39" s="2"/>
      <c r="F39" s="4"/>
      <c r="G39" s="2"/>
      <c r="H39" s="2"/>
      <c r="I39" s="1">
        <f>tblAssets[[#This Row],[Current Value]]-tblAssets[[#This Row],[Purchase Value]]</f>
      </c>
      <c r="J39" s="1">
        <f>IFERROR(tblAssets[[#This Row],[Appreciation Amount]]/tblAssets[[#This Row],[Purchase Value]],0)</f>
      </c>
      <c r="K39" s="2"/>
      <c r="L39" s="2"/>
      <c r="M39" s="2"/>
    </row>
    <row r="40">
      <c r="A40" s="1"/>
      <c r="B40" s="2"/>
      <c r="C40" s="2"/>
      <c r="D40" s="2"/>
      <c r="E40" s="2"/>
      <c r="F40" s="4"/>
      <c r="G40" s="2"/>
      <c r="H40" s="2"/>
      <c r="I40" s="1">
        <f>tblAssets[[#This Row],[Current Value]]-tblAssets[[#This Row],[Purchase Value]]</f>
      </c>
      <c r="J40" s="1">
        <f>IFERROR(tblAssets[[#This Row],[Appreciation Amount]]/tblAssets[[#This Row],[Purchase Value]],0)</f>
      </c>
      <c r="K40" s="2"/>
      <c r="L40" s="2"/>
      <c r="M40" s="2"/>
    </row>
    <row r="41">
      <c r="A41" s="1"/>
      <c r="B41" s="2"/>
      <c r="C41" s="2"/>
      <c r="D41" s="2"/>
      <c r="E41" s="2"/>
      <c r="F41" s="4"/>
      <c r="G41" s="2"/>
      <c r="H41" s="2"/>
      <c r="I41" s="1">
        <f>tblAssets[[#This Row],[Current Value]]-tblAssets[[#This Row],[Purchase Value]]</f>
      </c>
      <c r="J41" s="1">
        <f>IFERROR(tblAssets[[#This Row],[Appreciation Amount]]/tblAssets[[#This Row],[Purchase Value]],0)</f>
      </c>
      <c r="K41" s="2"/>
      <c r="L41" s="2"/>
      <c r="M41" s="2"/>
    </row>
    <row r="42">
      <c r="A42" s="1"/>
      <c r="B42" s="2"/>
      <c r="C42" s="2"/>
      <c r="D42" s="2"/>
      <c r="E42" s="2"/>
      <c r="F42" s="4"/>
      <c r="G42" s="2"/>
      <c r="H42" s="2"/>
      <c r="I42" s="1">
        <f>tblAssets[[#This Row],[Current Value]]-tblAssets[[#This Row],[Purchase Value]]</f>
      </c>
      <c r="J42" s="1">
        <f>IFERROR(tblAssets[[#This Row],[Appreciation Amount]]/tblAssets[[#This Row],[Purchase Value]],0)</f>
      </c>
      <c r="K42" s="2"/>
      <c r="L42" s="2"/>
      <c r="M42" s="2"/>
    </row>
    <row r="43">
      <c r="A43" s="1"/>
      <c r="B43" s="2"/>
      <c r="C43" s="2"/>
      <c r="D43" s="2"/>
      <c r="E43" s="2"/>
      <c r="F43" s="4"/>
      <c r="G43" s="2"/>
      <c r="H43" s="2"/>
      <c r="I43" s="1">
        <f>tblAssets[[#This Row],[Current Value]]-tblAssets[[#This Row],[Purchase Value]]</f>
      </c>
      <c r="J43" s="1">
        <f>IFERROR(tblAssets[[#This Row],[Appreciation Amount]]/tblAssets[[#This Row],[Purchase Value]],0)</f>
      </c>
      <c r="K43" s="2"/>
      <c r="L43" s="2"/>
      <c r="M43" s="2"/>
    </row>
    <row r="44">
      <c r="A44" s="1"/>
      <c r="B44" s="2"/>
      <c r="C44" s="2"/>
      <c r="D44" s="2"/>
      <c r="E44" s="2"/>
      <c r="F44" s="4"/>
      <c r="G44" s="2"/>
      <c r="H44" s="2"/>
      <c r="I44" s="1">
        <f>tblAssets[[#This Row],[Current Value]]-tblAssets[[#This Row],[Purchase Value]]</f>
      </c>
      <c r="J44" s="1">
        <f>IFERROR(tblAssets[[#This Row],[Appreciation Amount]]/tblAssets[[#This Row],[Purchase Value]],0)</f>
      </c>
      <c r="K44" s="2"/>
      <c r="L44" s="2"/>
      <c r="M44" s="2"/>
    </row>
    <row r="45">
      <c r="A45" s="1"/>
      <c r="B45" s="2"/>
      <c r="C45" s="2"/>
      <c r="D45" s="2"/>
      <c r="E45" s="2"/>
      <c r="F45" s="4"/>
      <c r="G45" s="2"/>
      <c r="H45" s="2"/>
      <c r="I45" s="1">
        <f>tblAssets[[#This Row],[Current Value]]-tblAssets[[#This Row],[Purchase Value]]</f>
      </c>
      <c r="J45" s="1">
        <f>IFERROR(tblAssets[[#This Row],[Appreciation Amount]]/tblAssets[[#This Row],[Purchase Value]],0)</f>
      </c>
      <c r="K45" s="2"/>
      <c r="L45" s="2"/>
      <c r="M45" s="2"/>
    </row>
    <row r="46">
      <c r="A46" s="1"/>
      <c r="B46" s="2"/>
      <c r="C46" s="2"/>
      <c r="D46" s="2"/>
      <c r="E46" s="2"/>
      <c r="F46" s="4"/>
      <c r="G46" s="2"/>
      <c r="H46" s="2"/>
      <c r="I46" s="1">
        <f>tblAssets[[#This Row],[Current Value]]-tblAssets[[#This Row],[Purchase Value]]</f>
      </c>
      <c r="J46" s="1">
        <f>IFERROR(tblAssets[[#This Row],[Appreciation Amount]]/tblAssets[[#This Row],[Purchase Value]],0)</f>
      </c>
      <c r="K46" s="2"/>
      <c r="L46" s="2"/>
      <c r="M46" s="2"/>
    </row>
    <row r="47">
      <c r="A47" s="1"/>
      <c r="B47" s="2"/>
      <c r="C47" s="2"/>
      <c r="D47" s="2"/>
      <c r="E47" s="2"/>
      <c r="F47" s="4"/>
      <c r="G47" s="2"/>
      <c r="H47" s="2"/>
      <c r="I47" s="1">
        <f>tblAssets[[#This Row],[Current Value]]-tblAssets[[#This Row],[Purchase Value]]</f>
      </c>
      <c r="J47" s="1">
        <f>IFERROR(tblAssets[[#This Row],[Appreciation Amount]]/tblAssets[[#This Row],[Purchase Value]],0)</f>
      </c>
      <c r="K47" s="2"/>
      <c r="L47" s="2"/>
      <c r="M47" s="2"/>
    </row>
    <row r="48">
      <c r="A48" s="1"/>
      <c r="B48" s="2"/>
      <c r="C48" s="2"/>
      <c r="D48" s="2"/>
      <c r="E48" s="2"/>
      <c r="F48" s="4"/>
      <c r="G48" s="2"/>
      <c r="H48" s="2"/>
      <c r="I48" s="1">
        <f>tblAssets[[#This Row],[Current Value]]-tblAssets[[#This Row],[Purchase Value]]</f>
      </c>
      <c r="J48" s="1">
        <f>IFERROR(tblAssets[[#This Row],[Appreciation Amount]]/tblAssets[[#This Row],[Purchase Value]],0)</f>
      </c>
      <c r="K48" s="2"/>
      <c r="L48" s="2"/>
      <c r="M48" s="2"/>
    </row>
    <row r="49">
      <c r="A49" s="1"/>
      <c r="B49" s="2"/>
      <c r="C49" s="2"/>
      <c r="D49" s="2"/>
      <c r="E49" s="2"/>
      <c r="F49" s="4"/>
      <c r="G49" s="2"/>
      <c r="H49" s="2"/>
      <c r="I49" s="1">
        <f>tblAssets[[#This Row],[Current Value]]-tblAssets[[#This Row],[Purchase Value]]</f>
      </c>
      <c r="J49" s="1">
        <f>IFERROR(tblAssets[[#This Row],[Appreciation Amount]]/tblAssets[[#This Row],[Purchase Value]],0)</f>
      </c>
      <c r="K49" s="2"/>
      <c r="L49" s="2"/>
      <c r="M49" s="2"/>
    </row>
    <row r="50">
      <c r="A50" s="1"/>
      <c r="B50" s="2"/>
      <c r="C50" s="2"/>
      <c r="D50" s="2"/>
      <c r="E50" s="2"/>
      <c r="F50" s="4"/>
      <c r="G50" s="2"/>
      <c r="H50" s="2"/>
      <c r="I50" s="1">
        <f>tblAssets[[#This Row],[Current Value]]-tblAssets[[#This Row],[Purchase Value]]</f>
      </c>
      <c r="J50" s="1">
        <f>IFERROR(tblAssets[[#This Row],[Appreciation Amount]]/tblAssets[[#This Row],[Purchase Value]],0)</f>
      </c>
      <c r="K50" s="2"/>
      <c r="L50" s="2"/>
      <c r="M50" s="2"/>
    </row>
    <row r="51">
      <c r="A51" s="1"/>
      <c r="B51" s="2"/>
      <c r="C51" s="2"/>
      <c r="D51" s="2"/>
      <c r="E51" s="2"/>
      <c r="F51" s="4"/>
      <c r="G51" s="2"/>
      <c r="H51" s="2"/>
      <c r="I51" s="1">
        <f>tblAssets[[#This Row],[Current Value]]-tblAssets[[#This Row],[Purchase Value]]</f>
      </c>
      <c r="J51" s="1">
        <f>IFERROR(tblAssets[[#This Row],[Appreciation Amount]]/tblAssets[[#This Row],[Purchase Value]],0)</f>
      </c>
      <c r="K51" s="2"/>
      <c r="L51" s="2"/>
      <c r="M51" s="2"/>
    </row>
    <row r="52">
      <c r="A52" s="1"/>
      <c r="B52" s="2"/>
      <c r="C52" s="2"/>
      <c r="D52" s="2"/>
      <c r="E52" s="2"/>
      <c r="F52" s="4"/>
      <c r="G52" s="2"/>
      <c r="H52" s="2"/>
      <c r="I52" s="1">
        <f>tblAssets[[#This Row],[Current Value]]-tblAssets[[#This Row],[Purchase Value]]</f>
      </c>
      <c r="J52" s="1">
        <f>IFERROR(tblAssets[[#This Row],[Appreciation Amount]]/tblAssets[[#This Row],[Purchase Value]],0)</f>
      </c>
      <c r="K52" s="2"/>
      <c r="L52" s="2"/>
      <c r="M52" s="2"/>
    </row>
    <row r="53">
      <c r="A53" s="1"/>
      <c r="B53" s="2"/>
      <c r="C53" s="2"/>
      <c r="D53" s="2"/>
      <c r="E53" s="2"/>
      <c r="F53" s="4"/>
      <c r="G53" s="2"/>
      <c r="H53" s="2"/>
      <c r="I53" s="1">
        <f>tblAssets[[#This Row],[Current Value]]-tblAssets[[#This Row],[Purchase Value]]</f>
      </c>
      <c r="J53" s="1">
        <f>IFERROR(tblAssets[[#This Row],[Appreciation Amount]]/tblAssets[[#This Row],[Purchase Value]],0)</f>
      </c>
      <c r="K53" s="2"/>
      <c r="L53" s="2"/>
      <c r="M53" s="2"/>
    </row>
    <row r="54">
      <c r="A54" s="1"/>
      <c r="B54" s="2"/>
      <c r="C54" s="2"/>
      <c r="D54" s="2"/>
      <c r="E54" s="2"/>
      <c r="F54" s="4"/>
      <c r="G54" s="2"/>
      <c r="H54" s="2"/>
      <c r="I54" s="1">
        <f>tblAssets[[#This Row],[Current Value]]-tblAssets[[#This Row],[Purchase Value]]</f>
      </c>
      <c r="J54" s="1">
        <f>IFERROR(tblAssets[[#This Row],[Appreciation Amount]]/tblAssets[[#This Row],[Purchase Value]],0)</f>
      </c>
      <c r="K54" s="2"/>
      <c r="L54" s="2"/>
      <c r="M54" s="2"/>
    </row>
    <row r="55">
      <c r="A55" s="1"/>
      <c r="B55" s="2"/>
      <c r="C55" s="2"/>
      <c r="D55" s="2"/>
      <c r="E55" s="2"/>
      <c r="F55" s="4"/>
      <c r="G55" s="2"/>
      <c r="H55" s="2"/>
      <c r="I55" s="1">
        <f>tblAssets[[#This Row],[Current Value]]-tblAssets[[#This Row],[Purchase Value]]</f>
      </c>
      <c r="J55" s="1">
        <f>IFERROR(tblAssets[[#This Row],[Appreciation Amount]]/tblAssets[[#This Row],[Purchase Value]],0)</f>
      </c>
      <c r="K55" s="2"/>
      <c r="L55" s="2"/>
      <c r="M55" s="2"/>
    </row>
    <row r="56">
      <c r="A56" s="1"/>
      <c r="B56" s="2"/>
      <c r="C56" s="2"/>
      <c r="D56" s="2"/>
      <c r="E56" s="2"/>
      <c r="F56" s="4"/>
      <c r="G56" s="2"/>
      <c r="H56" s="2"/>
      <c r="I56" s="1">
        <f>tblAssets[[#This Row],[Current Value]]-tblAssets[[#This Row],[Purchase Value]]</f>
      </c>
      <c r="J56" s="1">
        <f>IFERROR(tblAssets[[#This Row],[Appreciation Amount]]/tblAssets[[#This Row],[Purchase Value]],0)</f>
      </c>
      <c r="K56" s="2"/>
      <c r="L56" s="2"/>
      <c r="M56" s="2"/>
    </row>
    <row r="57">
      <c r="A57" s="1"/>
      <c r="B57" s="2"/>
      <c r="C57" s="2"/>
      <c r="D57" s="2"/>
      <c r="E57" s="2"/>
      <c r="F57" s="4"/>
      <c r="G57" s="2"/>
      <c r="H57" s="2"/>
      <c r="I57" s="1">
        <f>tblAssets[[#This Row],[Current Value]]-tblAssets[[#This Row],[Purchase Value]]</f>
      </c>
      <c r="J57" s="1">
        <f>IFERROR(tblAssets[[#This Row],[Appreciation Amount]]/tblAssets[[#This Row],[Purchase Value]],0)</f>
      </c>
      <c r="K57" s="2"/>
      <c r="L57" s="2"/>
      <c r="M57" s="2"/>
    </row>
    <row r="58">
      <c r="A58" s="1"/>
      <c r="B58" s="2"/>
      <c r="C58" s="2"/>
      <c r="D58" s="2"/>
      <c r="E58" s="2"/>
      <c r="F58" s="4"/>
      <c r="G58" s="2"/>
      <c r="H58" s="2"/>
      <c r="I58" s="1">
        <f>tblAssets[[#This Row],[Current Value]]-tblAssets[[#This Row],[Purchase Value]]</f>
      </c>
      <c r="J58" s="1">
        <f>IFERROR(tblAssets[[#This Row],[Appreciation Amount]]/tblAssets[[#This Row],[Purchase Value]],0)</f>
      </c>
      <c r="K58" s="2"/>
      <c r="L58" s="2"/>
      <c r="M58" s="2"/>
    </row>
    <row r="59">
      <c r="A59" s="1"/>
      <c r="B59" s="2"/>
      <c r="C59" s="2"/>
      <c r="D59" s="2"/>
      <c r="E59" s="2"/>
      <c r="F59" s="4"/>
      <c r="G59" s="2"/>
      <c r="H59" s="2"/>
      <c r="I59" s="1">
        <f>tblAssets[[#This Row],[Current Value]]-tblAssets[[#This Row],[Purchase Value]]</f>
      </c>
      <c r="J59" s="1">
        <f>IFERROR(tblAssets[[#This Row],[Appreciation Amount]]/tblAssets[[#This Row],[Purchase Value]],0)</f>
      </c>
      <c r="K59" s="2"/>
      <c r="L59" s="2"/>
      <c r="M59" s="2"/>
    </row>
    <row r="60">
      <c r="A60" s="1"/>
      <c r="B60" s="2"/>
      <c r="C60" s="2"/>
      <c r="D60" s="2"/>
      <c r="E60" s="2"/>
      <c r="F60" s="4"/>
      <c r="G60" s="2"/>
      <c r="H60" s="2"/>
      <c r="I60" s="1">
        <f>tblAssets[[#This Row],[Current Value]]-tblAssets[[#This Row],[Purchase Value]]</f>
      </c>
      <c r="J60" s="1">
        <f>IFERROR(tblAssets[[#This Row],[Appreciation Amount]]/tblAssets[[#This Row],[Purchase Value]],0)</f>
      </c>
      <c r="K60" s="2"/>
      <c r="L60" s="2"/>
      <c r="M60" s="2"/>
    </row>
    <row r="61">
      <c r="A61" s="1"/>
      <c r="B61" s="2"/>
      <c r="C61" s="2"/>
      <c r="D61" s="2"/>
      <c r="E61" s="2"/>
      <c r="F61" s="4"/>
      <c r="G61" s="2"/>
      <c r="H61" s="2"/>
      <c r="I61" s="1">
        <f>tblAssets[[#This Row],[Current Value]]-tblAssets[[#This Row],[Purchase Value]]</f>
      </c>
      <c r="J61" s="1">
        <f>IFERROR(tblAssets[[#This Row],[Appreciation Amount]]/tblAssets[[#This Row],[Purchase Value]],0)</f>
      </c>
      <c r="K61" s="2"/>
      <c r="L61" s="2"/>
      <c r="M61" s="2"/>
    </row>
    <row r="62">
      <c r="A62" s="1"/>
      <c r="B62" s="2"/>
      <c r="C62" s="2"/>
      <c r="D62" s="2"/>
      <c r="E62" s="2"/>
      <c r="F62" s="4"/>
      <c r="G62" s="2"/>
      <c r="H62" s="2"/>
      <c r="I62" s="1">
        <f>tblAssets[[#This Row],[Current Value]]-tblAssets[[#This Row],[Purchase Value]]</f>
      </c>
      <c r="J62" s="1">
        <f>IFERROR(tblAssets[[#This Row],[Appreciation Amount]]/tblAssets[[#This Row],[Purchase Value]],0)</f>
      </c>
      <c r="K62" s="2"/>
      <c r="L62" s="2"/>
      <c r="M62" s="2"/>
    </row>
    <row r="63">
      <c r="A63" s="1"/>
      <c r="B63" s="2"/>
      <c r="C63" s="2"/>
      <c r="D63" s="2"/>
      <c r="E63" s="2"/>
      <c r="F63" s="4"/>
      <c r="G63" s="2"/>
      <c r="H63" s="2"/>
      <c r="I63" s="1">
        <f>tblAssets[[#This Row],[Current Value]]-tblAssets[[#This Row],[Purchase Value]]</f>
      </c>
      <c r="J63" s="1">
        <f>IFERROR(tblAssets[[#This Row],[Appreciation Amount]]/tblAssets[[#This Row],[Purchase Value]],0)</f>
      </c>
      <c r="K63" s="2"/>
      <c r="L63" s="2"/>
      <c r="M63" s="2"/>
    </row>
    <row r="64">
      <c r="A64" s="1"/>
      <c r="B64" s="2"/>
      <c r="C64" s="2"/>
      <c r="D64" s="2"/>
      <c r="E64" s="2"/>
      <c r="F64" s="4"/>
      <c r="G64" s="2"/>
      <c r="H64" s="2"/>
      <c r="I64" s="1">
        <f>tblAssets[[#This Row],[Current Value]]-tblAssets[[#This Row],[Purchase Value]]</f>
      </c>
      <c r="J64" s="1">
        <f>IFERROR(tblAssets[[#This Row],[Appreciation Amount]]/tblAssets[[#This Row],[Purchase Value]],0)</f>
      </c>
      <c r="K64" s="2"/>
      <c r="L64" s="2"/>
      <c r="M64" s="2"/>
    </row>
    <row r="65">
      <c r="A65" s="1"/>
      <c r="B65" s="2"/>
      <c r="C65" s="2"/>
      <c r="D65" s="2"/>
      <c r="E65" s="2"/>
      <c r="F65" s="4"/>
      <c r="G65" s="2"/>
      <c r="H65" s="2"/>
      <c r="I65" s="1">
        <f>tblAssets[[#This Row],[Current Value]]-tblAssets[[#This Row],[Purchase Value]]</f>
      </c>
      <c r="J65" s="1">
        <f>IFERROR(tblAssets[[#This Row],[Appreciation Amount]]/tblAssets[[#This Row],[Purchase Value]],0)</f>
      </c>
      <c r="K65" s="2"/>
      <c r="L65" s="2"/>
      <c r="M65" s="2"/>
    </row>
    <row r="66">
      <c r="A66" s="1"/>
      <c r="B66" s="2"/>
      <c r="C66" s="2"/>
      <c r="D66" s="2"/>
      <c r="E66" s="2"/>
      <c r="F66" s="4"/>
      <c r="G66" s="2"/>
      <c r="H66" s="2"/>
      <c r="I66" s="1">
        <f>tblAssets[[#This Row],[Current Value]]-tblAssets[[#This Row],[Purchase Value]]</f>
      </c>
      <c r="J66" s="1">
        <f>IFERROR(tblAssets[[#This Row],[Appreciation Amount]]/tblAssets[[#This Row],[Purchase Value]],0)</f>
      </c>
      <c r="K66" s="2"/>
      <c r="L66" s="2"/>
      <c r="M66" s="2"/>
    </row>
    <row r="67">
      <c r="A67" s="1"/>
      <c r="B67" s="2"/>
      <c r="C67" s="2"/>
      <c r="D67" s="2"/>
      <c r="E67" s="2"/>
      <c r="F67" s="4"/>
      <c r="G67" s="2"/>
      <c r="H67" s="2"/>
      <c r="I67" s="1">
        <f>tblAssets[[#This Row],[Current Value]]-tblAssets[[#This Row],[Purchase Value]]</f>
      </c>
      <c r="J67" s="1">
        <f>IFERROR(tblAssets[[#This Row],[Appreciation Amount]]/tblAssets[[#This Row],[Purchase Value]],0)</f>
      </c>
      <c r="K67" s="2"/>
      <c r="L67" s="2"/>
      <c r="M67" s="2"/>
    </row>
    <row r="68">
      <c r="A68" s="1"/>
      <c r="B68" s="2"/>
      <c r="C68" s="2"/>
      <c r="D68" s="2"/>
      <c r="E68" s="2"/>
      <c r="F68" s="4"/>
      <c r="G68" s="2"/>
      <c r="H68" s="2"/>
      <c r="I68" s="1">
        <f>tblAssets[[#This Row],[Current Value]]-tblAssets[[#This Row],[Purchase Value]]</f>
      </c>
      <c r="J68" s="1">
        <f>IFERROR(tblAssets[[#This Row],[Appreciation Amount]]/tblAssets[[#This Row],[Purchase Value]],0)</f>
      </c>
      <c r="K68" s="2"/>
      <c r="L68" s="2"/>
      <c r="M68" s="2"/>
    </row>
    <row r="69">
      <c r="A69" s="1"/>
      <c r="B69" s="2"/>
      <c r="C69" s="2"/>
      <c r="D69" s="2"/>
      <c r="E69" s="2"/>
      <c r="F69" s="4"/>
      <c r="G69" s="2"/>
      <c r="H69" s="2"/>
      <c r="I69" s="1">
        <f>tblAssets[[#This Row],[Current Value]]-tblAssets[[#This Row],[Purchase Value]]</f>
      </c>
      <c r="J69" s="1">
        <f>IFERROR(tblAssets[[#This Row],[Appreciation Amount]]/tblAssets[[#This Row],[Purchase Value]],0)</f>
      </c>
      <c r="K69" s="2"/>
      <c r="L69" s="2"/>
      <c r="M69" s="2"/>
    </row>
    <row r="70">
      <c r="A70" s="1"/>
      <c r="B70" s="2"/>
      <c r="C70" s="2"/>
      <c r="D70" s="2"/>
      <c r="E70" s="2"/>
      <c r="F70" s="4"/>
      <c r="G70" s="2"/>
      <c r="H70" s="2"/>
      <c r="I70" s="1">
        <f>tblAssets[[#This Row],[Current Value]]-tblAssets[[#This Row],[Purchase Value]]</f>
      </c>
      <c r="J70" s="1">
        <f>IFERROR(tblAssets[[#This Row],[Appreciation Amount]]/tblAssets[[#This Row],[Purchase Value]],0)</f>
      </c>
      <c r="K70" s="2"/>
      <c r="L70" s="2"/>
      <c r="M70" s="2"/>
    </row>
    <row r="71">
      <c r="A71" s="1"/>
      <c r="B71" s="2"/>
      <c r="C71" s="2"/>
      <c r="D71" s="2"/>
      <c r="E71" s="2"/>
      <c r="F71" s="4"/>
      <c r="G71" s="2"/>
      <c r="H71" s="2"/>
      <c r="I71" s="1">
        <f>tblAssets[[#This Row],[Current Value]]-tblAssets[[#This Row],[Purchase Value]]</f>
      </c>
      <c r="J71" s="1">
        <f>IFERROR(tblAssets[[#This Row],[Appreciation Amount]]/tblAssets[[#This Row],[Purchase Value]],0)</f>
      </c>
      <c r="K71" s="2"/>
      <c r="L71" s="2"/>
      <c r="M71" s="2"/>
    </row>
    <row r="72">
      <c r="A72" s="1"/>
      <c r="B72" s="2"/>
      <c r="C72" s="2"/>
      <c r="D72" s="2"/>
      <c r="E72" s="2"/>
      <c r="F72" s="4"/>
      <c r="G72" s="2"/>
      <c r="H72" s="2"/>
      <c r="I72" s="1">
        <f>tblAssets[[#This Row],[Current Value]]-tblAssets[[#This Row],[Purchase Value]]</f>
      </c>
      <c r="J72" s="1">
        <f>IFERROR(tblAssets[[#This Row],[Appreciation Amount]]/tblAssets[[#This Row],[Purchase Value]],0)</f>
      </c>
      <c r="K72" s="2"/>
      <c r="L72" s="2"/>
      <c r="M72" s="2"/>
    </row>
    <row r="73">
      <c r="A73" s="1"/>
      <c r="B73" s="2"/>
      <c r="C73" s="2"/>
      <c r="D73" s="2"/>
      <c r="E73" s="2"/>
      <c r="F73" s="4"/>
      <c r="G73" s="2"/>
      <c r="H73" s="2"/>
      <c r="I73" s="1">
        <f>tblAssets[[#This Row],[Current Value]]-tblAssets[[#This Row],[Purchase Value]]</f>
      </c>
      <c r="J73" s="1">
        <f>IFERROR(tblAssets[[#This Row],[Appreciation Amount]]/tblAssets[[#This Row],[Purchase Value]],0)</f>
      </c>
      <c r="K73" s="2"/>
      <c r="L73" s="2"/>
      <c r="M73" s="2"/>
    </row>
    <row r="74">
      <c r="A74" s="1"/>
      <c r="B74" s="2"/>
      <c r="C74" s="2"/>
      <c r="D74" s="2"/>
      <c r="E74" s="2"/>
      <c r="F74" s="4"/>
      <c r="G74" s="2"/>
      <c r="H74" s="2"/>
      <c r="I74" s="1">
        <f>tblAssets[[#This Row],[Current Value]]-tblAssets[[#This Row],[Purchase Value]]</f>
      </c>
      <c r="J74" s="1">
        <f>IFERROR(tblAssets[[#This Row],[Appreciation Amount]]/tblAssets[[#This Row],[Purchase Value]],0)</f>
      </c>
      <c r="K74" s="2"/>
      <c r="L74" s="2"/>
      <c r="M74" s="2"/>
    </row>
    <row r="75">
      <c r="A75" s="1"/>
      <c r="B75" s="2"/>
      <c r="C75" s="2"/>
      <c r="D75" s="2"/>
      <c r="E75" s="2"/>
      <c r="F75" s="4"/>
      <c r="G75" s="2"/>
      <c r="H75" s="2"/>
      <c r="I75" s="1">
        <f>tblAssets[[#This Row],[Current Value]]-tblAssets[[#This Row],[Purchase Value]]</f>
      </c>
      <c r="J75" s="1">
        <f>IFERROR(tblAssets[[#This Row],[Appreciation Amount]]/tblAssets[[#This Row],[Purchase Value]],0)</f>
      </c>
      <c r="K75" s="2"/>
      <c r="L75" s="2"/>
      <c r="M75" s="2"/>
    </row>
    <row r="76">
      <c r="A76" s="1"/>
      <c r="B76" s="2"/>
      <c r="C76" s="2"/>
      <c r="D76" s="2"/>
      <c r="E76" s="2"/>
      <c r="F76" s="4"/>
      <c r="G76" s="2"/>
      <c r="H76" s="2"/>
      <c r="I76" s="1">
        <f>tblAssets[[#This Row],[Current Value]]-tblAssets[[#This Row],[Purchase Value]]</f>
      </c>
      <c r="J76" s="1">
        <f>IFERROR(tblAssets[[#This Row],[Appreciation Amount]]/tblAssets[[#This Row],[Purchase Value]],0)</f>
      </c>
      <c r="K76" s="2"/>
      <c r="L76" s="2"/>
      <c r="M76" s="2"/>
    </row>
    <row r="77">
      <c r="A77" s="1"/>
      <c r="B77" s="2"/>
      <c r="C77" s="2"/>
      <c r="D77" s="2"/>
      <c r="E77" s="2"/>
      <c r="F77" s="4"/>
      <c r="G77" s="2"/>
      <c r="H77" s="2"/>
      <c r="I77" s="1">
        <f>tblAssets[[#This Row],[Current Value]]-tblAssets[[#This Row],[Purchase Value]]</f>
      </c>
      <c r="J77" s="1">
        <f>IFERROR(tblAssets[[#This Row],[Appreciation Amount]]/tblAssets[[#This Row],[Purchase Value]],0)</f>
      </c>
      <c r="K77" s="2"/>
      <c r="L77" s="2"/>
      <c r="M77" s="2"/>
    </row>
    <row r="78">
      <c r="A78" s="1"/>
      <c r="B78" s="2"/>
      <c r="C78" s="2"/>
      <c r="D78" s="2"/>
      <c r="E78" s="2"/>
      <c r="F78" s="4"/>
      <c r="G78" s="2"/>
      <c r="H78" s="2"/>
      <c r="I78" s="1">
        <f>tblAssets[[#This Row],[Current Value]]-tblAssets[[#This Row],[Purchase Value]]</f>
      </c>
      <c r="J78" s="1">
        <f>IFERROR(tblAssets[[#This Row],[Appreciation Amount]]/tblAssets[[#This Row],[Purchase Value]],0)</f>
      </c>
      <c r="K78" s="2"/>
      <c r="L78" s="2"/>
      <c r="M78" s="2"/>
    </row>
    <row r="79">
      <c r="A79" s="1"/>
      <c r="B79" s="2"/>
      <c r="C79" s="2"/>
      <c r="D79" s="2"/>
      <c r="E79" s="2"/>
      <c r="F79" s="4"/>
      <c r="G79" s="2"/>
      <c r="H79" s="2"/>
      <c r="I79" s="1">
        <f>tblAssets[[#This Row],[Current Value]]-tblAssets[[#This Row],[Purchase Value]]</f>
      </c>
      <c r="J79" s="1">
        <f>IFERROR(tblAssets[[#This Row],[Appreciation Amount]]/tblAssets[[#This Row],[Purchase Value]],0)</f>
      </c>
      <c r="K79" s="2"/>
      <c r="L79" s="2"/>
      <c r="M79" s="2"/>
    </row>
    <row r="80">
      <c r="A80" s="1"/>
      <c r="B80" s="2"/>
      <c r="C80" s="2"/>
      <c r="D80" s="2"/>
      <c r="E80" s="2"/>
      <c r="F80" s="4"/>
      <c r="G80" s="2"/>
      <c r="H80" s="2"/>
      <c r="I80" s="1">
        <f>tblAssets[[#This Row],[Current Value]]-tblAssets[[#This Row],[Purchase Value]]</f>
      </c>
      <c r="J80" s="1">
        <f>IFERROR(tblAssets[[#This Row],[Appreciation Amount]]/tblAssets[[#This Row],[Purchase Value]],0)</f>
      </c>
      <c r="K80" s="2"/>
      <c r="L80" s="2"/>
      <c r="M80" s="2"/>
    </row>
    <row r="81">
      <c r="A81" s="1"/>
      <c r="B81" s="2"/>
      <c r="C81" s="2"/>
      <c r="D81" s="2"/>
      <c r="E81" s="2"/>
      <c r="F81" s="4"/>
      <c r="G81" s="2"/>
      <c r="H81" s="2"/>
      <c r="I81" s="1">
        <f>tblAssets[[#This Row],[Current Value]]-tblAssets[[#This Row],[Purchase Value]]</f>
      </c>
      <c r="J81" s="1">
        <f>IFERROR(tblAssets[[#This Row],[Appreciation Amount]]/tblAssets[[#This Row],[Purchase Value]],0)</f>
      </c>
      <c r="K81" s="2"/>
      <c r="L81" s="2"/>
      <c r="M81" s="2"/>
    </row>
    <row r="82">
      <c r="A82" s="1"/>
      <c r="B82" s="2"/>
      <c r="C82" s="2"/>
      <c r="D82" s="2"/>
      <c r="E82" s="2"/>
      <c r="F82" s="4"/>
      <c r="G82" s="2"/>
      <c r="H82" s="2"/>
      <c r="I82" s="1">
        <f>tblAssets[[#This Row],[Current Value]]-tblAssets[[#This Row],[Purchase Value]]</f>
      </c>
      <c r="J82" s="1">
        <f>IFERROR(tblAssets[[#This Row],[Appreciation Amount]]/tblAssets[[#This Row],[Purchase Value]],0)</f>
      </c>
      <c r="K82" s="2"/>
      <c r="L82" s="2"/>
      <c r="M82" s="2"/>
    </row>
    <row r="83">
      <c r="A83" s="1"/>
      <c r="B83" s="2"/>
      <c r="C83" s="2"/>
      <c r="D83" s="2"/>
      <c r="E83" s="2"/>
      <c r="F83" s="4"/>
      <c r="G83" s="2"/>
      <c r="H83" s="2"/>
      <c r="I83" s="1">
        <f>tblAssets[[#This Row],[Current Value]]-tblAssets[[#This Row],[Purchase Value]]</f>
      </c>
      <c r="J83" s="1">
        <f>IFERROR(tblAssets[[#This Row],[Appreciation Amount]]/tblAssets[[#This Row],[Purchase Value]],0)</f>
      </c>
      <c r="K83" s="2"/>
      <c r="L83" s="2"/>
      <c r="M83" s="2"/>
    </row>
    <row r="84">
      <c r="A84" s="1"/>
      <c r="B84" s="2"/>
      <c r="C84" s="2"/>
      <c r="D84" s="2"/>
      <c r="E84" s="2"/>
      <c r="F84" s="4"/>
      <c r="G84" s="2"/>
      <c r="H84" s="2"/>
      <c r="I84" s="1">
        <f>tblAssets[[#This Row],[Current Value]]-tblAssets[[#This Row],[Purchase Value]]</f>
      </c>
      <c r="J84" s="1">
        <f>IFERROR(tblAssets[[#This Row],[Appreciation Amount]]/tblAssets[[#This Row],[Purchase Value]],0)</f>
      </c>
      <c r="K84" s="2"/>
      <c r="L84" s="2"/>
      <c r="M84" s="2"/>
    </row>
    <row r="85">
      <c r="A85" s="1"/>
      <c r="B85" s="2"/>
      <c r="C85" s="2"/>
      <c r="D85" s="2"/>
      <c r="E85" s="2"/>
      <c r="F85" s="4"/>
      <c r="G85" s="2"/>
      <c r="H85" s="2"/>
      <c r="I85" s="1">
        <f>tblAssets[[#This Row],[Current Value]]-tblAssets[[#This Row],[Purchase Value]]</f>
      </c>
      <c r="J85" s="1">
        <f>IFERROR(tblAssets[[#This Row],[Appreciation Amount]]/tblAssets[[#This Row],[Purchase Value]],0)</f>
      </c>
      <c r="K85" s="2"/>
      <c r="L85" s="2"/>
      <c r="M85" s="2"/>
    </row>
    <row r="86">
      <c r="A86" s="1"/>
      <c r="B86" s="2"/>
      <c r="C86" s="2"/>
      <c r="D86" s="2"/>
      <c r="E86" s="2"/>
      <c r="F86" s="4"/>
      <c r="G86" s="2"/>
      <c r="H86" s="2"/>
      <c r="I86" s="1">
        <f>tblAssets[[#This Row],[Current Value]]-tblAssets[[#This Row],[Purchase Value]]</f>
      </c>
      <c r="J86" s="1">
        <f>IFERROR(tblAssets[[#This Row],[Appreciation Amount]]/tblAssets[[#This Row],[Purchase Value]],0)</f>
      </c>
      <c r="K86" s="2"/>
      <c r="L86" s="2"/>
      <c r="M86" s="2"/>
    </row>
    <row r="87">
      <c r="A87" s="1"/>
      <c r="B87" s="2"/>
      <c r="C87" s="2"/>
      <c r="D87" s="2"/>
      <c r="E87" s="2"/>
      <c r="F87" s="4"/>
      <c r="G87" s="2"/>
      <c r="H87" s="2"/>
      <c r="I87" s="1">
        <f>tblAssets[[#This Row],[Current Value]]-tblAssets[[#This Row],[Purchase Value]]</f>
      </c>
      <c r="J87" s="1">
        <f>IFERROR(tblAssets[[#This Row],[Appreciation Amount]]/tblAssets[[#This Row],[Purchase Value]],0)</f>
      </c>
      <c r="K87" s="2"/>
      <c r="L87" s="2"/>
      <c r="M87" s="2"/>
    </row>
    <row r="88">
      <c r="A88" s="1"/>
      <c r="B88" s="2"/>
      <c r="C88" s="2"/>
      <c r="D88" s="2"/>
      <c r="E88" s="2"/>
      <c r="F88" s="4"/>
      <c r="G88" s="2"/>
      <c r="H88" s="2"/>
      <c r="I88" s="1">
        <f>tblAssets[[#This Row],[Current Value]]-tblAssets[[#This Row],[Purchase Value]]</f>
      </c>
      <c r="J88" s="1">
        <f>IFERROR(tblAssets[[#This Row],[Appreciation Amount]]/tblAssets[[#This Row],[Purchase Value]],0)</f>
      </c>
      <c r="K88" s="2"/>
      <c r="L88" s="2"/>
      <c r="M88" s="2"/>
    </row>
    <row r="89">
      <c r="A89" s="1"/>
      <c r="B89" s="2"/>
      <c r="C89" s="2"/>
      <c r="D89" s="2"/>
      <c r="E89" s="2"/>
      <c r="F89" s="4"/>
      <c r="G89" s="2"/>
      <c r="H89" s="2"/>
      <c r="I89" s="1">
        <f>tblAssets[[#This Row],[Current Value]]-tblAssets[[#This Row],[Purchase Value]]</f>
      </c>
      <c r="J89" s="1">
        <f>IFERROR(tblAssets[[#This Row],[Appreciation Amount]]/tblAssets[[#This Row],[Purchase Value]],0)</f>
      </c>
      <c r="K89" s="2"/>
      <c r="L89" s="2"/>
      <c r="M89" s="2"/>
    </row>
    <row r="90">
      <c r="A90" s="1"/>
      <c r="B90" s="2"/>
      <c r="C90" s="2"/>
      <c r="D90" s="2"/>
      <c r="E90" s="2"/>
      <c r="F90" s="4"/>
      <c r="G90" s="2"/>
      <c r="H90" s="2"/>
      <c r="I90" s="1">
        <f>tblAssets[[#This Row],[Current Value]]-tblAssets[[#This Row],[Purchase Value]]</f>
      </c>
      <c r="J90" s="1">
        <f>IFERROR(tblAssets[[#This Row],[Appreciation Amount]]/tblAssets[[#This Row],[Purchase Value]],0)</f>
      </c>
      <c r="K90" s="2"/>
      <c r="L90" s="2"/>
      <c r="M90" s="2"/>
    </row>
    <row r="91">
      <c r="A91" s="1"/>
      <c r="B91" s="2"/>
      <c r="C91" s="2"/>
      <c r="D91" s="2"/>
      <c r="E91" s="2"/>
      <c r="F91" s="4"/>
      <c r="G91" s="2"/>
      <c r="H91" s="2"/>
      <c r="I91" s="1">
        <f>tblAssets[[#This Row],[Current Value]]-tblAssets[[#This Row],[Purchase Value]]</f>
      </c>
      <c r="J91" s="1">
        <f>IFERROR(tblAssets[[#This Row],[Appreciation Amount]]/tblAssets[[#This Row],[Purchase Value]],0)</f>
      </c>
      <c r="K91" s="2"/>
      <c r="L91" s="2"/>
      <c r="M91" s="2"/>
    </row>
    <row r="92">
      <c r="A92" s="1"/>
      <c r="B92" s="2"/>
      <c r="C92" s="2"/>
      <c r="D92" s="2"/>
      <c r="E92" s="2"/>
      <c r="F92" s="4"/>
      <c r="G92" s="2"/>
      <c r="H92" s="2"/>
      <c r="I92" s="1">
        <f>tblAssets[[#This Row],[Current Value]]-tblAssets[[#This Row],[Purchase Value]]</f>
      </c>
      <c r="J92" s="1">
        <f>IFERROR(tblAssets[[#This Row],[Appreciation Amount]]/tblAssets[[#This Row],[Purchase Value]],0)</f>
      </c>
      <c r="K92" s="2"/>
      <c r="L92" s="2"/>
      <c r="M92" s="2"/>
    </row>
    <row r="93">
      <c r="A93" s="1"/>
      <c r="B93" s="2"/>
      <c r="C93" s="2"/>
      <c r="D93" s="2"/>
      <c r="E93" s="2"/>
      <c r="F93" s="4"/>
      <c r="G93" s="2"/>
      <c r="H93" s="2"/>
      <c r="I93" s="1">
        <f>tblAssets[[#This Row],[Current Value]]-tblAssets[[#This Row],[Purchase Value]]</f>
      </c>
      <c r="J93" s="1">
        <f>IFERROR(tblAssets[[#This Row],[Appreciation Amount]]/tblAssets[[#This Row],[Purchase Value]],0)</f>
      </c>
      <c r="K93" s="2"/>
      <c r="L93" s="2"/>
      <c r="M93" s="2"/>
    </row>
    <row r="94">
      <c r="A94" s="1"/>
      <c r="B94" s="2"/>
      <c r="C94" s="2"/>
      <c r="D94" s="2"/>
      <c r="E94" s="2"/>
      <c r="F94" s="4"/>
      <c r="G94" s="2"/>
      <c r="H94" s="2"/>
      <c r="I94" s="1">
        <f>tblAssets[[#This Row],[Current Value]]-tblAssets[[#This Row],[Purchase Value]]</f>
      </c>
      <c r="J94" s="1">
        <f>IFERROR(tblAssets[[#This Row],[Appreciation Amount]]/tblAssets[[#This Row],[Purchase Value]],0)</f>
      </c>
      <c r="K94" s="2"/>
      <c r="L94" s="2"/>
      <c r="M94" s="2"/>
    </row>
    <row r="95">
      <c r="A95" s="1"/>
      <c r="B95" s="2"/>
      <c r="C95" s="2"/>
      <c r="D95" s="2"/>
      <c r="E95" s="2"/>
      <c r="F95" s="4"/>
      <c r="G95" s="2"/>
      <c r="H95" s="2"/>
      <c r="I95" s="1">
        <f>tblAssets[[#This Row],[Current Value]]-tblAssets[[#This Row],[Purchase Value]]</f>
      </c>
      <c r="J95" s="1">
        <f>IFERROR(tblAssets[[#This Row],[Appreciation Amount]]/tblAssets[[#This Row],[Purchase Value]],0)</f>
      </c>
      <c r="K95" s="2"/>
      <c r="L95" s="2"/>
      <c r="M95" s="2"/>
    </row>
    <row r="96">
      <c r="A96" s="1"/>
      <c r="B96" s="2"/>
      <c r="C96" s="2"/>
      <c r="D96" s="2"/>
      <c r="E96" s="2"/>
      <c r="F96" s="4"/>
      <c r="G96" s="2"/>
      <c r="H96" s="2"/>
      <c r="I96" s="1">
        <f>tblAssets[[#This Row],[Current Value]]-tblAssets[[#This Row],[Purchase Value]]</f>
      </c>
      <c r="J96" s="1">
        <f>IFERROR(tblAssets[[#This Row],[Appreciation Amount]]/tblAssets[[#This Row],[Purchase Value]],0)</f>
      </c>
      <c r="K96" s="2"/>
      <c r="L96" s="2"/>
      <c r="M96" s="2"/>
    </row>
    <row r="97">
      <c r="A97" s="1"/>
      <c r="B97" s="2"/>
      <c r="C97" s="2"/>
      <c r="D97" s="2"/>
      <c r="E97" s="2"/>
      <c r="F97" s="4"/>
      <c r="G97" s="2"/>
      <c r="H97" s="2"/>
      <c r="I97" s="1">
        <f>tblAssets[[#This Row],[Current Value]]-tblAssets[[#This Row],[Purchase Value]]</f>
      </c>
      <c r="J97" s="1">
        <f>IFERROR(tblAssets[[#This Row],[Appreciation Amount]]/tblAssets[[#This Row],[Purchase Value]],0)</f>
      </c>
      <c r="K97" s="2"/>
      <c r="L97" s="2"/>
      <c r="M97" s="2"/>
    </row>
    <row r="98">
      <c r="A98" s="1"/>
      <c r="B98" s="2"/>
      <c r="C98" s="2"/>
      <c r="D98" s="2"/>
      <c r="E98" s="2"/>
      <c r="F98" s="4"/>
      <c r="G98" s="2"/>
      <c r="H98" s="2"/>
      <c r="I98" s="1">
        <f>tblAssets[[#This Row],[Current Value]]-tblAssets[[#This Row],[Purchase Value]]</f>
      </c>
      <c r="J98" s="1">
        <f>IFERROR(tblAssets[[#This Row],[Appreciation Amount]]/tblAssets[[#This Row],[Purchase Value]],0)</f>
      </c>
      <c r="K98" s="2"/>
      <c r="L98" s="2"/>
      <c r="M98" s="2"/>
    </row>
    <row r="99">
      <c r="A99" s="1"/>
      <c r="B99" s="2"/>
      <c r="C99" s="2"/>
      <c r="D99" s="2"/>
      <c r="E99" s="2"/>
      <c r="F99" s="4"/>
      <c r="G99" s="2"/>
      <c r="H99" s="2"/>
      <c r="I99" s="1">
        <f>tblAssets[[#This Row],[Current Value]]-tblAssets[[#This Row],[Purchase Value]]</f>
      </c>
      <c r="J99" s="1">
        <f>IFERROR(tblAssets[[#This Row],[Appreciation Amount]]/tblAssets[[#This Row],[Purchase Value]],0)</f>
      </c>
      <c r="K99" s="2"/>
      <c r="L99" s="2"/>
      <c r="M99" s="2"/>
    </row>
    <row r="100">
      <c r="A100" s="1"/>
      <c r="B100" s="2"/>
      <c r="C100" s="2"/>
      <c r="D100" s="2"/>
      <c r="E100" s="2"/>
      <c r="F100" s="4"/>
      <c r="G100" s="2"/>
      <c r="H100" s="2"/>
      <c r="I100" s="1">
        <f>tblAssets[[#This Row],[Current Value]]-tblAssets[[#This Row],[Purchase Value]]</f>
      </c>
      <c r="J100" s="1">
        <f>IFERROR(tblAssets[[#This Row],[Appreciation Amount]]/tblAssets[[#This Row],[Purchase Value]],0)</f>
      </c>
      <c r="K100" s="2"/>
      <c r="L100" s="2"/>
      <c r="M100" s="2"/>
    </row>
    <row r="101">
      <c r="A101" s="1"/>
      <c r="B101" s="2"/>
      <c r="C101" s="2"/>
      <c r="D101" s="2"/>
      <c r="E101" s="2"/>
      <c r="F101" s="4"/>
      <c r="G101" s="2"/>
      <c r="H101" s="2"/>
      <c r="I101" s="1">
        <f>tblAssets[[#This Row],[Current Value]]-tblAssets[[#This Row],[Purchase Value]]</f>
      </c>
      <c r="J101" s="1">
        <f>IFERROR(tblAssets[[#This Row],[Appreciation Amount]]/tblAssets[[#This Row],[Purchase Value]],0)</f>
      </c>
      <c r="K101" s="2"/>
      <c r="L101" s="2"/>
      <c r="M101" s="2"/>
    </row>
    <row r="102">
      <c r="A102" s="1"/>
      <c r="B102" s="2"/>
      <c r="C102" s="2"/>
      <c r="D102" s="2"/>
      <c r="E102" s="2"/>
      <c r="F102" s="4"/>
      <c r="G102" s="2"/>
      <c r="H102" s="2"/>
      <c r="I102" s="1">
        <f>tblAssets[[#This Row],[Current Value]]-tblAssets[[#This Row],[Purchase Value]]</f>
      </c>
      <c r="J102" s="1">
        <f>IFERROR(tblAssets[[#This Row],[Appreciation Amount]]/tblAssets[[#This Row],[Purchase Value]],0)</f>
      </c>
      <c r="K102" s="2"/>
      <c r="L102" s="2"/>
      <c r="M102" s="2"/>
    </row>
    <row r="103">
      <c r="A103" s="1"/>
      <c r="B103" s="2"/>
      <c r="C103" s="2"/>
      <c r="D103" s="2"/>
      <c r="E103" s="2"/>
      <c r="F103" s="4"/>
      <c r="G103" s="2"/>
      <c r="H103" s="2"/>
      <c r="I103" s="1">
        <f>tblAssets[[#This Row],[Current Value]]-tblAssets[[#This Row],[Purchase Value]]</f>
      </c>
      <c r="J103" s="1">
        <f>IFERROR(tblAssets[[#This Row],[Appreciation Amount]]/tblAssets[[#This Row],[Purchase Value]],0)</f>
      </c>
      <c r="K103" s="2"/>
      <c r="L103" s="2"/>
      <c r="M103" s="2"/>
    </row>
    <row r="104">
      <c r="A104" s="1"/>
      <c r="B104" s="2"/>
      <c r="C104" s="2"/>
      <c r="D104" s="2"/>
      <c r="E104" s="2"/>
      <c r="F104" s="4"/>
      <c r="G104" s="2"/>
      <c r="H104" s="2"/>
      <c r="I104" s="1">
        <f>tblAssets[[#This Row],[Current Value]]-tblAssets[[#This Row],[Purchase Value]]</f>
      </c>
      <c r="J104" s="1">
        <f>IFERROR(tblAssets[[#This Row],[Appreciation Amount]]/tblAssets[[#This Row],[Purchase Value]],0)</f>
      </c>
      <c r="K104" s="2"/>
      <c r="L104" s="2"/>
      <c r="M104" s="2"/>
    </row>
    <row r="105">
      <c r="A105" s="1"/>
      <c r="B105" s="2"/>
      <c r="C105" s="2"/>
      <c r="D105" s="2"/>
      <c r="E105" s="2"/>
      <c r="F105" s="4"/>
      <c r="G105" s="2"/>
      <c r="H105" s="2"/>
      <c r="I105" s="1">
        <f>tblAssets[[#This Row],[Current Value]]-tblAssets[[#This Row],[Purchase Value]]</f>
      </c>
      <c r="J105" s="1">
        <f>IFERROR(tblAssets[[#This Row],[Appreciation Amount]]/tblAssets[[#This Row],[Purchase Value]],0)</f>
      </c>
      <c r="K105" s="2"/>
      <c r="L105" s="2"/>
      <c r="M105" s="2"/>
    </row>
    <row r="106">
      <c r="A106" s="1"/>
      <c r="B106" s="2"/>
      <c r="C106" s="2"/>
      <c r="D106" s="2"/>
      <c r="E106" s="2"/>
      <c r="F106" s="4"/>
      <c r="G106" s="2"/>
      <c r="H106" s="2"/>
      <c r="I106" s="1">
        <f>tblAssets[[#This Row],[Current Value]]-tblAssets[[#This Row],[Purchase Value]]</f>
      </c>
      <c r="J106" s="1">
        <f>IFERROR(tblAssets[[#This Row],[Appreciation Amount]]/tblAssets[[#This Row],[Purchase Value]],0)</f>
      </c>
      <c r="K106" s="2"/>
      <c r="L106" s="2"/>
      <c r="M106" s="2"/>
    </row>
    <row r="107">
      <c r="A107" s="1"/>
      <c r="B107" s="2"/>
      <c r="C107" s="2"/>
      <c r="D107" s="2"/>
      <c r="E107" s="2"/>
      <c r="F107" s="4"/>
      <c r="G107" s="2"/>
      <c r="H107" s="2"/>
      <c r="I107" s="1">
        <f>tblAssets[[#This Row],[Current Value]]-tblAssets[[#This Row],[Purchase Value]]</f>
      </c>
      <c r="J107" s="1">
        <f>IFERROR(tblAssets[[#This Row],[Appreciation Amount]]/tblAssets[[#This Row],[Purchase Value]],0)</f>
      </c>
      <c r="K107" s="2"/>
      <c r="L107" s="2"/>
      <c r="M107" s="2"/>
    </row>
    <row r="108">
      <c r="A108" s="1"/>
      <c r="B108" s="2"/>
      <c r="C108" s="2"/>
      <c r="D108" s="2"/>
      <c r="E108" s="2"/>
      <c r="F108" s="4"/>
      <c r="G108" s="2"/>
      <c r="H108" s="2"/>
      <c r="I108" s="1">
        <f>tblAssets[[#This Row],[Current Value]]-tblAssets[[#This Row],[Purchase Value]]</f>
      </c>
      <c r="J108" s="1">
        <f>IFERROR(tblAssets[[#This Row],[Appreciation Amount]]/tblAssets[[#This Row],[Purchase Value]],0)</f>
      </c>
      <c r="K108" s="2"/>
      <c r="L108" s="2"/>
      <c r="M108" s="2"/>
    </row>
    <row r="109">
      <c r="A109" s="1"/>
      <c r="B109" s="2"/>
      <c r="C109" s="2"/>
      <c r="D109" s="2"/>
      <c r="E109" s="2"/>
      <c r="F109" s="4"/>
      <c r="G109" s="2"/>
      <c r="H109" s="2"/>
      <c r="I109" s="1">
        <f>tblAssets[[#This Row],[Current Value]]-tblAssets[[#This Row],[Purchase Value]]</f>
      </c>
      <c r="J109" s="1">
        <f>IFERROR(tblAssets[[#This Row],[Appreciation Amount]]/tblAssets[[#This Row],[Purchase Value]],0)</f>
      </c>
      <c r="K109" s="2"/>
      <c r="L109" s="2"/>
      <c r="M109" s="2"/>
    </row>
    <row r="110">
      <c r="A110" s="1"/>
      <c r="B110" s="2"/>
      <c r="C110" s="2"/>
      <c r="D110" s="2"/>
      <c r="E110" s="2"/>
      <c r="F110" s="4"/>
      <c r="G110" s="2"/>
      <c r="H110" s="2"/>
      <c r="I110" s="1">
        <f>tblAssets[[#This Row],[Current Value]]-tblAssets[[#This Row],[Purchase Value]]</f>
      </c>
      <c r="J110" s="1">
        <f>IFERROR(tblAssets[[#This Row],[Appreciation Amount]]/tblAssets[[#This Row],[Purchase Value]],0)</f>
      </c>
      <c r="K110" s="2"/>
      <c r="L110" s="2"/>
      <c r="M110" s="2"/>
    </row>
    <row r="111">
      <c r="A111" s="1"/>
      <c r="B111" s="2"/>
      <c r="C111" s="2"/>
      <c r="D111" s="2"/>
      <c r="E111" s="2"/>
      <c r="F111" s="4"/>
      <c r="G111" s="2"/>
      <c r="H111" s="2"/>
      <c r="I111" s="1">
        <f>tblAssets[[#This Row],[Current Value]]-tblAssets[[#This Row],[Purchase Value]]</f>
      </c>
      <c r="J111" s="1">
        <f>IFERROR(tblAssets[[#This Row],[Appreciation Amount]]/tblAssets[[#This Row],[Purchase Value]],0)</f>
      </c>
      <c r="K111" s="2"/>
      <c r="L111" s="2"/>
      <c r="M111" s="2"/>
    </row>
    <row r="112">
      <c r="A112" s="1"/>
      <c r="B112" s="2"/>
      <c r="C112" s="2"/>
      <c r="D112" s="2"/>
      <c r="E112" s="2"/>
      <c r="F112" s="4"/>
      <c r="G112" s="2"/>
      <c r="H112" s="2"/>
      <c r="I112" s="1">
        <f>tblAssets[[#This Row],[Current Value]]-tblAssets[[#This Row],[Purchase Value]]</f>
      </c>
      <c r="J112" s="1">
        <f>IFERROR(tblAssets[[#This Row],[Appreciation Amount]]/tblAssets[[#This Row],[Purchase Value]],0)</f>
      </c>
      <c r="K112" s="2"/>
      <c r="L112" s="2"/>
      <c r="M112" s="2"/>
    </row>
    <row r="113">
      <c r="A113" s="1"/>
      <c r="B113" s="2"/>
      <c r="C113" s="2"/>
      <c r="D113" s="2"/>
      <c r="E113" s="2"/>
      <c r="F113" s="4"/>
      <c r="G113" s="2"/>
      <c r="H113" s="2"/>
      <c r="I113" s="1">
        <f>tblAssets[[#This Row],[Current Value]]-tblAssets[[#This Row],[Purchase Value]]</f>
      </c>
      <c r="J113" s="1">
        <f>IFERROR(tblAssets[[#This Row],[Appreciation Amount]]/tblAssets[[#This Row],[Purchase Value]],0)</f>
      </c>
      <c r="K113" s="2"/>
      <c r="L113" s="2"/>
      <c r="M113" s="2"/>
    </row>
    <row r="114">
      <c r="A114" s="1"/>
      <c r="B114" s="2"/>
      <c r="C114" s="2"/>
      <c r="D114" s="2"/>
      <c r="E114" s="2"/>
      <c r="F114" s="4"/>
      <c r="G114" s="2"/>
      <c r="H114" s="2"/>
      <c r="I114" s="1">
        <f>tblAssets[[#This Row],[Current Value]]-tblAssets[[#This Row],[Purchase Value]]</f>
      </c>
      <c r="J114" s="1">
        <f>IFERROR(tblAssets[[#This Row],[Appreciation Amount]]/tblAssets[[#This Row],[Purchase Value]],0)</f>
      </c>
      <c r="K114" s="2"/>
      <c r="L114" s="2"/>
      <c r="M114" s="2"/>
    </row>
    <row r="115">
      <c r="A115" s="1"/>
      <c r="B115" s="2"/>
      <c r="C115" s="2"/>
      <c r="D115" s="2"/>
      <c r="E115" s="2"/>
      <c r="F115" s="4"/>
      <c r="G115" s="2"/>
      <c r="H115" s="2"/>
      <c r="I115" s="1">
        <f>tblAssets[[#This Row],[Current Value]]-tblAssets[[#This Row],[Purchase Value]]</f>
      </c>
      <c r="J115" s="1">
        <f>IFERROR(tblAssets[[#This Row],[Appreciation Amount]]/tblAssets[[#This Row],[Purchase Value]],0)</f>
      </c>
      <c r="K115" s="2"/>
      <c r="L115" s="2"/>
      <c r="M115" s="2"/>
    </row>
    <row r="116">
      <c r="A116" s="1"/>
      <c r="B116" s="2"/>
      <c r="C116" s="2"/>
      <c r="D116" s="2"/>
      <c r="E116" s="2"/>
      <c r="F116" s="4"/>
      <c r="G116" s="2"/>
      <c r="H116" s="2"/>
      <c r="I116" s="1">
        <f>tblAssets[[#This Row],[Current Value]]-tblAssets[[#This Row],[Purchase Value]]</f>
      </c>
      <c r="J116" s="1">
        <f>IFERROR(tblAssets[[#This Row],[Appreciation Amount]]/tblAssets[[#This Row],[Purchase Value]],0)</f>
      </c>
      <c r="K116" s="2"/>
      <c r="L116" s="2"/>
      <c r="M116" s="2"/>
    </row>
    <row r="117">
      <c r="A117" s="1"/>
      <c r="B117" s="2"/>
      <c r="C117" s="2"/>
      <c r="D117" s="2"/>
      <c r="E117" s="2"/>
      <c r="F117" s="4"/>
      <c r="G117" s="2"/>
      <c r="H117" s="2"/>
      <c r="I117" s="1">
        <f>tblAssets[[#This Row],[Current Value]]-tblAssets[[#This Row],[Purchase Value]]</f>
      </c>
      <c r="J117" s="1">
        <f>IFERROR(tblAssets[[#This Row],[Appreciation Amount]]/tblAssets[[#This Row],[Purchase Value]],0)</f>
      </c>
      <c r="K117" s="2"/>
      <c r="L117" s="2"/>
      <c r="M117" s="2"/>
    </row>
    <row r="118">
      <c r="A118" s="1"/>
      <c r="B118" s="2"/>
      <c r="C118" s="2"/>
      <c r="D118" s="2"/>
      <c r="E118" s="2"/>
      <c r="F118" s="4"/>
      <c r="G118" s="2"/>
      <c r="H118" s="2"/>
      <c r="I118" s="1">
        <f>tblAssets[[#This Row],[Current Value]]-tblAssets[[#This Row],[Purchase Value]]</f>
      </c>
      <c r="J118" s="1">
        <f>IFERROR(tblAssets[[#This Row],[Appreciation Amount]]/tblAssets[[#This Row],[Purchase Value]],0)</f>
      </c>
      <c r="K118" s="2"/>
      <c r="L118" s="2"/>
      <c r="M118" s="2"/>
    </row>
    <row r="119">
      <c r="A119" s="1"/>
      <c r="B119" s="2"/>
      <c r="C119" s="2"/>
      <c r="D119" s="2"/>
      <c r="E119" s="2"/>
      <c r="F119" s="4"/>
      <c r="G119" s="2"/>
      <c r="H119" s="2"/>
      <c r="I119" s="1">
        <f>tblAssets[[#This Row],[Current Value]]-tblAssets[[#This Row],[Purchase Value]]</f>
      </c>
      <c r="J119" s="1">
        <f>IFERROR(tblAssets[[#This Row],[Appreciation Amount]]/tblAssets[[#This Row],[Purchase Value]],0)</f>
      </c>
      <c r="K119" s="2"/>
      <c r="L119" s="2"/>
      <c r="M119" s="2"/>
    </row>
    <row r="120">
      <c r="A120" s="1"/>
      <c r="B120" s="2"/>
      <c r="C120" s="2"/>
      <c r="D120" s="2"/>
      <c r="E120" s="2"/>
      <c r="F120" s="4"/>
      <c r="G120" s="2"/>
      <c r="H120" s="2"/>
      <c r="I120" s="1">
        <f>tblAssets[[#This Row],[Current Value]]-tblAssets[[#This Row],[Purchase Value]]</f>
      </c>
      <c r="J120" s="1">
        <f>IFERROR(tblAssets[[#This Row],[Appreciation Amount]]/tblAssets[[#This Row],[Purchase Value]],0)</f>
      </c>
      <c r="K120" s="2"/>
      <c r="L120" s="2"/>
      <c r="M120" s="2"/>
    </row>
    <row r="121">
      <c r="A121" s="1"/>
      <c r="B121" s="2"/>
      <c r="C121" s="2"/>
      <c r="D121" s="2"/>
      <c r="E121" s="2"/>
      <c r="F121" s="4"/>
      <c r="G121" s="2"/>
      <c r="H121" s="2"/>
      <c r="I121" s="1">
        <f>tblAssets[[#This Row],[Current Value]]-tblAssets[[#This Row],[Purchase Value]]</f>
      </c>
      <c r="J121" s="1">
        <f>IFERROR(tblAssets[[#This Row],[Appreciation Amount]]/tblAssets[[#This Row],[Purchase Value]],0)</f>
      </c>
      <c r="K121" s="2"/>
      <c r="L121" s="2"/>
      <c r="M121" s="2"/>
    </row>
    <row r="122">
      <c r="A122" s="1"/>
      <c r="B122" s="2"/>
      <c r="C122" s="2"/>
      <c r="D122" s="2"/>
      <c r="E122" s="2"/>
      <c r="F122" s="4"/>
      <c r="G122" s="2"/>
      <c r="H122" s="2"/>
      <c r="I122" s="1">
        <f>tblAssets[[#This Row],[Current Value]]-tblAssets[[#This Row],[Purchase Value]]</f>
      </c>
      <c r="J122" s="1">
        <f>IFERROR(tblAssets[[#This Row],[Appreciation Amount]]/tblAssets[[#This Row],[Purchase Value]],0)</f>
      </c>
      <c r="K122" s="2"/>
      <c r="L122" s="2"/>
      <c r="M122" s="2"/>
    </row>
    <row r="123">
      <c r="A123" s="1"/>
      <c r="B123" s="2"/>
      <c r="C123" s="2"/>
      <c r="D123" s="2"/>
      <c r="E123" s="2"/>
      <c r="F123" s="4"/>
      <c r="G123" s="2"/>
      <c r="H123" s="2"/>
      <c r="I123" s="1">
        <f>tblAssets[[#This Row],[Current Value]]-tblAssets[[#This Row],[Purchase Value]]</f>
      </c>
      <c r="J123" s="1">
        <f>IFERROR(tblAssets[[#This Row],[Appreciation Amount]]/tblAssets[[#This Row],[Purchase Value]],0)</f>
      </c>
      <c r="K123" s="2"/>
      <c r="L123" s="2"/>
      <c r="M123" s="2"/>
    </row>
    <row r="124">
      <c r="A124" s="1"/>
      <c r="B124" s="2"/>
      <c r="C124" s="2"/>
      <c r="D124" s="2"/>
      <c r="E124" s="2"/>
      <c r="F124" s="4"/>
      <c r="G124" s="2"/>
      <c r="H124" s="2"/>
      <c r="I124" s="1">
        <f>tblAssets[[#This Row],[Current Value]]-tblAssets[[#This Row],[Purchase Value]]</f>
      </c>
      <c r="J124" s="1">
        <f>IFERROR(tblAssets[[#This Row],[Appreciation Amount]]/tblAssets[[#This Row],[Purchase Value]],0)</f>
      </c>
      <c r="K124" s="2"/>
      <c r="L124" s="2"/>
      <c r="M124" s="2"/>
    </row>
    <row r="125">
      <c r="A125" s="1"/>
      <c r="B125" s="2"/>
      <c r="C125" s="2"/>
      <c r="D125" s="2"/>
      <c r="E125" s="2"/>
      <c r="F125" s="4"/>
      <c r="G125" s="2"/>
      <c r="H125" s="2"/>
      <c r="I125" s="1">
        <f>tblAssets[[#This Row],[Current Value]]-tblAssets[[#This Row],[Purchase Value]]</f>
      </c>
      <c r="J125" s="1">
        <f>IFERROR(tblAssets[[#This Row],[Appreciation Amount]]/tblAssets[[#This Row],[Purchase Value]],0)</f>
      </c>
      <c r="K125" s="2"/>
      <c r="L125" s="2"/>
      <c r="M125" s="2"/>
    </row>
    <row r="126">
      <c r="A126" s="1"/>
      <c r="B126" s="2"/>
      <c r="C126" s="2"/>
      <c r="D126" s="2"/>
      <c r="E126" s="2"/>
      <c r="F126" s="4"/>
      <c r="G126" s="2"/>
      <c r="H126" s="2"/>
      <c r="I126" s="1">
        <f>tblAssets[[#This Row],[Current Value]]-tblAssets[[#This Row],[Purchase Value]]</f>
      </c>
      <c r="J126" s="1">
        <f>IFERROR(tblAssets[[#This Row],[Appreciation Amount]]/tblAssets[[#This Row],[Purchase Value]],0)</f>
      </c>
      <c r="K126" s="2"/>
      <c r="L126" s="2"/>
      <c r="M126" s="2"/>
    </row>
    <row r="127">
      <c r="A127" s="1"/>
      <c r="B127" s="2"/>
      <c r="C127" s="2"/>
      <c r="D127" s="2"/>
      <c r="E127" s="2"/>
      <c r="F127" s="4"/>
      <c r="G127" s="2"/>
      <c r="H127" s="2"/>
      <c r="I127" s="1">
        <f>tblAssets[[#This Row],[Current Value]]-tblAssets[[#This Row],[Purchase Value]]</f>
      </c>
      <c r="J127" s="1">
        <f>IFERROR(tblAssets[[#This Row],[Appreciation Amount]]/tblAssets[[#This Row],[Purchase Value]],0)</f>
      </c>
      <c r="K127" s="2"/>
      <c r="L127" s="2"/>
      <c r="M127" s="2"/>
    </row>
    <row r="128">
      <c r="A128" s="1"/>
      <c r="B128" s="2"/>
      <c r="C128" s="2"/>
      <c r="D128" s="2"/>
      <c r="E128" s="2"/>
      <c r="F128" s="4"/>
      <c r="G128" s="2"/>
      <c r="H128" s="2"/>
      <c r="I128" s="1">
        <f>tblAssets[[#This Row],[Current Value]]-tblAssets[[#This Row],[Purchase Value]]</f>
      </c>
      <c r="J128" s="1">
        <f>IFERROR(tblAssets[[#This Row],[Appreciation Amount]]/tblAssets[[#This Row],[Purchase Value]],0)</f>
      </c>
      <c r="K128" s="2"/>
      <c r="L128" s="2"/>
      <c r="M128" s="2"/>
    </row>
    <row r="129">
      <c r="A129" s="1"/>
      <c r="B129" s="2"/>
      <c r="C129" s="2"/>
      <c r="D129" s="2"/>
      <c r="E129" s="2"/>
      <c r="F129" s="4"/>
      <c r="G129" s="2"/>
      <c r="H129" s="2"/>
      <c r="I129" s="1">
        <f>tblAssets[[#This Row],[Current Value]]-tblAssets[[#This Row],[Purchase Value]]</f>
      </c>
      <c r="J129" s="1">
        <f>IFERROR(tblAssets[[#This Row],[Appreciation Amount]]/tblAssets[[#This Row],[Purchase Value]],0)</f>
      </c>
      <c r="K129" s="2"/>
      <c r="L129" s="2"/>
      <c r="M129" s="2"/>
    </row>
    <row r="130">
      <c r="A130" s="1"/>
      <c r="B130" s="2"/>
      <c r="C130" s="2"/>
      <c r="D130" s="2"/>
      <c r="E130" s="2"/>
      <c r="F130" s="4"/>
      <c r="G130" s="2"/>
      <c r="H130" s="2"/>
      <c r="I130" s="1">
        <f>tblAssets[[#This Row],[Current Value]]-tblAssets[[#This Row],[Purchase Value]]</f>
      </c>
      <c r="J130" s="1">
        <f>IFERROR(tblAssets[[#This Row],[Appreciation Amount]]/tblAssets[[#This Row],[Purchase Value]],0)</f>
      </c>
      <c r="K130" s="2"/>
      <c r="L130" s="2"/>
      <c r="M130" s="2"/>
    </row>
    <row r="131">
      <c r="A131" s="1"/>
      <c r="B131" s="2"/>
      <c r="C131" s="2"/>
      <c r="D131" s="2"/>
      <c r="E131" s="2"/>
      <c r="F131" s="4"/>
      <c r="G131" s="2"/>
      <c r="H131" s="2"/>
      <c r="I131" s="1">
        <f>tblAssets[[#This Row],[Current Value]]-tblAssets[[#This Row],[Purchase Value]]</f>
      </c>
      <c r="J131" s="1">
        <f>IFERROR(tblAssets[[#This Row],[Appreciation Amount]]/tblAssets[[#This Row],[Purchase Value]],0)</f>
      </c>
      <c r="K131" s="2"/>
      <c r="L131" s="2"/>
      <c r="M131" s="2"/>
    </row>
    <row r="132">
      <c r="A132" s="1"/>
      <c r="B132" s="2"/>
      <c r="C132" s="2"/>
      <c r="D132" s="2"/>
      <c r="E132" s="2"/>
      <c r="F132" s="4"/>
      <c r="G132" s="2"/>
      <c r="H132" s="2"/>
      <c r="I132" s="1">
        <f>tblAssets[[#This Row],[Current Value]]-tblAssets[[#This Row],[Purchase Value]]</f>
      </c>
      <c r="J132" s="1">
        <f>IFERROR(tblAssets[[#This Row],[Appreciation Amount]]/tblAssets[[#This Row],[Purchase Value]],0)</f>
      </c>
      <c r="K132" s="2"/>
      <c r="L132" s="2"/>
      <c r="M132" s="2"/>
    </row>
    <row r="133">
      <c r="A133" s="1"/>
      <c r="B133" s="2"/>
      <c r="C133" s="2"/>
      <c r="D133" s="2"/>
      <c r="E133" s="2"/>
      <c r="F133" s="4"/>
      <c r="G133" s="2"/>
      <c r="H133" s="2"/>
      <c r="I133" s="1">
        <f>tblAssets[[#This Row],[Current Value]]-tblAssets[[#This Row],[Purchase Value]]</f>
      </c>
      <c r="J133" s="1">
        <f>IFERROR(tblAssets[[#This Row],[Appreciation Amount]]/tblAssets[[#This Row],[Purchase Value]],0)</f>
      </c>
      <c r="K133" s="2"/>
      <c r="L133" s="2"/>
      <c r="M133" s="2"/>
    </row>
    <row r="134">
      <c r="A134" s="1"/>
      <c r="B134" s="2"/>
      <c r="C134" s="2"/>
      <c r="D134" s="2"/>
      <c r="E134" s="2"/>
      <c r="F134" s="4"/>
      <c r="G134" s="2"/>
      <c r="H134" s="2"/>
      <c r="I134" s="1">
        <f>tblAssets[[#This Row],[Current Value]]-tblAssets[[#This Row],[Purchase Value]]</f>
      </c>
      <c r="J134" s="1">
        <f>IFERROR(tblAssets[[#This Row],[Appreciation Amount]]/tblAssets[[#This Row],[Purchase Value]],0)</f>
      </c>
      <c r="K134" s="2"/>
      <c r="L134" s="2"/>
      <c r="M134" s="2"/>
    </row>
    <row r="135">
      <c r="A135" s="1"/>
      <c r="B135" s="2"/>
      <c r="C135" s="2"/>
      <c r="D135" s="2"/>
      <c r="E135" s="2"/>
      <c r="F135" s="4"/>
      <c r="G135" s="2"/>
      <c r="H135" s="2"/>
      <c r="I135" s="1">
        <f>tblAssets[[#This Row],[Current Value]]-tblAssets[[#This Row],[Purchase Value]]</f>
      </c>
      <c r="J135" s="1">
        <f>IFERROR(tblAssets[[#This Row],[Appreciation Amount]]/tblAssets[[#This Row],[Purchase Value]],0)</f>
      </c>
      <c r="K135" s="2"/>
      <c r="L135" s="2"/>
      <c r="M135" s="2"/>
    </row>
    <row r="136">
      <c r="A136" s="1"/>
      <c r="B136" s="2"/>
      <c r="C136" s="2"/>
      <c r="D136" s="2"/>
      <c r="E136" s="2"/>
      <c r="F136" s="4"/>
      <c r="G136" s="2"/>
      <c r="H136" s="2"/>
      <c r="I136" s="1">
        <f>tblAssets[[#This Row],[Current Value]]-tblAssets[[#This Row],[Purchase Value]]</f>
      </c>
      <c r="J136" s="1">
        <f>IFERROR(tblAssets[[#This Row],[Appreciation Amount]]/tblAssets[[#This Row],[Purchase Value]],0)</f>
      </c>
      <c r="K136" s="2"/>
      <c r="L136" s="2"/>
      <c r="M136" s="2"/>
    </row>
    <row r="137">
      <c r="A137" s="1"/>
      <c r="B137" s="2"/>
      <c r="C137" s="2"/>
      <c r="D137" s="2"/>
      <c r="E137" s="2"/>
      <c r="F137" s="4"/>
      <c r="G137" s="2"/>
      <c r="H137" s="2"/>
      <c r="I137" s="1">
        <f>tblAssets[[#This Row],[Current Value]]-tblAssets[[#This Row],[Purchase Value]]</f>
      </c>
      <c r="J137" s="1">
        <f>IFERROR(tblAssets[[#This Row],[Appreciation Amount]]/tblAssets[[#This Row],[Purchase Value]],0)</f>
      </c>
      <c r="K137" s="2"/>
      <c r="L137" s="2"/>
      <c r="M137" s="2"/>
    </row>
    <row r="138">
      <c r="A138" s="1"/>
      <c r="B138" s="2"/>
      <c r="C138" s="2"/>
      <c r="D138" s="2"/>
      <c r="E138" s="2"/>
      <c r="F138" s="4"/>
      <c r="G138" s="2"/>
      <c r="H138" s="2"/>
      <c r="I138" s="1">
        <f>tblAssets[[#This Row],[Current Value]]-tblAssets[[#This Row],[Purchase Value]]</f>
      </c>
      <c r="J138" s="1">
        <f>IFERROR(tblAssets[[#This Row],[Appreciation Amount]]/tblAssets[[#This Row],[Purchase Value]],0)</f>
      </c>
      <c r="K138" s="2"/>
      <c r="L138" s="2"/>
      <c r="M138" s="2"/>
    </row>
    <row r="139">
      <c r="A139" s="1"/>
      <c r="B139" s="2"/>
      <c r="C139" s="2"/>
      <c r="D139" s="2"/>
      <c r="E139" s="2"/>
      <c r="F139" s="4"/>
      <c r="G139" s="2"/>
      <c r="H139" s="2"/>
      <c r="I139" s="1">
        <f>tblAssets[[#This Row],[Current Value]]-tblAssets[[#This Row],[Purchase Value]]</f>
      </c>
      <c r="J139" s="1">
        <f>IFERROR(tblAssets[[#This Row],[Appreciation Amount]]/tblAssets[[#This Row],[Purchase Value]],0)</f>
      </c>
      <c r="K139" s="2"/>
      <c r="L139" s="2"/>
      <c r="M139" s="2"/>
    </row>
    <row r="140">
      <c r="A140" s="1"/>
      <c r="B140" s="2"/>
      <c r="C140" s="2"/>
      <c r="D140" s="2"/>
      <c r="E140" s="2"/>
      <c r="F140" s="4"/>
      <c r="G140" s="2"/>
      <c r="H140" s="2"/>
      <c r="I140" s="1">
        <f>tblAssets[[#This Row],[Current Value]]-tblAssets[[#This Row],[Purchase Value]]</f>
      </c>
      <c r="J140" s="1">
        <f>IFERROR(tblAssets[[#This Row],[Appreciation Amount]]/tblAssets[[#This Row],[Purchase Value]],0)</f>
      </c>
      <c r="K140" s="2"/>
      <c r="L140" s="2"/>
      <c r="M140" s="2"/>
    </row>
    <row r="141">
      <c r="A141" s="1"/>
      <c r="B141" s="2"/>
      <c r="C141" s="2"/>
      <c r="D141" s="2"/>
      <c r="E141" s="2"/>
      <c r="F141" s="4"/>
      <c r="G141" s="2"/>
      <c r="H141" s="2"/>
      <c r="I141" s="1">
        <f>tblAssets[[#This Row],[Current Value]]-tblAssets[[#This Row],[Purchase Value]]</f>
      </c>
      <c r="J141" s="1">
        <f>IFERROR(tblAssets[[#This Row],[Appreciation Amount]]/tblAssets[[#This Row],[Purchase Value]],0)</f>
      </c>
      <c r="K141" s="2"/>
      <c r="L141" s="2"/>
      <c r="M141" s="2"/>
    </row>
    <row r="142">
      <c r="A142" s="1"/>
      <c r="B142" s="2"/>
      <c r="C142" s="2"/>
      <c r="D142" s="2"/>
      <c r="E142" s="2"/>
      <c r="F142" s="4"/>
      <c r="G142" s="2"/>
      <c r="H142" s="2"/>
      <c r="I142" s="1">
        <f>tblAssets[[#This Row],[Current Value]]-tblAssets[[#This Row],[Purchase Value]]</f>
      </c>
      <c r="J142" s="1">
        <f>IFERROR(tblAssets[[#This Row],[Appreciation Amount]]/tblAssets[[#This Row],[Purchase Value]],0)</f>
      </c>
      <c r="K142" s="2"/>
      <c r="L142" s="2"/>
      <c r="M142" s="2"/>
    </row>
    <row r="143">
      <c r="A143" s="1"/>
      <c r="B143" s="2"/>
      <c r="C143" s="2"/>
      <c r="D143" s="2"/>
      <c r="E143" s="2"/>
      <c r="F143" s="4"/>
      <c r="G143" s="2"/>
      <c r="H143" s="2"/>
      <c r="I143" s="1">
        <f>tblAssets[[#This Row],[Current Value]]-tblAssets[[#This Row],[Purchase Value]]</f>
      </c>
      <c r="J143" s="1">
        <f>IFERROR(tblAssets[[#This Row],[Appreciation Amount]]/tblAssets[[#This Row],[Purchase Value]],0)</f>
      </c>
      <c r="K143" s="2"/>
      <c r="L143" s="2"/>
      <c r="M143" s="2"/>
    </row>
    <row r="144">
      <c r="A144" s="1"/>
      <c r="B144" s="2"/>
      <c r="C144" s="2"/>
      <c r="D144" s="2"/>
      <c r="E144" s="2"/>
      <c r="F144" s="4"/>
      <c r="G144" s="2"/>
      <c r="H144" s="2"/>
      <c r="I144" s="1">
        <f>tblAssets[[#This Row],[Current Value]]-tblAssets[[#This Row],[Purchase Value]]</f>
      </c>
      <c r="J144" s="1">
        <f>IFERROR(tblAssets[[#This Row],[Appreciation Amount]]/tblAssets[[#This Row],[Purchase Value]],0)</f>
      </c>
      <c r="K144" s="2"/>
      <c r="L144" s="2"/>
      <c r="M144" s="2"/>
    </row>
    <row r="145">
      <c r="A145" s="1"/>
      <c r="B145" s="2"/>
      <c r="C145" s="2"/>
      <c r="D145" s="2"/>
      <c r="E145" s="2"/>
      <c r="F145" s="4"/>
      <c r="G145" s="2"/>
      <c r="H145" s="2"/>
      <c r="I145" s="1">
        <f>tblAssets[[#This Row],[Current Value]]-tblAssets[[#This Row],[Purchase Value]]</f>
      </c>
      <c r="J145" s="1">
        <f>IFERROR(tblAssets[[#This Row],[Appreciation Amount]]/tblAssets[[#This Row],[Purchase Value]],0)</f>
      </c>
      <c r="K145" s="2"/>
      <c r="L145" s="2"/>
      <c r="M145" s="2"/>
    </row>
    <row r="146">
      <c r="A146" s="1"/>
      <c r="B146" s="2"/>
      <c r="C146" s="2"/>
      <c r="D146" s="2"/>
      <c r="E146" s="2"/>
      <c r="F146" s="4"/>
      <c r="G146" s="2"/>
      <c r="H146" s="2"/>
      <c r="I146" s="1">
        <f>tblAssets[[#This Row],[Current Value]]-tblAssets[[#This Row],[Purchase Value]]</f>
      </c>
      <c r="J146" s="1">
        <f>IFERROR(tblAssets[[#This Row],[Appreciation Amount]]/tblAssets[[#This Row],[Purchase Value]],0)</f>
      </c>
      <c r="K146" s="2"/>
      <c r="L146" s="2"/>
      <c r="M146" s="2"/>
    </row>
    <row r="147">
      <c r="A147" s="1"/>
      <c r="B147" s="2"/>
      <c r="C147" s="2"/>
      <c r="D147" s="2"/>
      <c r="E147" s="2"/>
      <c r="F147" s="4"/>
      <c r="G147" s="2"/>
      <c r="H147" s="2"/>
      <c r="I147" s="1">
        <f>tblAssets[[#This Row],[Current Value]]-tblAssets[[#This Row],[Purchase Value]]</f>
      </c>
      <c r="J147" s="1">
        <f>IFERROR(tblAssets[[#This Row],[Appreciation Amount]]/tblAssets[[#This Row],[Purchase Value]],0)</f>
      </c>
      <c r="K147" s="2"/>
      <c r="L147" s="2"/>
      <c r="M147" s="2"/>
    </row>
    <row r="148">
      <c r="A148" s="1"/>
      <c r="B148" s="2"/>
      <c r="C148" s="2"/>
      <c r="D148" s="2"/>
      <c r="E148" s="2"/>
      <c r="F148" s="4"/>
      <c r="G148" s="2"/>
      <c r="H148" s="2"/>
      <c r="I148" s="1">
        <f>tblAssets[[#This Row],[Current Value]]-tblAssets[[#This Row],[Purchase Value]]</f>
      </c>
      <c r="J148" s="1">
        <f>IFERROR(tblAssets[[#This Row],[Appreciation Amount]]/tblAssets[[#This Row],[Purchase Value]],0)</f>
      </c>
      <c r="K148" s="2"/>
      <c r="L148" s="2"/>
      <c r="M148" s="2"/>
    </row>
    <row r="149">
      <c r="A149" s="1"/>
      <c r="B149" s="2"/>
      <c r="C149" s="2"/>
      <c r="D149" s="2"/>
      <c r="E149" s="2"/>
      <c r="F149" s="4"/>
      <c r="G149" s="2"/>
      <c r="H149" s="2"/>
      <c r="I149" s="1">
        <f>tblAssets[[#This Row],[Current Value]]-tblAssets[[#This Row],[Purchase Value]]</f>
      </c>
      <c r="J149" s="1">
        <f>IFERROR(tblAssets[[#This Row],[Appreciation Amount]]/tblAssets[[#This Row],[Purchase Value]],0)</f>
      </c>
      <c r="K149" s="2"/>
      <c r="L149" s="2"/>
      <c r="M149" s="2"/>
    </row>
    <row r="150">
      <c r="A150" s="1"/>
      <c r="B150" s="2"/>
      <c r="C150" s="2"/>
      <c r="D150" s="2"/>
      <c r="E150" s="2"/>
      <c r="F150" s="4"/>
      <c r="G150" s="2"/>
      <c r="H150" s="2"/>
      <c r="I150" s="1">
        <f>tblAssets[[#This Row],[Current Value]]-tblAssets[[#This Row],[Purchase Value]]</f>
      </c>
      <c r="J150" s="1">
        <f>IFERROR(tblAssets[[#This Row],[Appreciation Amount]]/tblAssets[[#This Row],[Purchase Value]],0)</f>
      </c>
      <c r="K150" s="2"/>
      <c r="L150" s="2"/>
      <c r="M150" s="2"/>
    </row>
    <row r="151">
      <c r="A151" s="1"/>
      <c r="B151" s="2"/>
      <c r="C151" s="2"/>
      <c r="D151" s="2"/>
      <c r="E151" s="2"/>
      <c r="F151" s="4"/>
      <c r="G151" s="2"/>
      <c r="H151" s="2"/>
      <c r="I151" s="1">
        <f>tblAssets[[#This Row],[Current Value]]-tblAssets[[#This Row],[Purchase Value]]</f>
      </c>
      <c r="J151" s="1">
        <f>IFERROR(tblAssets[[#This Row],[Appreciation Amount]]/tblAssets[[#This Row],[Purchase Value]],0)</f>
      </c>
      <c r="K151" s="2"/>
      <c r="L151" s="2"/>
      <c r="M151" s="2"/>
    </row>
    <row r="152">
      <c r="A152" s="1"/>
      <c r="B152" s="2"/>
      <c r="C152" s="2"/>
      <c r="D152" s="2"/>
      <c r="E152" s="2"/>
      <c r="F152" s="4"/>
      <c r="G152" s="2"/>
      <c r="H152" s="2"/>
      <c r="I152" s="1">
        <f>tblAssets[[#This Row],[Current Value]]-tblAssets[[#This Row],[Purchase Value]]</f>
      </c>
      <c r="J152" s="1">
        <f>IFERROR(tblAssets[[#This Row],[Appreciation Amount]]/tblAssets[[#This Row],[Purchase Value]],0)</f>
      </c>
      <c r="K152" s="2"/>
      <c r="L152" s="2"/>
      <c r="M152" s="2"/>
    </row>
    <row r="153">
      <c r="A153" s="1"/>
      <c r="B153" s="2"/>
      <c r="C153" s="2"/>
      <c r="D153" s="2"/>
      <c r="E153" s="2"/>
      <c r="F153" s="4"/>
      <c r="G153" s="2"/>
      <c r="H153" s="2"/>
      <c r="I153" s="1">
        <f>tblAssets[[#This Row],[Current Value]]-tblAssets[[#This Row],[Purchase Value]]</f>
      </c>
      <c r="J153" s="1">
        <f>IFERROR(tblAssets[[#This Row],[Appreciation Amount]]/tblAssets[[#This Row],[Purchase Value]],0)</f>
      </c>
      <c r="K153" s="2"/>
      <c r="L153" s="2"/>
      <c r="M153" s="2"/>
    </row>
    <row r="154">
      <c r="A154" s="1"/>
      <c r="B154" s="2"/>
      <c r="C154" s="2"/>
      <c r="D154" s="2"/>
      <c r="E154" s="2"/>
      <c r="F154" s="4"/>
      <c r="G154" s="2"/>
      <c r="H154" s="2"/>
      <c r="I154" s="1">
        <f>tblAssets[[#This Row],[Current Value]]-tblAssets[[#This Row],[Purchase Value]]</f>
      </c>
      <c r="J154" s="1">
        <f>IFERROR(tblAssets[[#This Row],[Appreciation Amount]]/tblAssets[[#This Row],[Purchase Value]],0)</f>
      </c>
      <c r="K154" s="2"/>
      <c r="L154" s="2"/>
      <c r="M154" s="2"/>
    </row>
    <row r="155">
      <c r="A155" s="1"/>
      <c r="B155" s="2"/>
      <c r="C155" s="2"/>
      <c r="D155" s="2"/>
      <c r="E155" s="2"/>
      <c r="F155" s="4"/>
      <c r="G155" s="2"/>
      <c r="H155" s="2"/>
      <c r="I155" s="1">
        <f>tblAssets[[#This Row],[Current Value]]-tblAssets[[#This Row],[Purchase Value]]</f>
      </c>
      <c r="J155" s="1">
        <f>IFERROR(tblAssets[[#This Row],[Appreciation Amount]]/tblAssets[[#This Row],[Purchase Value]],0)</f>
      </c>
      <c r="K155" s="2"/>
      <c r="L155" s="2"/>
      <c r="M155" s="2"/>
    </row>
    <row r="156">
      <c r="A156" s="1"/>
      <c r="B156" s="2"/>
      <c r="C156" s="2"/>
      <c r="D156" s="2"/>
      <c r="E156" s="2"/>
      <c r="F156" s="4"/>
      <c r="G156" s="2"/>
      <c r="H156" s="2"/>
      <c r="I156" s="1">
        <f>tblAssets[[#This Row],[Current Value]]-tblAssets[[#This Row],[Purchase Value]]</f>
      </c>
      <c r="J156" s="1">
        <f>IFERROR(tblAssets[[#This Row],[Appreciation Amount]]/tblAssets[[#This Row],[Purchase Value]],0)</f>
      </c>
      <c r="K156" s="2"/>
      <c r="L156" s="2"/>
      <c r="M156" s="2"/>
    </row>
    <row r="157">
      <c r="A157" s="1"/>
      <c r="B157" s="2"/>
      <c r="C157" s="2"/>
      <c r="D157" s="2"/>
      <c r="E157" s="2"/>
      <c r="F157" s="4"/>
      <c r="G157" s="2"/>
      <c r="H157" s="2"/>
      <c r="I157" s="1">
        <f>tblAssets[[#This Row],[Current Value]]-tblAssets[[#This Row],[Purchase Value]]</f>
      </c>
      <c r="J157" s="1">
        <f>IFERROR(tblAssets[[#This Row],[Appreciation Amount]]/tblAssets[[#This Row],[Purchase Value]],0)</f>
      </c>
      <c r="K157" s="2"/>
      <c r="L157" s="2"/>
      <c r="M157" s="2"/>
    </row>
    <row r="158">
      <c r="A158" s="1"/>
      <c r="B158" s="2"/>
      <c r="C158" s="2"/>
      <c r="D158" s="2"/>
      <c r="E158" s="2"/>
      <c r="F158" s="4"/>
      <c r="G158" s="2"/>
      <c r="H158" s="2"/>
      <c r="I158" s="1">
        <f>tblAssets[[#This Row],[Current Value]]-tblAssets[[#This Row],[Purchase Value]]</f>
      </c>
      <c r="J158" s="1">
        <f>IFERROR(tblAssets[[#This Row],[Appreciation Amount]]/tblAssets[[#This Row],[Purchase Value]],0)</f>
      </c>
      <c r="K158" s="2"/>
      <c r="L158" s="2"/>
      <c r="M158" s="2"/>
    </row>
    <row r="159">
      <c r="A159" s="1"/>
      <c r="B159" s="2"/>
      <c r="C159" s="2"/>
      <c r="D159" s="2"/>
      <c r="E159" s="2"/>
      <c r="F159" s="4"/>
      <c r="G159" s="2"/>
      <c r="H159" s="2"/>
      <c r="I159" s="1">
        <f>tblAssets[[#This Row],[Current Value]]-tblAssets[[#This Row],[Purchase Value]]</f>
      </c>
      <c r="J159" s="1">
        <f>IFERROR(tblAssets[[#This Row],[Appreciation Amount]]/tblAssets[[#This Row],[Purchase Value]],0)</f>
      </c>
      <c r="K159" s="2"/>
      <c r="L159" s="2"/>
      <c r="M159" s="2"/>
    </row>
    <row r="160">
      <c r="A160" s="1"/>
      <c r="B160" s="2"/>
      <c r="C160" s="2"/>
      <c r="D160" s="2"/>
      <c r="E160" s="2"/>
      <c r="F160" s="4"/>
      <c r="G160" s="2"/>
      <c r="H160" s="2"/>
      <c r="I160" s="1">
        <f>tblAssets[[#This Row],[Current Value]]-tblAssets[[#This Row],[Purchase Value]]</f>
      </c>
      <c r="J160" s="1">
        <f>IFERROR(tblAssets[[#This Row],[Appreciation Amount]]/tblAssets[[#This Row],[Purchase Value]],0)</f>
      </c>
      <c r="K160" s="2"/>
      <c r="L160" s="2"/>
      <c r="M160" s="2"/>
    </row>
    <row r="161">
      <c r="A161" s="1"/>
      <c r="B161" s="2"/>
      <c r="C161" s="2"/>
      <c r="D161" s="2"/>
      <c r="E161" s="2"/>
      <c r="F161" s="4"/>
      <c r="G161" s="2"/>
      <c r="H161" s="2"/>
      <c r="I161" s="1">
        <f>tblAssets[[#This Row],[Current Value]]-tblAssets[[#This Row],[Purchase Value]]</f>
      </c>
      <c r="J161" s="1">
        <f>IFERROR(tblAssets[[#This Row],[Appreciation Amount]]/tblAssets[[#This Row],[Purchase Value]],0)</f>
      </c>
      <c r="K161" s="2"/>
      <c r="L161" s="2"/>
      <c r="M161" s="2"/>
    </row>
    <row r="162">
      <c r="A162" s="1"/>
      <c r="B162" s="2"/>
      <c r="C162" s="2"/>
      <c r="D162" s="2"/>
      <c r="E162" s="2"/>
      <c r="F162" s="4"/>
      <c r="G162" s="2"/>
      <c r="H162" s="2"/>
      <c r="I162" s="1">
        <f>tblAssets[[#This Row],[Current Value]]-tblAssets[[#This Row],[Purchase Value]]</f>
      </c>
      <c r="J162" s="1">
        <f>IFERROR(tblAssets[[#This Row],[Appreciation Amount]]/tblAssets[[#This Row],[Purchase Value]],0)</f>
      </c>
      <c r="K162" s="2"/>
      <c r="L162" s="2"/>
      <c r="M162" s="2"/>
    </row>
    <row r="163">
      <c r="A163" s="1"/>
      <c r="B163" s="2"/>
      <c r="C163" s="2"/>
      <c r="D163" s="2"/>
      <c r="E163" s="2"/>
      <c r="F163" s="4"/>
      <c r="G163" s="2"/>
      <c r="H163" s="2"/>
      <c r="I163" s="1">
        <f>tblAssets[[#This Row],[Current Value]]-tblAssets[[#This Row],[Purchase Value]]</f>
      </c>
      <c r="J163" s="1">
        <f>IFERROR(tblAssets[[#This Row],[Appreciation Amount]]/tblAssets[[#This Row],[Purchase Value]],0)</f>
      </c>
      <c r="K163" s="2"/>
      <c r="L163" s="2"/>
      <c r="M163" s="2"/>
    </row>
    <row r="164">
      <c r="A164" s="1"/>
      <c r="B164" s="2"/>
      <c r="C164" s="2"/>
      <c r="D164" s="2"/>
      <c r="E164" s="2"/>
      <c r="F164" s="4"/>
      <c r="G164" s="2"/>
      <c r="H164" s="2"/>
      <c r="I164" s="1">
        <f>tblAssets[[#This Row],[Current Value]]-tblAssets[[#This Row],[Purchase Value]]</f>
      </c>
      <c r="J164" s="1">
        <f>IFERROR(tblAssets[[#This Row],[Appreciation Amount]]/tblAssets[[#This Row],[Purchase Value]],0)</f>
      </c>
      <c r="K164" s="2"/>
      <c r="L164" s="2"/>
      <c r="M164" s="2"/>
    </row>
    <row r="165">
      <c r="A165" s="1"/>
      <c r="B165" s="2"/>
      <c r="C165" s="2"/>
      <c r="D165" s="2"/>
      <c r="E165" s="2"/>
      <c r="F165" s="4"/>
      <c r="G165" s="2"/>
      <c r="H165" s="2"/>
      <c r="I165" s="1">
        <f>tblAssets[[#This Row],[Current Value]]-tblAssets[[#This Row],[Purchase Value]]</f>
      </c>
      <c r="J165" s="1">
        <f>IFERROR(tblAssets[[#This Row],[Appreciation Amount]]/tblAssets[[#This Row],[Purchase Value]],0)</f>
      </c>
      <c r="K165" s="2"/>
      <c r="L165" s="2"/>
      <c r="M165" s="2"/>
    </row>
    <row r="166">
      <c r="A166" s="1"/>
      <c r="B166" s="2"/>
      <c r="C166" s="2"/>
      <c r="D166" s="2"/>
      <c r="E166" s="2"/>
      <c r="F166" s="4"/>
      <c r="G166" s="2"/>
      <c r="H166" s="2"/>
      <c r="I166" s="1">
        <f>tblAssets[[#This Row],[Current Value]]-tblAssets[[#This Row],[Purchase Value]]</f>
      </c>
      <c r="J166" s="1">
        <f>IFERROR(tblAssets[[#This Row],[Appreciation Amount]]/tblAssets[[#This Row],[Purchase Value]],0)</f>
      </c>
      <c r="K166" s="2"/>
      <c r="L166" s="2"/>
      <c r="M166" s="2"/>
    </row>
    <row r="167">
      <c r="A167" s="1"/>
      <c r="B167" s="2"/>
      <c r="C167" s="2"/>
      <c r="D167" s="2"/>
      <c r="E167" s="2"/>
      <c r="F167" s="4"/>
      <c r="G167" s="2"/>
      <c r="H167" s="2"/>
      <c r="I167" s="1">
        <f>tblAssets[[#This Row],[Current Value]]-tblAssets[[#This Row],[Purchase Value]]</f>
      </c>
      <c r="J167" s="1">
        <f>IFERROR(tblAssets[[#This Row],[Appreciation Amount]]/tblAssets[[#This Row],[Purchase Value]],0)</f>
      </c>
      <c r="K167" s="2"/>
      <c r="L167" s="2"/>
      <c r="M167" s="2"/>
    </row>
    <row r="168">
      <c r="A168" s="1"/>
      <c r="B168" s="2"/>
      <c r="C168" s="2"/>
      <c r="D168" s="2"/>
      <c r="E168" s="2"/>
      <c r="F168" s="4"/>
      <c r="G168" s="2"/>
      <c r="H168" s="2"/>
      <c r="I168" s="1">
        <f>tblAssets[[#This Row],[Current Value]]-tblAssets[[#This Row],[Purchase Value]]</f>
      </c>
      <c r="J168" s="1">
        <f>IFERROR(tblAssets[[#This Row],[Appreciation Amount]]/tblAssets[[#This Row],[Purchase Value]],0)</f>
      </c>
      <c r="K168" s="2"/>
      <c r="L168" s="2"/>
      <c r="M168" s="2"/>
    </row>
    <row r="169">
      <c r="A169" s="1"/>
      <c r="B169" s="2"/>
      <c r="C169" s="2"/>
      <c r="D169" s="2"/>
      <c r="E169" s="2"/>
      <c r="F169" s="4"/>
      <c r="G169" s="2"/>
      <c r="H169" s="2"/>
      <c r="I169" s="1">
        <f>tblAssets[[#This Row],[Current Value]]-tblAssets[[#This Row],[Purchase Value]]</f>
      </c>
      <c r="J169" s="1">
        <f>IFERROR(tblAssets[[#This Row],[Appreciation Amount]]/tblAssets[[#This Row],[Purchase Value]],0)</f>
      </c>
      <c r="K169" s="2"/>
      <c r="L169" s="2"/>
      <c r="M169" s="2"/>
    </row>
    <row r="170">
      <c r="A170" s="1"/>
      <c r="B170" s="2"/>
      <c r="C170" s="2"/>
      <c r="D170" s="2"/>
      <c r="E170" s="2"/>
      <c r="F170" s="4"/>
      <c r="G170" s="2"/>
      <c r="H170" s="2"/>
      <c r="I170" s="1">
        <f>tblAssets[[#This Row],[Current Value]]-tblAssets[[#This Row],[Purchase Value]]</f>
      </c>
      <c r="J170" s="1">
        <f>IFERROR(tblAssets[[#This Row],[Appreciation Amount]]/tblAssets[[#This Row],[Purchase Value]],0)</f>
      </c>
      <c r="K170" s="2"/>
      <c r="L170" s="2"/>
      <c r="M170" s="2"/>
    </row>
    <row r="171">
      <c r="A171" s="1"/>
      <c r="B171" s="2"/>
      <c r="C171" s="2"/>
      <c r="D171" s="2"/>
      <c r="E171" s="2"/>
      <c r="F171" s="4"/>
      <c r="G171" s="2"/>
      <c r="H171" s="2"/>
      <c r="I171" s="1">
        <f>tblAssets[[#This Row],[Current Value]]-tblAssets[[#This Row],[Purchase Value]]</f>
      </c>
      <c r="J171" s="1">
        <f>IFERROR(tblAssets[[#This Row],[Appreciation Amount]]/tblAssets[[#This Row],[Purchase Value]],0)</f>
      </c>
      <c r="K171" s="2"/>
      <c r="L171" s="2"/>
      <c r="M171" s="2"/>
    </row>
    <row r="172">
      <c r="A172" s="1"/>
      <c r="B172" s="2"/>
      <c r="C172" s="2"/>
      <c r="D172" s="2"/>
      <c r="E172" s="2"/>
      <c r="F172" s="4"/>
      <c r="G172" s="2"/>
      <c r="H172" s="2"/>
      <c r="I172" s="1">
        <f>tblAssets[[#This Row],[Current Value]]-tblAssets[[#This Row],[Purchase Value]]</f>
      </c>
      <c r="J172" s="1">
        <f>IFERROR(tblAssets[[#This Row],[Appreciation Amount]]/tblAssets[[#This Row],[Purchase Value]],0)</f>
      </c>
      <c r="K172" s="2"/>
      <c r="L172" s="2"/>
      <c r="M172" s="2"/>
    </row>
    <row r="173">
      <c r="A173" s="1"/>
      <c r="B173" s="2"/>
      <c r="C173" s="2"/>
      <c r="D173" s="2"/>
      <c r="E173" s="2"/>
      <c r="F173" s="4"/>
      <c r="G173" s="2"/>
      <c r="H173" s="2"/>
      <c r="I173" s="1">
        <f>tblAssets[[#This Row],[Current Value]]-tblAssets[[#This Row],[Purchase Value]]</f>
      </c>
      <c r="J173" s="1">
        <f>IFERROR(tblAssets[[#This Row],[Appreciation Amount]]/tblAssets[[#This Row],[Purchase Value]],0)</f>
      </c>
      <c r="K173" s="2"/>
      <c r="L173" s="2"/>
      <c r="M173" s="2"/>
    </row>
    <row r="174">
      <c r="A174" s="1"/>
      <c r="B174" s="2"/>
      <c r="C174" s="2"/>
      <c r="D174" s="2"/>
      <c r="E174" s="2"/>
      <c r="F174" s="4"/>
      <c r="G174" s="2"/>
      <c r="H174" s="2"/>
      <c r="I174" s="1">
        <f>tblAssets[[#This Row],[Current Value]]-tblAssets[[#This Row],[Purchase Value]]</f>
      </c>
      <c r="J174" s="1">
        <f>IFERROR(tblAssets[[#This Row],[Appreciation Amount]]/tblAssets[[#This Row],[Purchase Value]],0)</f>
      </c>
      <c r="K174" s="2"/>
      <c r="L174" s="2"/>
      <c r="M174" s="2"/>
    </row>
    <row r="175">
      <c r="A175" s="1"/>
      <c r="B175" s="2"/>
      <c r="C175" s="2"/>
      <c r="D175" s="2"/>
      <c r="E175" s="2"/>
      <c r="F175" s="4"/>
      <c r="G175" s="2"/>
      <c r="H175" s="2"/>
      <c r="I175" s="1">
        <f>tblAssets[[#This Row],[Current Value]]-tblAssets[[#This Row],[Purchase Value]]</f>
      </c>
      <c r="J175" s="1">
        <f>IFERROR(tblAssets[[#This Row],[Appreciation Amount]]/tblAssets[[#This Row],[Purchase Value]],0)</f>
      </c>
      <c r="K175" s="2"/>
      <c r="L175" s="2"/>
      <c r="M175" s="2"/>
    </row>
    <row r="176">
      <c r="A176" s="1"/>
      <c r="B176" s="2"/>
      <c r="C176" s="2"/>
      <c r="D176" s="2"/>
      <c r="E176" s="2"/>
      <c r="F176" s="4"/>
      <c r="G176" s="2"/>
      <c r="H176" s="2"/>
      <c r="I176" s="1">
        <f>tblAssets[[#This Row],[Current Value]]-tblAssets[[#This Row],[Purchase Value]]</f>
      </c>
      <c r="J176" s="1">
        <f>IFERROR(tblAssets[[#This Row],[Appreciation Amount]]/tblAssets[[#This Row],[Purchase Value]],0)</f>
      </c>
      <c r="K176" s="2"/>
      <c r="L176" s="2"/>
      <c r="M176" s="2"/>
    </row>
    <row r="177">
      <c r="A177" s="1"/>
      <c r="B177" s="2"/>
      <c r="C177" s="2"/>
      <c r="D177" s="2"/>
      <c r="E177" s="2"/>
      <c r="F177" s="4"/>
      <c r="G177" s="2"/>
      <c r="H177" s="2"/>
      <c r="I177" s="1">
        <f>tblAssets[[#This Row],[Current Value]]-tblAssets[[#This Row],[Purchase Value]]</f>
      </c>
      <c r="J177" s="1">
        <f>IFERROR(tblAssets[[#This Row],[Appreciation Amount]]/tblAssets[[#This Row],[Purchase Value]],0)</f>
      </c>
      <c r="K177" s="2"/>
      <c r="L177" s="2"/>
      <c r="M177" s="2"/>
    </row>
    <row r="178">
      <c r="A178" s="1"/>
      <c r="B178" s="2"/>
      <c r="C178" s="2"/>
      <c r="D178" s="2"/>
      <c r="E178" s="2"/>
      <c r="F178" s="4"/>
      <c r="G178" s="2"/>
      <c r="H178" s="2"/>
      <c r="I178" s="1">
        <f>tblAssets[[#This Row],[Current Value]]-tblAssets[[#This Row],[Purchase Value]]</f>
      </c>
      <c r="J178" s="1">
        <f>IFERROR(tblAssets[[#This Row],[Appreciation Amount]]/tblAssets[[#This Row],[Purchase Value]],0)</f>
      </c>
      <c r="K178" s="2"/>
      <c r="L178" s="2"/>
      <c r="M178" s="2"/>
    </row>
    <row r="179">
      <c r="A179" s="1"/>
      <c r="B179" s="2"/>
      <c r="C179" s="2"/>
      <c r="D179" s="2"/>
      <c r="E179" s="2"/>
      <c r="F179" s="4"/>
      <c r="G179" s="2"/>
      <c r="H179" s="2"/>
      <c r="I179" s="1">
        <f>tblAssets[[#This Row],[Current Value]]-tblAssets[[#This Row],[Purchase Value]]</f>
      </c>
      <c r="J179" s="1">
        <f>IFERROR(tblAssets[[#This Row],[Appreciation Amount]]/tblAssets[[#This Row],[Purchase Value]],0)</f>
      </c>
      <c r="K179" s="2"/>
      <c r="L179" s="2"/>
      <c r="M179" s="2"/>
    </row>
    <row r="180">
      <c r="A180" s="1"/>
      <c r="B180" s="2"/>
      <c r="C180" s="2"/>
      <c r="D180" s="2"/>
      <c r="E180" s="2"/>
      <c r="F180" s="4"/>
      <c r="G180" s="2"/>
      <c r="H180" s="2"/>
      <c r="I180" s="1">
        <f>tblAssets[[#This Row],[Current Value]]-tblAssets[[#This Row],[Purchase Value]]</f>
      </c>
      <c r="J180" s="1">
        <f>IFERROR(tblAssets[[#This Row],[Appreciation Amount]]/tblAssets[[#This Row],[Purchase Value]],0)</f>
      </c>
      <c r="K180" s="2"/>
      <c r="L180" s="2"/>
      <c r="M180" s="2"/>
    </row>
    <row r="181">
      <c r="A181" s="1"/>
      <c r="B181" s="2"/>
      <c r="C181" s="2"/>
      <c r="D181" s="2"/>
      <c r="E181" s="2"/>
      <c r="F181" s="4"/>
      <c r="G181" s="2"/>
      <c r="H181" s="2"/>
      <c r="I181" s="1">
        <f>tblAssets[[#This Row],[Current Value]]-tblAssets[[#This Row],[Purchase Value]]</f>
      </c>
      <c r="J181" s="1">
        <f>IFERROR(tblAssets[[#This Row],[Appreciation Amount]]/tblAssets[[#This Row],[Purchase Value]],0)</f>
      </c>
      <c r="K181" s="2"/>
      <c r="L181" s="2"/>
      <c r="M181" s="2"/>
    </row>
    <row r="182">
      <c r="A182" s="1"/>
      <c r="B182" s="2"/>
      <c r="C182" s="2"/>
      <c r="D182" s="2"/>
      <c r="E182" s="2"/>
      <c r="F182" s="4"/>
      <c r="G182" s="2"/>
      <c r="H182" s="2"/>
      <c r="I182" s="1">
        <f>tblAssets[[#This Row],[Current Value]]-tblAssets[[#This Row],[Purchase Value]]</f>
      </c>
      <c r="J182" s="1">
        <f>IFERROR(tblAssets[[#This Row],[Appreciation Amount]]/tblAssets[[#This Row],[Purchase Value]],0)</f>
      </c>
      <c r="K182" s="2"/>
      <c r="L182" s="2"/>
      <c r="M182" s="2"/>
    </row>
    <row r="183">
      <c r="A183" s="1"/>
      <c r="B183" s="2"/>
      <c r="C183" s="2"/>
      <c r="D183" s="2"/>
      <c r="E183" s="2"/>
      <c r="F183" s="4"/>
      <c r="G183" s="2"/>
      <c r="H183" s="2"/>
      <c r="I183" s="1">
        <f>tblAssets[[#This Row],[Current Value]]-tblAssets[[#This Row],[Purchase Value]]</f>
      </c>
      <c r="J183" s="1">
        <f>IFERROR(tblAssets[[#This Row],[Appreciation Amount]]/tblAssets[[#This Row],[Purchase Value]],0)</f>
      </c>
      <c r="K183" s="2"/>
      <c r="L183" s="2"/>
      <c r="M183" s="2"/>
    </row>
    <row r="184">
      <c r="A184" s="1"/>
      <c r="B184" s="2"/>
      <c r="C184" s="2"/>
      <c r="D184" s="2"/>
      <c r="E184" s="2"/>
      <c r="F184" s="4"/>
      <c r="G184" s="2"/>
      <c r="H184" s="2"/>
      <c r="I184" s="1">
        <f>tblAssets[[#This Row],[Current Value]]-tblAssets[[#This Row],[Purchase Value]]</f>
      </c>
      <c r="J184" s="1">
        <f>IFERROR(tblAssets[[#This Row],[Appreciation Amount]]/tblAssets[[#This Row],[Purchase Value]],0)</f>
      </c>
      <c r="K184" s="2"/>
      <c r="L184" s="2"/>
      <c r="M184" s="2"/>
    </row>
    <row r="185">
      <c r="A185" s="1"/>
      <c r="B185" s="2"/>
      <c r="C185" s="2"/>
      <c r="D185" s="2"/>
      <c r="E185" s="2"/>
      <c r="F185" s="4"/>
      <c r="G185" s="2"/>
      <c r="H185" s="2"/>
      <c r="I185" s="1">
        <f>tblAssets[[#This Row],[Current Value]]-tblAssets[[#This Row],[Purchase Value]]</f>
      </c>
      <c r="J185" s="1">
        <f>IFERROR(tblAssets[[#This Row],[Appreciation Amount]]/tblAssets[[#This Row],[Purchase Value]],0)</f>
      </c>
      <c r="K185" s="2"/>
      <c r="L185" s="2"/>
      <c r="M185" s="2"/>
    </row>
    <row r="186">
      <c r="A186" s="1"/>
      <c r="B186" s="2"/>
      <c r="C186" s="2"/>
      <c r="D186" s="2"/>
      <c r="E186" s="2"/>
      <c r="F186" s="4"/>
      <c r="G186" s="2"/>
      <c r="H186" s="2"/>
      <c r="I186" s="1">
        <f>tblAssets[[#This Row],[Current Value]]-tblAssets[[#This Row],[Purchase Value]]</f>
      </c>
      <c r="J186" s="1">
        <f>IFERROR(tblAssets[[#This Row],[Appreciation Amount]]/tblAssets[[#This Row],[Purchase Value]],0)</f>
      </c>
      <c r="K186" s="2"/>
      <c r="L186" s="2"/>
      <c r="M186" s="2"/>
    </row>
    <row r="187">
      <c r="A187" s="1"/>
      <c r="B187" s="2"/>
      <c r="C187" s="2"/>
      <c r="D187" s="2"/>
      <c r="E187" s="2"/>
      <c r="F187" s="4"/>
      <c r="G187" s="2"/>
      <c r="H187" s="2"/>
      <c r="I187" s="1">
        <f>tblAssets[[#This Row],[Current Value]]-tblAssets[[#This Row],[Purchase Value]]</f>
      </c>
      <c r="J187" s="1">
        <f>IFERROR(tblAssets[[#This Row],[Appreciation Amount]]/tblAssets[[#This Row],[Purchase Value]],0)</f>
      </c>
      <c r="K187" s="2"/>
      <c r="L187" s="2"/>
      <c r="M187" s="2"/>
    </row>
    <row r="188">
      <c r="A188" s="1"/>
      <c r="B188" s="2"/>
      <c r="C188" s="2"/>
      <c r="D188" s="2"/>
      <c r="E188" s="2"/>
      <c r="F188" s="4"/>
      <c r="G188" s="2"/>
      <c r="H188" s="2"/>
      <c r="I188" s="1">
        <f>tblAssets[[#This Row],[Current Value]]-tblAssets[[#This Row],[Purchase Value]]</f>
      </c>
      <c r="J188" s="1">
        <f>IFERROR(tblAssets[[#This Row],[Appreciation Amount]]/tblAssets[[#This Row],[Purchase Value]],0)</f>
      </c>
      <c r="K188" s="2"/>
      <c r="L188" s="2"/>
      <c r="M188" s="2"/>
    </row>
    <row r="189">
      <c r="A189" s="1"/>
      <c r="B189" s="2"/>
      <c r="C189" s="2"/>
      <c r="D189" s="2"/>
      <c r="E189" s="2"/>
      <c r="F189" s="4"/>
      <c r="G189" s="2"/>
      <c r="H189" s="2"/>
      <c r="I189" s="1">
        <f>tblAssets[[#This Row],[Current Value]]-tblAssets[[#This Row],[Purchase Value]]</f>
      </c>
      <c r="J189" s="1">
        <f>IFERROR(tblAssets[[#This Row],[Appreciation Amount]]/tblAssets[[#This Row],[Purchase Value]],0)</f>
      </c>
      <c r="K189" s="2"/>
      <c r="L189" s="2"/>
      <c r="M189" s="2"/>
    </row>
    <row r="190">
      <c r="A190" s="1"/>
      <c r="B190" s="2"/>
      <c r="C190" s="2"/>
      <c r="D190" s="2"/>
      <c r="E190" s="2"/>
      <c r="F190" s="4"/>
      <c r="G190" s="2"/>
      <c r="H190" s="2"/>
      <c r="I190" s="1">
        <f>tblAssets[[#This Row],[Current Value]]-tblAssets[[#This Row],[Purchase Value]]</f>
      </c>
      <c r="J190" s="1">
        <f>IFERROR(tblAssets[[#This Row],[Appreciation Amount]]/tblAssets[[#This Row],[Purchase Value]],0)</f>
      </c>
      <c r="K190" s="2"/>
      <c r="L190" s="2"/>
      <c r="M190" s="2"/>
    </row>
    <row r="191">
      <c r="A191" s="1"/>
      <c r="B191" s="2"/>
      <c r="C191" s="2"/>
      <c r="D191" s="2"/>
      <c r="E191" s="2"/>
      <c r="F191" s="4"/>
      <c r="G191" s="2"/>
      <c r="H191" s="2"/>
      <c r="I191" s="1">
        <f>tblAssets[[#This Row],[Current Value]]-tblAssets[[#This Row],[Purchase Value]]</f>
      </c>
      <c r="J191" s="1">
        <f>IFERROR(tblAssets[[#This Row],[Appreciation Amount]]/tblAssets[[#This Row],[Purchase Value]],0)</f>
      </c>
      <c r="K191" s="2"/>
      <c r="L191" s="2"/>
      <c r="M191" s="2"/>
    </row>
    <row r="192">
      <c r="A192" s="1"/>
      <c r="B192" s="2"/>
      <c r="C192" s="2"/>
      <c r="D192" s="2"/>
      <c r="E192" s="2"/>
      <c r="F192" s="4"/>
      <c r="G192" s="2"/>
      <c r="H192" s="2"/>
      <c r="I192" s="1">
        <f>tblAssets[[#This Row],[Current Value]]-tblAssets[[#This Row],[Purchase Value]]</f>
      </c>
      <c r="J192" s="1">
        <f>IFERROR(tblAssets[[#This Row],[Appreciation Amount]]/tblAssets[[#This Row],[Purchase Value]],0)</f>
      </c>
      <c r="K192" s="2"/>
      <c r="L192" s="2"/>
      <c r="M192" s="2"/>
    </row>
    <row r="193">
      <c r="A193" s="1"/>
      <c r="B193" s="2"/>
      <c r="C193" s="2"/>
      <c r="D193" s="2"/>
      <c r="E193" s="2"/>
      <c r="F193" s="4"/>
      <c r="G193" s="2"/>
      <c r="H193" s="2"/>
      <c r="I193" s="1">
        <f>tblAssets[[#This Row],[Current Value]]-tblAssets[[#This Row],[Purchase Value]]</f>
      </c>
      <c r="J193" s="1">
        <f>IFERROR(tblAssets[[#This Row],[Appreciation Amount]]/tblAssets[[#This Row],[Purchase Value]],0)</f>
      </c>
      <c r="K193" s="2"/>
      <c r="L193" s="2"/>
      <c r="M193" s="2"/>
    </row>
    <row r="194">
      <c r="A194" s="1"/>
      <c r="B194" s="2"/>
      <c r="C194" s="2"/>
      <c r="D194" s="2"/>
      <c r="E194" s="2"/>
      <c r="F194" s="4"/>
      <c r="G194" s="2"/>
      <c r="H194" s="2"/>
      <c r="I194" s="1">
        <f>tblAssets[[#This Row],[Current Value]]-tblAssets[[#This Row],[Purchase Value]]</f>
      </c>
      <c r="J194" s="1">
        <f>IFERROR(tblAssets[[#This Row],[Appreciation Amount]]/tblAssets[[#This Row],[Purchase Value]],0)</f>
      </c>
      <c r="K194" s="2"/>
      <c r="L194" s="2"/>
      <c r="M194" s="2"/>
    </row>
    <row r="195">
      <c r="A195" s="1"/>
      <c r="B195" s="2"/>
      <c r="C195" s="2"/>
      <c r="D195" s="2"/>
      <c r="E195" s="2"/>
      <c r="F195" s="4"/>
      <c r="G195" s="2"/>
      <c r="H195" s="2"/>
      <c r="I195" s="1">
        <f>tblAssets[[#This Row],[Current Value]]-tblAssets[[#This Row],[Purchase Value]]</f>
      </c>
      <c r="J195" s="1">
        <f>IFERROR(tblAssets[[#This Row],[Appreciation Amount]]/tblAssets[[#This Row],[Purchase Value]],0)</f>
      </c>
      <c r="K195" s="2"/>
      <c r="L195" s="2"/>
      <c r="M195" s="2"/>
    </row>
    <row r="196">
      <c r="A196" s="1"/>
      <c r="B196" s="2"/>
      <c r="C196" s="2"/>
      <c r="D196" s="2"/>
      <c r="E196" s="2"/>
      <c r="F196" s="4"/>
      <c r="G196" s="2"/>
      <c r="H196" s="2"/>
      <c r="I196" s="1">
        <f>tblAssets[[#This Row],[Current Value]]-tblAssets[[#This Row],[Purchase Value]]</f>
      </c>
      <c r="J196" s="1">
        <f>IFERROR(tblAssets[[#This Row],[Appreciation Amount]]/tblAssets[[#This Row],[Purchase Value]],0)</f>
      </c>
      <c r="K196" s="2"/>
      <c r="L196" s="2"/>
      <c r="M196" s="2"/>
    </row>
    <row r="197">
      <c r="A197" s="1"/>
      <c r="B197" s="2"/>
      <c r="C197" s="2"/>
      <c r="D197" s="2"/>
      <c r="E197" s="2"/>
      <c r="F197" s="4"/>
      <c r="G197" s="2"/>
      <c r="H197" s="2"/>
      <c r="I197" s="1">
        <f>tblAssets[[#This Row],[Current Value]]-tblAssets[[#This Row],[Purchase Value]]</f>
      </c>
      <c r="J197" s="1">
        <f>IFERROR(tblAssets[[#This Row],[Appreciation Amount]]/tblAssets[[#This Row],[Purchase Value]],0)</f>
      </c>
      <c r="K197" s="2"/>
      <c r="L197" s="2"/>
      <c r="M197" s="2"/>
    </row>
    <row r="198">
      <c r="A198" s="1"/>
      <c r="B198" s="2"/>
      <c r="C198" s="2"/>
      <c r="D198" s="2"/>
      <c r="E198" s="2"/>
      <c r="F198" s="4"/>
      <c r="G198" s="2"/>
      <c r="H198" s="2"/>
      <c r="I198" s="1">
        <f>tblAssets[[#This Row],[Current Value]]-tblAssets[[#This Row],[Purchase Value]]</f>
      </c>
      <c r="J198" s="1">
        <f>IFERROR(tblAssets[[#This Row],[Appreciation Amount]]/tblAssets[[#This Row],[Purchase Value]],0)</f>
      </c>
      <c r="K198" s="2"/>
      <c r="L198" s="2"/>
      <c r="M198" s="2"/>
    </row>
    <row r="199">
      <c r="A199" s="1"/>
      <c r="B199" s="2"/>
      <c r="C199" s="2"/>
      <c r="D199" s="2"/>
      <c r="E199" s="2"/>
      <c r="F199" s="4"/>
      <c r="G199" s="2"/>
      <c r="H199" s="2"/>
      <c r="I199" s="1">
        <f>tblAssets[[#This Row],[Current Value]]-tblAssets[[#This Row],[Purchase Value]]</f>
      </c>
      <c r="J199" s="1">
        <f>IFERROR(tblAssets[[#This Row],[Appreciation Amount]]/tblAssets[[#This Row],[Purchase Value]],0)</f>
      </c>
      <c r="K199" s="2"/>
      <c r="L199" s="2"/>
      <c r="M199" s="2"/>
    </row>
    <row r="200">
      <c r="A200" s="1"/>
      <c r="B200" s="2"/>
      <c r="C200" s="2"/>
      <c r="D200" s="2"/>
      <c r="E200" s="2"/>
      <c r="F200" s="4"/>
      <c r="G200" s="2"/>
      <c r="H200" s="2"/>
      <c r="I200" s="1">
        <f>tblAssets[[#This Row],[Current Value]]-tblAssets[[#This Row],[Purchase Value]]</f>
      </c>
      <c r="J200" s="1">
        <f>IFERROR(tblAssets[[#This Row],[Appreciation Amount]]/tblAssets[[#This Row],[Purchase Value]],0)</f>
      </c>
      <c r="K200" s="2"/>
      <c r="L200" s="2"/>
      <c r="M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D2:D200">
      <formula1>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rngOwnershipType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7" width="14" customWidth="1"/>
    <col min="8" max="8" width="14" customWidth="1"/>
    <col min="9" max="9" width="16" customWidth="1"/>
    <col min="10" max="10" width="12" customWidth="1"/>
    <col min="11" max="11" width="14" customWidth="1"/>
    <col min="12" max="12" width="14" customWidth="1"/>
    <col min="13" max="13" width="24" customWidth="1"/>
    <col min="14" max="14" width="12" customWidth="1"/>
    <col min="15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>
      <c r="A2" s="1" t="s">
        <v>467</v>
      </c>
      <c r="B2" s="2" t="s">
        <v>206</v>
      </c>
      <c r="C2" s="2" t="s">
        <v>206</v>
      </c>
      <c r="D2" s="2" t="s">
        <v>423</v>
      </c>
      <c r="E2" s="2">
        <v>200000</v>
      </c>
      <c r="F2" s="2">
        <v>145000</v>
      </c>
      <c r="G2" s="2">
        <v>0.145</v>
      </c>
      <c r="H2" s="2">
        <v>8500</v>
      </c>
      <c r="I2" s="2" t="s">
        <v>104</v>
      </c>
      <c r="J2" s="2">
        <v>5</v>
      </c>
      <c r="K2" s="4">
        <v>45662</v>
      </c>
      <c r="L2" s="4">
        <v>46392</v>
      </c>
      <c r="M2" s="2" t="s">
        <v>422</v>
      </c>
      <c r="N2" s="2" t="s">
        <v>122</v>
      </c>
      <c r="O2" s="2" t="s">
        <v>111</v>
      </c>
      <c r="P2" s="2" t="s">
        <v>468</v>
      </c>
    </row>
    <row r="3">
      <c r="A3" s="1" t="s">
        <v>469</v>
      </c>
      <c r="B3" s="2" t="s">
        <v>470</v>
      </c>
      <c r="C3" s="2" t="s">
        <v>208</v>
      </c>
      <c r="D3" s="2" t="s">
        <v>423</v>
      </c>
      <c r="E3" s="2">
        <v>120000</v>
      </c>
      <c r="F3" s="2">
        <v>72000</v>
      </c>
      <c r="G3" s="2">
        <v>0.11</v>
      </c>
      <c r="H3" s="2">
        <v>4200</v>
      </c>
      <c r="I3" s="2" t="s">
        <v>104</v>
      </c>
      <c r="J3" s="2">
        <v>8</v>
      </c>
      <c r="K3" s="4">
        <v>45724</v>
      </c>
      <c r="L3" s="4">
        <v>46454</v>
      </c>
      <c r="M3" s="2" t="s">
        <v>422</v>
      </c>
      <c r="N3" s="2" t="s">
        <v>122</v>
      </c>
      <c r="O3" s="2" t="s">
        <v>111</v>
      </c>
      <c r="P3" s="2" t="s">
        <v>471</v>
      </c>
    </row>
    <row r="4">
      <c r="A4" s="1" t="s">
        <v>472</v>
      </c>
      <c r="B4" s="2" t="s">
        <v>473</v>
      </c>
      <c r="C4" s="2" t="s">
        <v>91</v>
      </c>
      <c r="D4" s="2" t="s">
        <v>435</v>
      </c>
      <c r="E4" s="2">
        <v>35000</v>
      </c>
      <c r="F4" s="2">
        <v>18000</v>
      </c>
      <c r="G4" s="2">
        <v>0.18</v>
      </c>
      <c r="H4" s="2">
        <v>3000</v>
      </c>
      <c r="I4" s="2" t="s">
        <v>104</v>
      </c>
      <c r="J4" s="2">
        <v>12</v>
      </c>
      <c r="K4" s="4">
        <v>46034</v>
      </c>
      <c r="L4" s="4">
        <v>46368</v>
      </c>
      <c r="M4" s="2" t="s">
        <v>422</v>
      </c>
      <c r="N4" s="2" t="s">
        <v>122</v>
      </c>
      <c r="O4" s="2" t="s">
        <v>111</v>
      </c>
      <c r="P4" s="2" t="s">
        <v>474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promptTitle="Select a value" prompt="Choose from the list." showErrorMessage="1" errorStyle="stop" errorTitle="Invalid value" error="Select a value from the list." sqref="C2:C200">
      <formula1>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N2:N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O2:O200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5" width="20" customWidth="1"/>
    <col min="6" max="6" width="20" customWidth="1"/>
    <col min="7" max="7" width="12" customWidth="1"/>
    <col min="8" max="8" width="14" customWidth="1"/>
    <col min="9" max="9" width="10" customWidth="1"/>
    <col min="10" max="10" width="14" customWidth="1"/>
    <col min="11" max="11" width="14" customWidth="1"/>
    <col min="12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>
      <c r="A2" s="1" t="s">
        <v>475</v>
      </c>
      <c r="B2" s="2" t="s">
        <v>375</v>
      </c>
      <c r="C2" s="2" t="s">
        <v>375</v>
      </c>
      <c r="D2" s="2"/>
      <c r="E2" s="2"/>
      <c r="F2" s="2" t="s">
        <v>422</v>
      </c>
      <c r="G2" s="2">
        <v>18000</v>
      </c>
      <c r="H2" s="2" t="s">
        <v>104</v>
      </c>
      <c r="I2" s="2">
        <v>1</v>
      </c>
      <c r="J2" s="4">
        <v>46023</v>
      </c>
      <c r="K2" s="4"/>
      <c r="L2" s="2" t="s">
        <v>122</v>
      </c>
      <c r="M2" s="2" t="s">
        <v>111</v>
      </c>
      <c r="N2" s="2" t="s">
        <v>476</v>
      </c>
    </row>
    <row r="3">
      <c r="A3" s="1" t="s">
        <v>477</v>
      </c>
      <c r="B3" s="2" t="s">
        <v>478</v>
      </c>
      <c r="C3" s="2" t="s">
        <v>479</v>
      </c>
      <c r="D3" s="2"/>
      <c r="E3" s="2"/>
      <c r="F3" s="2" t="s">
        <v>422</v>
      </c>
      <c r="G3" s="2">
        <v>2200</v>
      </c>
      <c r="H3" s="2" t="s">
        <v>104</v>
      </c>
      <c r="I3" s="2">
        <v>10</v>
      </c>
      <c r="J3" s="4">
        <v>46023</v>
      </c>
      <c r="K3" s="4"/>
      <c r="L3" s="2" t="s">
        <v>122</v>
      </c>
      <c r="M3" s="2" t="s">
        <v>111</v>
      </c>
      <c r="N3" s="2" t="s">
        <v>480</v>
      </c>
    </row>
    <row r="4">
      <c r="A4" s="1" t="s">
        <v>481</v>
      </c>
      <c r="B4" s="2" t="s">
        <v>482</v>
      </c>
      <c r="C4" s="2" t="s">
        <v>479</v>
      </c>
      <c r="D4" s="2"/>
      <c r="E4" s="2"/>
      <c r="F4" s="2" t="s">
        <v>422</v>
      </c>
      <c r="G4" s="2">
        <v>999</v>
      </c>
      <c r="H4" s="2" t="s">
        <v>104</v>
      </c>
      <c r="I4" s="2">
        <v>7</v>
      </c>
      <c r="J4" s="4">
        <v>46023</v>
      </c>
      <c r="K4" s="4"/>
      <c r="L4" s="2" t="s">
        <v>122</v>
      </c>
      <c r="M4" s="2" t="s">
        <v>111</v>
      </c>
      <c r="N4" s="2" t="s">
        <v>483</v>
      </c>
    </row>
    <row r="5">
      <c r="A5" s="1" t="s">
        <v>484</v>
      </c>
      <c r="B5" s="2" t="s">
        <v>485</v>
      </c>
      <c r="C5" s="2" t="s">
        <v>479</v>
      </c>
      <c r="D5" s="2"/>
      <c r="E5" s="2"/>
      <c r="F5" s="2" t="s">
        <v>422</v>
      </c>
      <c r="G5" s="2">
        <v>599</v>
      </c>
      <c r="H5" s="2" t="s">
        <v>104</v>
      </c>
      <c r="I5" s="2">
        <v>3</v>
      </c>
      <c r="J5" s="4">
        <v>46023</v>
      </c>
      <c r="K5" s="4"/>
      <c r="L5" s="2" t="s">
        <v>122</v>
      </c>
      <c r="M5" s="2" t="s">
        <v>111</v>
      </c>
      <c r="N5" s="2" t="s">
        <v>486</v>
      </c>
    </row>
    <row r="6">
      <c r="A6" s="1" t="s">
        <v>487</v>
      </c>
      <c r="B6" s="2" t="s">
        <v>488</v>
      </c>
      <c r="C6" s="2" t="s">
        <v>489</v>
      </c>
      <c r="D6" s="2"/>
      <c r="E6" s="2"/>
      <c r="F6" s="2" t="s">
        <v>422</v>
      </c>
      <c r="G6" s="2">
        <v>119</v>
      </c>
      <c r="H6" s="2" t="s">
        <v>104</v>
      </c>
      <c r="I6" s="2">
        <v>15</v>
      </c>
      <c r="J6" s="4">
        <v>46023</v>
      </c>
      <c r="K6" s="4"/>
      <c r="L6" s="2" t="s">
        <v>122</v>
      </c>
      <c r="M6" s="2" t="s">
        <v>111</v>
      </c>
      <c r="N6" s="2" t="s">
        <v>490</v>
      </c>
    </row>
    <row r="7">
      <c r="A7" s="1" t="s">
        <v>491</v>
      </c>
      <c r="B7" s="2" t="s">
        <v>492</v>
      </c>
      <c r="C7" s="2" t="s">
        <v>489</v>
      </c>
      <c r="D7" s="2"/>
      <c r="E7" s="2"/>
      <c r="F7" s="2" t="s">
        <v>422</v>
      </c>
      <c r="G7" s="2">
        <v>649</v>
      </c>
      <c r="H7" s="2" t="s">
        <v>104</v>
      </c>
      <c r="I7" s="2">
        <v>16</v>
      </c>
      <c r="J7" s="4">
        <v>46023</v>
      </c>
      <c r="K7" s="4"/>
      <c r="L7" s="2" t="s">
        <v>122</v>
      </c>
      <c r="M7" s="2" t="s">
        <v>111</v>
      </c>
      <c r="N7" s="2" t="s">
        <v>493</v>
      </c>
    </row>
    <row r="8">
      <c r="A8" s="1" t="s">
        <v>494</v>
      </c>
      <c r="B8" s="2" t="s">
        <v>186</v>
      </c>
      <c r="C8" s="2" t="s">
        <v>186</v>
      </c>
      <c r="D8" s="2"/>
      <c r="E8" s="2" t="s">
        <v>495</v>
      </c>
      <c r="F8" s="2" t="s">
        <v>426</v>
      </c>
      <c r="G8" s="2">
        <v>10000</v>
      </c>
      <c r="H8" s="2" t="s">
        <v>104</v>
      </c>
      <c r="I8" s="2">
        <v>5</v>
      </c>
      <c r="J8" s="4">
        <v>46027</v>
      </c>
      <c r="K8" s="4"/>
      <c r="L8" s="2" t="s">
        <v>122</v>
      </c>
      <c r="M8" s="2" t="s">
        <v>111</v>
      </c>
      <c r="N8" s="2" t="s">
        <v>496</v>
      </c>
    </row>
    <row r="9">
      <c r="A9" s="1" t="s">
        <v>497</v>
      </c>
      <c r="B9" s="2" t="s">
        <v>402</v>
      </c>
      <c r="C9" s="2" t="s">
        <v>402</v>
      </c>
      <c r="D9" s="2"/>
      <c r="E9" s="2"/>
      <c r="F9" s="2" t="s">
        <v>422</v>
      </c>
      <c r="G9" s="2">
        <v>3500</v>
      </c>
      <c r="H9" s="2" t="s">
        <v>104</v>
      </c>
      <c r="I9" s="2">
        <v>20</v>
      </c>
      <c r="J9" s="4">
        <v>46023</v>
      </c>
      <c r="K9" s="4"/>
      <c r="L9" s="2" t="s">
        <v>122</v>
      </c>
      <c r="M9" s="2" t="s">
        <v>111</v>
      </c>
      <c r="N9" s="2" t="s">
        <v>498</v>
      </c>
    </row>
    <row r="10">
      <c r="A10" s="1" t="s">
        <v>499</v>
      </c>
      <c r="B10" s="2" t="s">
        <v>500</v>
      </c>
      <c r="C10" s="2" t="s">
        <v>501</v>
      </c>
      <c r="D10" s="2"/>
      <c r="E10" s="2"/>
      <c r="F10" s="2" t="s">
        <v>422</v>
      </c>
      <c r="G10" s="2">
        <v>1500</v>
      </c>
      <c r="H10" s="2" t="s">
        <v>104</v>
      </c>
      <c r="I10" s="2">
        <v>2</v>
      </c>
      <c r="J10" s="4">
        <v>46023</v>
      </c>
      <c r="K10" s="4"/>
      <c r="L10" s="2" t="s">
        <v>122</v>
      </c>
      <c r="M10" s="2" t="s">
        <v>111</v>
      </c>
      <c r="N10" s="2" t="s">
        <v>502</v>
      </c>
    </row>
    <row r="11">
      <c r="A11" s="1" t="s">
        <v>503</v>
      </c>
      <c r="B11" s="2" t="s">
        <v>504</v>
      </c>
      <c r="C11" s="2" t="s">
        <v>489</v>
      </c>
      <c r="D11" s="2"/>
      <c r="E11" s="2"/>
      <c r="F11" s="2" t="s">
        <v>422</v>
      </c>
      <c r="G11" s="2">
        <v>299</v>
      </c>
      <c r="H11" s="2" t="s">
        <v>104</v>
      </c>
      <c r="I11" s="2">
        <v>18</v>
      </c>
      <c r="J11" s="4">
        <v>46023</v>
      </c>
      <c r="K11" s="4"/>
      <c r="L11" s="2" t="s">
        <v>122</v>
      </c>
      <c r="M11" s="2" t="s">
        <v>111</v>
      </c>
      <c r="N11" s="2" t="s">
        <v>505</v>
      </c>
    </row>
    <row r="12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D2:D200">
      <formula1>rngLiabilities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rngGoals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4" customWidth="1"/>
    <col min="3" max="3" width="18" customWidth="1"/>
    <col min="4" max="4" width="18" customWidth="1"/>
    <col min="5" max="5" width="20" customWidth="1"/>
    <col min="6" max="6" width="20" customWidth="1"/>
    <col min="7" max="7" width="16" customWidth="1"/>
    <col min="8" max="8" width="20" customWidth="1"/>
    <col min="9" max="9" width="12" customWidth="1"/>
    <col min="10" max="10" width="16" customWidth="1"/>
    <col min="11" max="11" width="18" customWidth="1"/>
    <col min="12" max="12" width="20" customWidth="1"/>
    <col min="13" max="13" width="18" customWidth="1"/>
  </cols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>
      <c r="A2" s="1" t="s">
        <v>522</v>
      </c>
      <c r="B2" s="4">
        <v>46295</v>
      </c>
      <c r="C2" s="2" t="s">
        <v>95</v>
      </c>
      <c r="D2" s="2" t="s">
        <v>422</v>
      </c>
      <c r="E2" s="2" t="s">
        <v>21</v>
      </c>
      <c r="F2" s="2" t="s">
        <v>410</v>
      </c>
      <c r="G2" s="2" t="s">
        <v>410</v>
      </c>
      <c r="H2" s="2" t="s">
        <v>444</v>
      </c>
      <c r="I2" s="2">
        <v>85000</v>
      </c>
      <c r="J2" s="2" t="s">
        <v>87</v>
      </c>
      <c r="K2" s="2" t="s">
        <v>114</v>
      </c>
      <c r="L2" s="2" t="s">
        <v>523</v>
      </c>
      <c r="M2" s="1"/>
    </row>
    <row r="3">
      <c r="A3" s="1" t="s">
        <v>524</v>
      </c>
      <c r="B3" s="4">
        <v>46023</v>
      </c>
      <c r="C3" s="2" t="s">
        <v>95</v>
      </c>
      <c r="D3" s="2" t="s">
        <v>422</v>
      </c>
      <c r="E3" s="2" t="s">
        <v>21</v>
      </c>
      <c r="F3" s="2" t="s">
        <v>410</v>
      </c>
      <c r="G3" s="2" t="s">
        <v>410</v>
      </c>
      <c r="H3" s="2" t="s">
        <v>444</v>
      </c>
      <c r="I3" s="2">
        <v>85000</v>
      </c>
      <c r="J3" s="2" t="s">
        <v>87</v>
      </c>
      <c r="K3" s="2" t="s">
        <v>114</v>
      </c>
      <c r="L3" s="2" t="s">
        <v>525</v>
      </c>
      <c r="M3" s="1"/>
    </row>
    <row r="4">
      <c r="A4" s="1" t="s">
        <v>526</v>
      </c>
      <c r="B4" s="4">
        <v>46054</v>
      </c>
      <c r="C4" s="2" t="s">
        <v>95</v>
      </c>
      <c r="D4" s="2" t="s">
        <v>422</v>
      </c>
      <c r="E4" s="2" t="s">
        <v>21</v>
      </c>
      <c r="F4" s="2" t="s">
        <v>410</v>
      </c>
      <c r="G4" s="2" t="s">
        <v>410</v>
      </c>
      <c r="H4" s="2" t="s">
        <v>444</v>
      </c>
      <c r="I4" s="2">
        <v>85000</v>
      </c>
      <c r="J4" s="2" t="s">
        <v>87</v>
      </c>
      <c r="K4" s="2" t="s">
        <v>114</v>
      </c>
      <c r="L4" s="2" t="s">
        <v>445</v>
      </c>
      <c r="M4" s="1"/>
    </row>
    <row r="5">
      <c r="A5" s="1" t="s">
        <v>527</v>
      </c>
      <c r="B5" s="4">
        <v>46082</v>
      </c>
      <c r="C5" s="2" t="s">
        <v>95</v>
      </c>
      <c r="D5" s="2" t="s">
        <v>422</v>
      </c>
      <c r="E5" s="2" t="s">
        <v>21</v>
      </c>
      <c r="F5" s="2" t="s">
        <v>410</v>
      </c>
      <c r="G5" s="2" t="s">
        <v>410</v>
      </c>
      <c r="H5" s="2" t="s">
        <v>444</v>
      </c>
      <c r="I5" s="2">
        <v>85000</v>
      </c>
      <c r="J5" s="2" t="s">
        <v>87</v>
      </c>
      <c r="K5" s="2" t="s">
        <v>114</v>
      </c>
      <c r="L5" s="2" t="s">
        <v>445</v>
      </c>
      <c r="M5" s="1"/>
    </row>
    <row r="6">
      <c r="A6" s="1" t="s">
        <v>528</v>
      </c>
      <c r="B6" s="4">
        <v>46113</v>
      </c>
      <c r="C6" s="2" t="s">
        <v>95</v>
      </c>
      <c r="D6" s="2" t="s">
        <v>422</v>
      </c>
      <c r="E6" s="2" t="s">
        <v>21</v>
      </c>
      <c r="F6" s="2" t="s">
        <v>410</v>
      </c>
      <c r="G6" s="2" t="s">
        <v>410</v>
      </c>
      <c r="H6" s="2" t="s">
        <v>444</v>
      </c>
      <c r="I6" s="2">
        <v>85000</v>
      </c>
      <c r="J6" s="2" t="s">
        <v>87</v>
      </c>
      <c r="K6" s="2" t="s">
        <v>114</v>
      </c>
      <c r="L6" s="2" t="s">
        <v>445</v>
      </c>
      <c r="M6" s="1"/>
    </row>
    <row r="7">
      <c r="A7" s="1" t="s">
        <v>529</v>
      </c>
      <c r="B7" s="4">
        <v>46143</v>
      </c>
      <c r="C7" s="2" t="s">
        <v>95</v>
      </c>
      <c r="D7" s="2" t="s">
        <v>422</v>
      </c>
      <c r="E7" s="2" t="s">
        <v>21</v>
      </c>
      <c r="F7" s="2" t="s">
        <v>410</v>
      </c>
      <c r="G7" s="2" t="s">
        <v>410</v>
      </c>
      <c r="H7" s="2" t="s">
        <v>444</v>
      </c>
      <c r="I7" s="2">
        <v>85000</v>
      </c>
      <c r="J7" s="2" t="s">
        <v>87</v>
      </c>
      <c r="K7" s="2" t="s">
        <v>114</v>
      </c>
      <c r="L7" s="2" t="s">
        <v>445</v>
      </c>
      <c r="M7" s="1"/>
    </row>
    <row r="8">
      <c r="A8" s="1" t="s">
        <v>530</v>
      </c>
      <c r="B8" s="4">
        <v>46174</v>
      </c>
      <c r="C8" s="2" t="s">
        <v>95</v>
      </c>
      <c r="D8" s="2" t="s">
        <v>422</v>
      </c>
      <c r="E8" s="2" t="s">
        <v>21</v>
      </c>
      <c r="F8" s="2" t="s">
        <v>410</v>
      </c>
      <c r="G8" s="2" t="s">
        <v>410</v>
      </c>
      <c r="H8" s="2" t="s">
        <v>444</v>
      </c>
      <c r="I8" s="2">
        <v>85000</v>
      </c>
      <c r="J8" s="2" t="s">
        <v>87</v>
      </c>
      <c r="K8" s="2" t="s">
        <v>114</v>
      </c>
      <c r="L8" s="2" t="s">
        <v>445</v>
      </c>
      <c r="M8" s="1"/>
    </row>
    <row r="9">
      <c r="A9" s="1" t="s">
        <v>531</v>
      </c>
      <c r="B9" s="4">
        <v>46204</v>
      </c>
      <c r="C9" s="2" t="s">
        <v>95</v>
      </c>
      <c r="D9" s="2" t="s">
        <v>422</v>
      </c>
      <c r="E9" s="2" t="s">
        <v>21</v>
      </c>
      <c r="F9" s="2" t="s">
        <v>410</v>
      </c>
      <c r="G9" s="2" t="s">
        <v>410</v>
      </c>
      <c r="H9" s="2" t="s">
        <v>444</v>
      </c>
      <c r="I9" s="2">
        <v>85000</v>
      </c>
      <c r="J9" s="2" t="s">
        <v>87</v>
      </c>
      <c r="K9" s="2" t="s">
        <v>114</v>
      </c>
      <c r="L9" s="2" t="s">
        <v>445</v>
      </c>
      <c r="M9" s="1"/>
    </row>
    <row r="10">
      <c r="A10" s="1" t="s">
        <v>532</v>
      </c>
      <c r="B10" s="4">
        <v>46235</v>
      </c>
      <c r="C10" s="2" t="s">
        <v>95</v>
      </c>
      <c r="D10" s="2" t="s">
        <v>422</v>
      </c>
      <c r="E10" s="2" t="s">
        <v>21</v>
      </c>
      <c r="F10" s="2" t="s">
        <v>410</v>
      </c>
      <c r="G10" s="2" t="s">
        <v>410</v>
      </c>
      <c r="H10" s="2" t="s">
        <v>444</v>
      </c>
      <c r="I10" s="2">
        <v>85000</v>
      </c>
      <c r="J10" s="2" t="s">
        <v>87</v>
      </c>
      <c r="K10" s="2" t="s">
        <v>114</v>
      </c>
      <c r="L10" s="2" t="s">
        <v>445</v>
      </c>
      <c r="M10" s="1"/>
    </row>
    <row r="11">
      <c r="A11" s="1" t="s">
        <v>533</v>
      </c>
      <c r="B11" s="4">
        <v>46266</v>
      </c>
      <c r="C11" s="2" t="s">
        <v>95</v>
      </c>
      <c r="D11" s="2" t="s">
        <v>422</v>
      </c>
      <c r="E11" s="2" t="s">
        <v>21</v>
      </c>
      <c r="F11" s="2" t="s">
        <v>410</v>
      </c>
      <c r="G11" s="2" t="s">
        <v>410</v>
      </c>
      <c r="H11" s="2" t="s">
        <v>444</v>
      </c>
      <c r="I11" s="2">
        <v>85000</v>
      </c>
      <c r="J11" s="2" t="s">
        <v>87</v>
      </c>
      <c r="K11" s="2" t="s">
        <v>114</v>
      </c>
      <c r="L11" s="2" t="s">
        <v>445</v>
      </c>
      <c r="M11" s="1"/>
    </row>
    <row r="12">
      <c r="A12" s="1" t="s">
        <v>534</v>
      </c>
      <c r="B12" s="4">
        <v>46040</v>
      </c>
      <c r="C12" s="2" t="s">
        <v>95</v>
      </c>
      <c r="D12" s="2" t="s">
        <v>430</v>
      </c>
      <c r="E12" s="2" t="s">
        <v>21</v>
      </c>
      <c r="F12" s="2" t="s">
        <v>413</v>
      </c>
      <c r="G12" s="2" t="s">
        <v>413</v>
      </c>
      <c r="H12" s="2" t="s">
        <v>447</v>
      </c>
      <c r="I12" s="2">
        <v>12000</v>
      </c>
      <c r="J12" s="2" t="s">
        <v>89</v>
      </c>
      <c r="K12" s="2" t="s">
        <v>114</v>
      </c>
      <c r="L12" s="2" t="s">
        <v>535</v>
      </c>
      <c r="M12" s="1"/>
    </row>
    <row r="13">
      <c r="A13" s="1" t="s">
        <v>524</v>
      </c>
      <c r="B13" s="4">
        <v>46073</v>
      </c>
      <c r="C13" s="2" t="s">
        <v>95</v>
      </c>
      <c r="D13" s="2" t="s">
        <v>430</v>
      </c>
      <c r="E13" s="2" t="s">
        <v>21</v>
      </c>
      <c r="F13" s="2" t="s">
        <v>413</v>
      </c>
      <c r="G13" s="2" t="s">
        <v>413</v>
      </c>
      <c r="H13" s="2" t="s">
        <v>447</v>
      </c>
      <c r="I13" s="2">
        <v>15000</v>
      </c>
      <c r="J13" s="2" t="s">
        <v>89</v>
      </c>
      <c r="K13" s="2" t="s">
        <v>114</v>
      </c>
      <c r="L13" s="2" t="s">
        <v>535</v>
      </c>
      <c r="M13" s="1"/>
    </row>
    <row r="14">
      <c r="A14" s="1" t="s">
        <v>536</v>
      </c>
      <c r="B14" s="4">
        <v>46093</v>
      </c>
      <c r="C14" s="2" t="s">
        <v>95</v>
      </c>
      <c r="D14" s="2" t="s">
        <v>430</v>
      </c>
      <c r="E14" s="2" t="s">
        <v>21</v>
      </c>
      <c r="F14" s="2" t="s">
        <v>413</v>
      </c>
      <c r="G14" s="2" t="s">
        <v>413</v>
      </c>
      <c r="H14" s="2" t="s">
        <v>447</v>
      </c>
      <c r="I14" s="2">
        <v>8000</v>
      </c>
      <c r="J14" s="2" t="s">
        <v>89</v>
      </c>
      <c r="K14" s="2" t="s">
        <v>114</v>
      </c>
      <c r="L14" s="2" t="s">
        <v>535</v>
      </c>
      <c r="M14" s="1"/>
    </row>
    <row r="15">
      <c r="A15" s="1" t="s">
        <v>537</v>
      </c>
      <c r="B15" s="4">
        <v>46134</v>
      </c>
      <c r="C15" s="2" t="s">
        <v>95</v>
      </c>
      <c r="D15" s="2" t="s">
        <v>430</v>
      </c>
      <c r="E15" s="2" t="s">
        <v>21</v>
      </c>
      <c r="F15" s="2" t="s">
        <v>413</v>
      </c>
      <c r="G15" s="2" t="s">
        <v>413</v>
      </c>
      <c r="H15" s="2" t="s">
        <v>447</v>
      </c>
      <c r="I15" s="2">
        <v>18000</v>
      </c>
      <c r="J15" s="2" t="s">
        <v>89</v>
      </c>
      <c r="K15" s="2" t="s">
        <v>114</v>
      </c>
      <c r="L15" s="2" t="s">
        <v>535</v>
      </c>
      <c r="M15" s="1"/>
    </row>
    <row r="16">
      <c r="A16" s="1" t="s">
        <v>538</v>
      </c>
      <c r="B16" s="4">
        <v>46150</v>
      </c>
      <c r="C16" s="2" t="s">
        <v>95</v>
      </c>
      <c r="D16" s="2" t="s">
        <v>430</v>
      </c>
      <c r="E16" s="2" t="s">
        <v>21</v>
      </c>
      <c r="F16" s="2" t="s">
        <v>413</v>
      </c>
      <c r="G16" s="2" t="s">
        <v>413</v>
      </c>
      <c r="H16" s="2" t="s">
        <v>447</v>
      </c>
      <c r="I16" s="2">
        <v>9500</v>
      </c>
      <c r="J16" s="2" t="s">
        <v>89</v>
      </c>
      <c r="K16" s="2" t="s">
        <v>114</v>
      </c>
      <c r="L16" s="2" t="s">
        <v>535</v>
      </c>
      <c r="M16" s="1"/>
    </row>
    <row r="17">
      <c r="A17" s="1" t="s">
        <v>539</v>
      </c>
      <c r="B17" s="4">
        <v>46189</v>
      </c>
      <c r="C17" s="2" t="s">
        <v>95</v>
      </c>
      <c r="D17" s="2" t="s">
        <v>430</v>
      </c>
      <c r="E17" s="2" t="s">
        <v>21</v>
      </c>
      <c r="F17" s="2" t="s">
        <v>413</v>
      </c>
      <c r="G17" s="2" t="s">
        <v>413</v>
      </c>
      <c r="H17" s="2" t="s">
        <v>447</v>
      </c>
      <c r="I17" s="2">
        <v>14000</v>
      </c>
      <c r="J17" s="2" t="s">
        <v>89</v>
      </c>
      <c r="K17" s="2" t="s">
        <v>114</v>
      </c>
      <c r="L17" s="2" t="s">
        <v>535</v>
      </c>
      <c r="M17" s="1"/>
    </row>
    <row r="18">
      <c r="A18" s="1" t="s">
        <v>540</v>
      </c>
      <c r="B18" s="4">
        <v>46214</v>
      </c>
      <c r="C18" s="2" t="s">
        <v>95</v>
      </c>
      <c r="D18" s="2" t="s">
        <v>430</v>
      </c>
      <c r="E18" s="2" t="s">
        <v>21</v>
      </c>
      <c r="F18" s="2" t="s">
        <v>413</v>
      </c>
      <c r="G18" s="2" t="s">
        <v>413</v>
      </c>
      <c r="H18" s="2" t="s">
        <v>447</v>
      </c>
      <c r="I18" s="2">
        <v>11000</v>
      </c>
      <c r="J18" s="2" t="s">
        <v>89</v>
      </c>
      <c r="K18" s="2" t="s">
        <v>114</v>
      </c>
      <c r="L18" s="2" t="s">
        <v>535</v>
      </c>
      <c r="M18" s="1"/>
    </row>
    <row r="19">
      <c r="A19" s="1" t="s">
        <v>541</v>
      </c>
      <c r="B19" s="4">
        <v>46259</v>
      </c>
      <c r="C19" s="2" t="s">
        <v>95</v>
      </c>
      <c r="D19" s="2" t="s">
        <v>430</v>
      </c>
      <c r="E19" s="2" t="s">
        <v>21</v>
      </c>
      <c r="F19" s="2" t="s">
        <v>413</v>
      </c>
      <c r="G19" s="2" t="s">
        <v>413</v>
      </c>
      <c r="H19" s="2" t="s">
        <v>447</v>
      </c>
      <c r="I19" s="2">
        <v>16000</v>
      </c>
      <c r="J19" s="2" t="s">
        <v>89</v>
      </c>
      <c r="K19" s="2" t="s">
        <v>114</v>
      </c>
      <c r="L19" s="2" t="s">
        <v>535</v>
      </c>
      <c r="M19" s="1"/>
    </row>
    <row r="20">
      <c r="A20" s="1" t="s">
        <v>542</v>
      </c>
      <c r="B20" s="4">
        <v>46271</v>
      </c>
      <c r="C20" s="2" t="s">
        <v>95</v>
      </c>
      <c r="D20" s="2" t="s">
        <v>430</v>
      </c>
      <c r="E20" s="2" t="s">
        <v>21</v>
      </c>
      <c r="F20" s="2" t="s">
        <v>413</v>
      </c>
      <c r="G20" s="2" t="s">
        <v>413</v>
      </c>
      <c r="H20" s="2" t="s">
        <v>447</v>
      </c>
      <c r="I20" s="2">
        <v>13000</v>
      </c>
      <c r="J20" s="2" t="s">
        <v>89</v>
      </c>
      <c r="K20" s="2" t="s">
        <v>114</v>
      </c>
      <c r="L20" s="2" t="s">
        <v>535</v>
      </c>
      <c r="M20" s="1"/>
    </row>
    <row r="21">
      <c r="A21" s="1" t="s">
        <v>543</v>
      </c>
      <c r="B21" s="4">
        <v>46112</v>
      </c>
      <c r="C21" s="2" t="s">
        <v>95</v>
      </c>
      <c r="D21" s="2" t="s">
        <v>426</v>
      </c>
      <c r="E21" s="2" t="s">
        <v>21</v>
      </c>
      <c r="F21" s="2" t="s">
        <v>416</v>
      </c>
      <c r="G21" s="2" t="s">
        <v>416</v>
      </c>
      <c r="H21" s="2" t="s">
        <v>452</v>
      </c>
      <c r="I21" s="2">
        <v>2100</v>
      </c>
      <c r="J21" s="2" t="s">
        <v>87</v>
      </c>
      <c r="K21" s="2" t="s">
        <v>114</v>
      </c>
      <c r="L21" s="2" t="s">
        <v>544</v>
      </c>
      <c r="M21" s="1"/>
    </row>
    <row r="22">
      <c r="A22" s="1" t="s">
        <v>545</v>
      </c>
      <c r="B22" s="4">
        <v>46203</v>
      </c>
      <c r="C22" s="2" t="s">
        <v>95</v>
      </c>
      <c r="D22" s="2" t="s">
        <v>426</v>
      </c>
      <c r="E22" s="2" t="s">
        <v>21</v>
      </c>
      <c r="F22" s="2" t="s">
        <v>416</v>
      </c>
      <c r="G22" s="2" t="s">
        <v>416</v>
      </c>
      <c r="H22" s="2" t="s">
        <v>452</v>
      </c>
      <c r="I22" s="2">
        <v>2100</v>
      </c>
      <c r="J22" s="2" t="s">
        <v>87</v>
      </c>
      <c r="K22" s="2" t="s">
        <v>114</v>
      </c>
      <c r="L22" s="2" t="s">
        <v>544</v>
      </c>
      <c r="M22" s="1"/>
    </row>
    <row r="23">
      <c r="A23" s="1" t="s">
        <v>546</v>
      </c>
      <c r="B23" s="4">
        <v>46270</v>
      </c>
      <c r="C23" s="2" t="s">
        <v>95</v>
      </c>
      <c r="D23" s="2" t="s">
        <v>426</v>
      </c>
      <c r="E23" s="2" t="s">
        <v>21</v>
      </c>
      <c r="F23" s="2" t="s">
        <v>416</v>
      </c>
      <c r="G23" s="2" t="s">
        <v>416</v>
      </c>
      <c r="H23" s="2" t="s">
        <v>452</v>
      </c>
      <c r="I23" s="2">
        <v>2100</v>
      </c>
      <c r="J23" s="2" t="s">
        <v>87</v>
      </c>
      <c r="K23" s="2" t="s">
        <v>114</v>
      </c>
      <c r="L23" s="2" t="s">
        <v>544</v>
      </c>
      <c r="M23" s="1"/>
    </row>
    <row r="24">
      <c r="A24" s="1" t="s">
        <v>547</v>
      </c>
      <c r="B24" s="4">
        <v>46050</v>
      </c>
      <c r="C24" s="2" t="s">
        <v>95</v>
      </c>
      <c r="D24" s="2" t="s">
        <v>422</v>
      </c>
      <c r="E24" s="2" t="s">
        <v>21</v>
      </c>
      <c r="F24" s="2" t="s">
        <v>419</v>
      </c>
      <c r="G24" s="2" t="s">
        <v>419</v>
      </c>
      <c r="H24" s="2" t="s">
        <v>450</v>
      </c>
      <c r="I24" s="2">
        <v>420</v>
      </c>
      <c r="J24" s="2" t="s">
        <v>91</v>
      </c>
      <c r="K24" s="2" t="s">
        <v>114</v>
      </c>
      <c r="L24" s="2" t="s">
        <v>420</v>
      </c>
      <c r="M24" s="1"/>
    </row>
    <row r="25">
      <c r="A25" s="1" t="s">
        <v>548</v>
      </c>
      <c r="B25" s="4">
        <v>46109</v>
      </c>
      <c r="C25" s="2" t="s">
        <v>95</v>
      </c>
      <c r="D25" s="2" t="s">
        <v>422</v>
      </c>
      <c r="E25" s="2" t="s">
        <v>21</v>
      </c>
      <c r="F25" s="2" t="s">
        <v>419</v>
      </c>
      <c r="G25" s="2" t="s">
        <v>419</v>
      </c>
      <c r="H25" s="2" t="s">
        <v>450</v>
      </c>
      <c r="I25" s="2">
        <v>380</v>
      </c>
      <c r="J25" s="2" t="s">
        <v>91</v>
      </c>
      <c r="K25" s="2" t="s">
        <v>114</v>
      </c>
      <c r="L25" s="2" t="s">
        <v>420</v>
      </c>
      <c r="M25" s="1"/>
    </row>
    <row r="26">
      <c r="A26" s="1" t="s">
        <v>549</v>
      </c>
      <c r="B26" s="4">
        <v>46170</v>
      </c>
      <c r="C26" s="2" t="s">
        <v>95</v>
      </c>
      <c r="D26" s="2" t="s">
        <v>422</v>
      </c>
      <c r="E26" s="2" t="s">
        <v>21</v>
      </c>
      <c r="F26" s="2" t="s">
        <v>419</v>
      </c>
      <c r="G26" s="2" t="s">
        <v>419</v>
      </c>
      <c r="H26" s="2" t="s">
        <v>450</v>
      </c>
      <c r="I26" s="2">
        <v>510</v>
      </c>
      <c r="J26" s="2" t="s">
        <v>91</v>
      </c>
      <c r="K26" s="2" t="s">
        <v>114</v>
      </c>
      <c r="L26" s="2" t="s">
        <v>420</v>
      </c>
      <c r="M26" s="1"/>
    </row>
    <row r="27">
      <c r="A27" s="1" t="s">
        <v>550</v>
      </c>
      <c r="B27" s="4">
        <v>46231</v>
      </c>
      <c r="C27" s="2" t="s">
        <v>95</v>
      </c>
      <c r="D27" s="2" t="s">
        <v>422</v>
      </c>
      <c r="E27" s="2" t="s">
        <v>21</v>
      </c>
      <c r="F27" s="2" t="s">
        <v>419</v>
      </c>
      <c r="G27" s="2" t="s">
        <v>419</v>
      </c>
      <c r="H27" s="2" t="s">
        <v>450</v>
      </c>
      <c r="I27" s="2">
        <v>260</v>
      </c>
      <c r="J27" s="2" t="s">
        <v>91</v>
      </c>
      <c r="K27" s="2" t="s">
        <v>114</v>
      </c>
      <c r="L27" s="2" t="s">
        <v>420</v>
      </c>
      <c r="M27" s="1"/>
    </row>
    <row r="28">
      <c r="A28" s="1" t="s">
        <v>551</v>
      </c>
      <c r="B28" s="4">
        <v>46273</v>
      </c>
      <c r="C28" s="2" t="s">
        <v>95</v>
      </c>
      <c r="D28" s="2" t="s">
        <v>422</v>
      </c>
      <c r="E28" s="2" t="s">
        <v>21</v>
      </c>
      <c r="F28" s="2" t="s">
        <v>419</v>
      </c>
      <c r="G28" s="2" t="s">
        <v>419</v>
      </c>
      <c r="H28" s="2" t="s">
        <v>450</v>
      </c>
      <c r="I28" s="2">
        <v>490</v>
      </c>
      <c r="J28" s="2" t="s">
        <v>91</v>
      </c>
      <c r="K28" s="2" t="s">
        <v>114</v>
      </c>
      <c r="L28" s="2" t="s">
        <v>420</v>
      </c>
      <c r="M28" s="1"/>
    </row>
    <row r="29">
      <c r="A29" s="1" t="s">
        <v>552</v>
      </c>
      <c r="B29" s="4">
        <v>46023</v>
      </c>
      <c r="C29" s="2" t="s">
        <v>96</v>
      </c>
      <c r="D29" s="2" t="s">
        <v>422</v>
      </c>
      <c r="E29" s="2" t="s">
        <v>99</v>
      </c>
      <c r="F29" s="2" t="s">
        <v>375</v>
      </c>
      <c r="G29" s="2" t="s">
        <v>375</v>
      </c>
      <c r="H29" s="2"/>
      <c r="I29" s="2">
        <v>18000</v>
      </c>
      <c r="J29" s="2" t="s">
        <v>87</v>
      </c>
      <c r="K29" s="2" t="s">
        <v>114</v>
      </c>
      <c r="L29" s="2" t="s">
        <v>375</v>
      </c>
      <c r="M29" s="1"/>
    </row>
    <row r="30">
      <c r="A30" s="1" t="s">
        <v>553</v>
      </c>
      <c r="B30" s="4">
        <v>46029</v>
      </c>
      <c r="C30" s="2" t="s">
        <v>96</v>
      </c>
      <c r="D30" s="2" t="s">
        <v>422</v>
      </c>
      <c r="E30" s="2" t="s">
        <v>99</v>
      </c>
      <c r="F30" s="2" t="s">
        <v>387</v>
      </c>
      <c r="G30" s="2" t="s">
        <v>387</v>
      </c>
      <c r="H30" s="2"/>
      <c r="I30" s="2">
        <v>999</v>
      </c>
      <c r="J30" s="2" t="s">
        <v>89</v>
      </c>
      <c r="K30" s="2" t="s">
        <v>114</v>
      </c>
      <c r="L30" s="2" t="s">
        <v>482</v>
      </c>
      <c r="M30" s="1"/>
    </row>
    <row r="31">
      <c r="A31" s="1" t="s">
        <v>554</v>
      </c>
      <c r="B31" s="4">
        <v>46027</v>
      </c>
      <c r="C31" s="2" t="s">
        <v>96</v>
      </c>
      <c r="D31" s="2" t="s">
        <v>426</v>
      </c>
      <c r="E31" s="2" t="s">
        <v>103</v>
      </c>
      <c r="F31" s="2" t="s">
        <v>181</v>
      </c>
      <c r="G31" s="2" t="s">
        <v>186</v>
      </c>
      <c r="H31" s="2"/>
      <c r="I31" s="2">
        <v>10000</v>
      </c>
      <c r="J31" s="2" t="s">
        <v>87</v>
      </c>
      <c r="K31" s="2" t="s">
        <v>114</v>
      </c>
      <c r="L31" s="2" t="s">
        <v>555</v>
      </c>
      <c r="M31" s="1"/>
    </row>
    <row r="32">
      <c r="A32" s="1" t="s">
        <v>556</v>
      </c>
      <c r="B32" s="4">
        <v>46027</v>
      </c>
      <c r="C32" s="2" t="s">
        <v>96</v>
      </c>
      <c r="D32" s="2" t="s">
        <v>422</v>
      </c>
      <c r="E32" s="2" t="s">
        <v>102</v>
      </c>
      <c r="F32" s="2" t="s">
        <v>206</v>
      </c>
      <c r="G32" s="2" t="s">
        <v>405</v>
      </c>
      <c r="H32" s="2"/>
      <c r="I32" s="2">
        <v>8500</v>
      </c>
      <c r="J32" s="2" t="s">
        <v>87</v>
      </c>
      <c r="K32" s="2" t="s">
        <v>114</v>
      </c>
      <c r="L32" s="2" t="s">
        <v>557</v>
      </c>
      <c r="M32" s="1"/>
    </row>
    <row r="33">
      <c r="A33" s="1" t="s">
        <v>558</v>
      </c>
      <c r="B33" s="4">
        <v>46054</v>
      </c>
      <c r="C33" s="2" t="s">
        <v>96</v>
      </c>
      <c r="D33" s="2" t="s">
        <v>422</v>
      </c>
      <c r="E33" s="2" t="s">
        <v>99</v>
      </c>
      <c r="F33" s="2" t="s">
        <v>375</v>
      </c>
      <c r="G33" s="2" t="s">
        <v>375</v>
      </c>
      <c r="H33" s="2"/>
      <c r="I33" s="2">
        <v>18000</v>
      </c>
      <c r="J33" s="2" t="s">
        <v>87</v>
      </c>
      <c r="K33" s="2" t="s">
        <v>114</v>
      </c>
      <c r="L33" s="2" t="s">
        <v>375</v>
      </c>
      <c r="M33" s="1"/>
    </row>
    <row r="34">
      <c r="A34" s="1" t="s">
        <v>559</v>
      </c>
      <c r="B34" s="4">
        <v>46060</v>
      </c>
      <c r="C34" s="2" t="s">
        <v>96</v>
      </c>
      <c r="D34" s="2" t="s">
        <v>422</v>
      </c>
      <c r="E34" s="2" t="s">
        <v>99</v>
      </c>
      <c r="F34" s="2" t="s">
        <v>387</v>
      </c>
      <c r="G34" s="2" t="s">
        <v>387</v>
      </c>
      <c r="H34" s="2"/>
      <c r="I34" s="2">
        <v>999</v>
      </c>
      <c r="J34" s="2" t="s">
        <v>89</v>
      </c>
      <c r="K34" s="2" t="s">
        <v>114</v>
      </c>
      <c r="L34" s="2" t="s">
        <v>482</v>
      </c>
      <c r="M34" s="1"/>
    </row>
    <row r="35">
      <c r="A35" s="1" t="s">
        <v>560</v>
      </c>
      <c r="B35" s="4">
        <v>46058</v>
      </c>
      <c r="C35" s="2" t="s">
        <v>96</v>
      </c>
      <c r="D35" s="2" t="s">
        <v>426</v>
      </c>
      <c r="E35" s="2" t="s">
        <v>103</v>
      </c>
      <c r="F35" s="2" t="s">
        <v>181</v>
      </c>
      <c r="G35" s="2" t="s">
        <v>186</v>
      </c>
      <c r="H35" s="2"/>
      <c r="I35" s="2">
        <v>10000</v>
      </c>
      <c r="J35" s="2" t="s">
        <v>87</v>
      </c>
      <c r="K35" s="2" t="s">
        <v>114</v>
      </c>
      <c r="L35" s="2" t="s">
        <v>555</v>
      </c>
      <c r="M35" s="1"/>
    </row>
    <row r="36">
      <c r="A36" s="1" t="s">
        <v>561</v>
      </c>
      <c r="B36" s="4">
        <v>46058</v>
      </c>
      <c r="C36" s="2" t="s">
        <v>96</v>
      </c>
      <c r="D36" s="2" t="s">
        <v>422</v>
      </c>
      <c r="E36" s="2" t="s">
        <v>102</v>
      </c>
      <c r="F36" s="2" t="s">
        <v>206</v>
      </c>
      <c r="G36" s="2" t="s">
        <v>405</v>
      </c>
      <c r="H36" s="2"/>
      <c r="I36" s="2">
        <v>8500</v>
      </c>
      <c r="J36" s="2" t="s">
        <v>87</v>
      </c>
      <c r="K36" s="2" t="s">
        <v>114</v>
      </c>
      <c r="L36" s="2" t="s">
        <v>557</v>
      </c>
      <c r="M36" s="1"/>
    </row>
    <row r="37">
      <c r="A37" s="1" t="s">
        <v>562</v>
      </c>
      <c r="B37" s="4">
        <v>46082</v>
      </c>
      <c r="C37" s="2" t="s">
        <v>96</v>
      </c>
      <c r="D37" s="2" t="s">
        <v>422</v>
      </c>
      <c r="E37" s="2" t="s">
        <v>99</v>
      </c>
      <c r="F37" s="2" t="s">
        <v>375</v>
      </c>
      <c r="G37" s="2" t="s">
        <v>375</v>
      </c>
      <c r="H37" s="2"/>
      <c r="I37" s="2">
        <v>18000</v>
      </c>
      <c r="J37" s="2" t="s">
        <v>87</v>
      </c>
      <c r="K37" s="2" t="s">
        <v>114</v>
      </c>
      <c r="L37" s="2" t="s">
        <v>375</v>
      </c>
      <c r="M37" s="1"/>
    </row>
    <row r="38">
      <c r="A38" s="1" t="s">
        <v>563</v>
      </c>
      <c r="B38" s="4">
        <v>46088</v>
      </c>
      <c r="C38" s="2" t="s">
        <v>96</v>
      </c>
      <c r="D38" s="2" t="s">
        <v>422</v>
      </c>
      <c r="E38" s="2" t="s">
        <v>99</v>
      </c>
      <c r="F38" s="2" t="s">
        <v>387</v>
      </c>
      <c r="G38" s="2" t="s">
        <v>387</v>
      </c>
      <c r="H38" s="2"/>
      <c r="I38" s="2">
        <v>999</v>
      </c>
      <c r="J38" s="2" t="s">
        <v>89</v>
      </c>
      <c r="K38" s="2" t="s">
        <v>114</v>
      </c>
      <c r="L38" s="2" t="s">
        <v>482</v>
      </c>
      <c r="M38" s="1"/>
    </row>
    <row r="39">
      <c r="A39" s="1" t="s">
        <v>564</v>
      </c>
      <c r="B39" s="4">
        <v>46086</v>
      </c>
      <c r="C39" s="2" t="s">
        <v>96</v>
      </c>
      <c r="D39" s="2" t="s">
        <v>426</v>
      </c>
      <c r="E39" s="2" t="s">
        <v>103</v>
      </c>
      <c r="F39" s="2" t="s">
        <v>181</v>
      </c>
      <c r="G39" s="2" t="s">
        <v>186</v>
      </c>
      <c r="H39" s="2"/>
      <c r="I39" s="2">
        <v>10000</v>
      </c>
      <c r="J39" s="2" t="s">
        <v>87</v>
      </c>
      <c r="K39" s="2" t="s">
        <v>114</v>
      </c>
      <c r="L39" s="2" t="s">
        <v>555</v>
      </c>
      <c r="M39" s="1"/>
    </row>
    <row r="40">
      <c r="A40" s="1" t="s">
        <v>565</v>
      </c>
      <c r="B40" s="4">
        <v>46086</v>
      </c>
      <c r="C40" s="2" t="s">
        <v>96</v>
      </c>
      <c r="D40" s="2" t="s">
        <v>422</v>
      </c>
      <c r="E40" s="2" t="s">
        <v>102</v>
      </c>
      <c r="F40" s="2" t="s">
        <v>206</v>
      </c>
      <c r="G40" s="2" t="s">
        <v>405</v>
      </c>
      <c r="H40" s="2"/>
      <c r="I40" s="2">
        <v>8500</v>
      </c>
      <c r="J40" s="2" t="s">
        <v>87</v>
      </c>
      <c r="K40" s="2" t="s">
        <v>114</v>
      </c>
      <c r="L40" s="2" t="s">
        <v>557</v>
      </c>
      <c r="M40" s="1"/>
    </row>
    <row r="41">
      <c r="A41" s="1" t="s">
        <v>566</v>
      </c>
      <c r="B41" s="4">
        <v>46113</v>
      </c>
      <c r="C41" s="2" t="s">
        <v>96</v>
      </c>
      <c r="D41" s="2" t="s">
        <v>422</v>
      </c>
      <c r="E41" s="2" t="s">
        <v>99</v>
      </c>
      <c r="F41" s="2" t="s">
        <v>375</v>
      </c>
      <c r="G41" s="2" t="s">
        <v>375</v>
      </c>
      <c r="H41" s="2"/>
      <c r="I41" s="2">
        <v>18000</v>
      </c>
      <c r="J41" s="2" t="s">
        <v>87</v>
      </c>
      <c r="K41" s="2" t="s">
        <v>114</v>
      </c>
      <c r="L41" s="2" t="s">
        <v>375</v>
      </c>
      <c r="M41" s="1"/>
    </row>
    <row r="42">
      <c r="A42" s="1" t="s">
        <v>567</v>
      </c>
      <c r="B42" s="4">
        <v>46119</v>
      </c>
      <c r="C42" s="2" t="s">
        <v>96</v>
      </c>
      <c r="D42" s="2" t="s">
        <v>422</v>
      </c>
      <c r="E42" s="2" t="s">
        <v>99</v>
      </c>
      <c r="F42" s="2" t="s">
        <v>387</v>
      </c>
      <c r="G42" s="2" t="s">
        <v>387</v>
      </c>
      <c r="H42" s="2"/>
      <c r="I42" s="2">
        <v>999</v>
      </c>
      <c r="J42" s="2" t="s">
        <v>89</v>
      </c>
      <c r="K42" s="2" t="s">
        <v>114</v>
      </c>
      <c r="L42" s="2" t="s">
        <v>482</v>
      </c>
      <c r="M42" s="1"/>
    </row>
    <row r="43">
      <c r="A43" s="1" t="s">
        <v>568</v>
      </c>
      <c r="B43" s="4">
        <v>46117</v>
      </c>
      <c r="C43" s="2" t="s">
        <v>96</v>
      </c>
      <c r="D43" s="2" t="s">
        <v>426</v>
      </c>
      <c r="E43" s="2" t="s">
        <v>103</v>
      </c>
      <c r="F43" s="2" t="s">
        <v>181</v>
      </c>
      <c r="G43" s="2" t="s">
        <v>186</v>
      </c>
      <c r="H43" s="2"/>
      <c r="I43" s="2">
        <v>10000</v>
      </c>
      <c r="J43" s="2" t="s">
        <v>87</v>
      </c>
      <c r="K43" s="2" t="s">
        <v>114</v>
      </c>
      <c r="L43" s="2" t="s">
        <v>555</v>
      </c>
      <c r="M43" s="1"/>
    </row>
    <row r="44">
      <c r="A44" s="1" t="s">
        <v>569</v>
      </c>
      <c r="B44" s="4">
        <v>46117</v>
      </c>
      <c r="C44" s="2" t="s">
        <v>96</v>
      </c>
      <c r="D44" s="2" t="s">
        <v>422</v>
      </c>
      <c r="E44" s="2" t="s">
        <v>102</v>
      </c>
      <c r="F44" s="2" t="s">
        <v>206</v>
      </c>
      <c r="G44" s="2" t="s">
        <v>405</v>
      </c>
      <c r="H44" s="2"/>
      <c r="I44" s="2">
        <v>8500</v>
      </c>
      <c r="J44" s="2" t="s">
        <v>87</v>
      </c>
      <c r="K44" s="2" t="s">
        <v>114</v>
      </c>
      <c r="L44" s="2" t="s">
        <v>557</v>
      </c>
      <c r="M44" s="1"/>
    </row>
    <row r="45">
      <c r="A45" s="1" t="s">
        <v>570</v>
      </c>
      <c r="B45" s="4">
        <v>46143</v>
      </c>
      <c r="C45" s="2" t="s">
        <v>96</v>
      </c>
      <c r="D45" s="2" t="s">
        <v>422</v>
      </c>
      <c r="E45" s="2" t="s">
        <v>99</v>
      </c>
      <c r="F45" s="2" t="s">
        <v>375</v>
      </c>
      <c r="G45" s="2" t="s">
        <v>375</v>
      </c>
      <c r="H45" s="2"/>
      <c r="I45" s="2">
        <v>18000</v>
      </c>
      <c r="J45" s="2" t="s">
        <v>87</v>
      </c>
      <c r="K45" s="2" t="s">
        <v>114</v>
      </c>
      <c r="L45" s="2" t="s">
        <v>375</v>
      </c>
      <c r="M45" s="1"/>
    </row>
    <row r="46">
      <c r="A46" s="1" t="s">
        <v>571</v>
      </c>
      <c r="B46" s="4">
        <v>46149</v>
      </c>
      <c r="C46" s="2" t="s">
        <v>96</v>
      </c>
      <c r="D46" s="2" t="s">
        <v>422</v>
      </c>
      <c r="E46" s="2" t="s">
        <v>99</v>
      </c>
      <c r="F46" s="2" t="s">
        <v>387</v>
      </c>
      <c r="G46" s="2" t="s">
        <v>387</v>
      </c>
      <c r="H46" s="2"/>
      <c r="I46" s="2">
        <v>999</v>
      </c>
      <c r="J46" s="2" t="s">
        <v>89</v>
      </c>
      <c r="K46" s="2" t="s">
        <v>114</v>
      </c>
      <c r="L46" s="2" t="s">
        <v>482</v>
      </c>
      <c r="M46" s="1"/>
    </row>
    <row r="47">
      <c r="A47" s="1" t="s">
        <v>572</v>
      </c>
      <c r="B47" s="4">
        <v>46147</v>
      </c>
      <c r="C47" s="2" t="s">
        <v>96</v>
      </c>
      <c r="D47" s="2" t="s">
        <v>426</v>
      </c>
      <c r="E47" s="2" t="s">
        <v>103</v>
      </c>
      <c r="F47" s="2" t="s">
        <v>181</v>
      </c>
      <c r="G47" s="2" t="s">
        <v>186</v>
      </c>
      <c r="H47" s="2"/>
      <c r="I47" s="2">
        <v>10000</v>
      </c>
      <c r="J47" s="2" t="s">
        <v>87</v>
      </c>
      <c r="K47" s="2" t="s">
        <v>114</v>
      </c>
      <c r="L47" s="2" t="s">
        <v>555</v>
      </c>
      <c r="M47" s="1"/>
    </row>
    <row r="48">
      <c r="A48" s="1" t="s">
        <v>573</v>
      </c>
      <c r="B48" s="4">
        <v>46147</v>
      </c>
      <c r="C48" s="2" t="s">
        <v>96</v>
      </c>
      <c r="D48" s="2" t="s">
        <v>422</v>
      </c>
      <c r="E48" s="2" t="s">
        <v>102</v>
      </c>
      <c r="F48" s="2" t="s">
        <v>206</v>
      </c>
      <c r="G48" s="2" t="s">
        <v>405</v>
      </c>
      <c r="H48" s="2"/>
      <c r="I48" s="2">
        <v>8500</v>
      </c>
      <c r="J48" s="2" t="s">
        <v>87</v>
      </c>
      <c r="K48" s="2" t="s">
        <v>114</v>
      </c>
      <c r="L48" s="2" t="s">
        <v>557</v>
      </c>
      <c r="M48" s="1"/>
    </row>
    <row r="49">
      <c r="A49" s="1" t="s">
        <v>574</v>
      </c>
      <c r="B49" s="4">
        <v>46174</v>
      </c>
      <c r="C49" s="2" t="s">
        <v>96</v>
      </c>
      <c r="D49" s="2" t="s">
        <v>422</v>
      </c>
      <c r="E49" s="2" t="s">
        <v>99</v>
      </c>
      <c r="F49" s="2" t="s">
        <v>375</v>
      </c>
      <c r="G49" s="2" t="s">
        <v>375</v>
      </c>
      <c r="H49" s="2"/>
      <c r="I49" s="2">
        <v>18000</v>
      </c>
      <c r="J49" s="2" t="s">
        <v>87</v>
      </c>
      <c r="K49" s="2" t="s">
        <v>114</v>
      </c>
      <c r="L49" s="2" t="s">
        <v>375</v>
      </c>
      <c r="M49" s="1"/>
    </row>
    <row r="50">
      <c r="A50" s="1" t="s">
        <v>575</v>
      </c>
      <c r="B50" s="4">
        <v>46180</v>
      </c>
      <c r="C50" s="2" t="s">
        <v>96</v>
      </c>
      <c r="D50" s="2" t="s">
        <v>422</v>
      </c>
      <c r="E50" s="2" t="s">
        <v>99</v>
      </c>
      <c r="F50" s="2" t="s">
        <v>387</v>
      </c>
      <c r="G50" s="2" t="s">
        <v>387</v>
      </c>
      <c r="H50" s="2"/>
      <c r="I50" s="2">
        <v>999</v>
      </c>
      <c r="J50" s="2" t="s">
        <v>89</v>
      </c>
      <c r="K50" s="2" t="s">
        <v>114</v>
      </c>
      <c r="L50" s="2" t="s">
        <v>482</v>
      </c>
      <c r="M50" s="1"/>
    </row>
    <row r="51">
      <c r="A51" s="1" t="s">
        <v>576</v>
      </c>
      <c r="B51" s="4">
        <v>46178</v>
      </c>
      <c r="C51" s="2" t="s">
        <v>96</v>
      </c>
      <c r="D51" s="2" t="s">
        <v>426</v>
      </c>
      <c r="E51" s="2" t="s">
        <v>103</v>
      </c>
      <c r="F51" s="2" t="s">
        <v>181</v>
      </c>
      <c r="G51" s="2" t="s">
        <v>186</v>
      </c>
      <c r="H51" s="2"/>
      <c r="I51" s="2">
        <v>10000</v>
      </c>
      <c r="J51" s="2" t="s">
        <v>87</v>
      </c>
      <c r="K51" s="2" t="s">
        <v>114</v>
      </c>
      <c r="L51" s="2" t="s">
        <v>555</v>
      </c>
      <c r="M51" s="1"/>
    </row>
    <row r="52">
      <c r="A52" s="1" t="s">
        <v>577</v>
      </c>
      <c r="B52" s="4">
        <v>46178</v>
      </c>
      <c r="C52" s="2" t="s">
        <v>96</v>
      </c>
      <c r="D52" s="2" t="s">
        <v>422</v>
      </c>
      <c r="E52" s="2" t="s">
        <v>102</v>
      </c>
      <c r="F52" s="2" t="s">
        <v>206</v>
      </c>
      <c r="G52" s="2" t="s">
        <v>405</v>
      </c>
      <c r="H52" s="2"/>
      <c r="I52" s="2">
        <v>8500</v>
      </c>
      <c r="J52" s="2" t="s">
        <v>87</v>
      </c>
      <c r="K52" s="2" t="s">
        <v>114</v>
      </c>
      <c r="L52" s="2" t="s">
        <v>557</v>
      </c>
      <c r="M52" s="1"/>
    </row>
    <row r="53">
      <c r="A53" s="1" t="s">
        <v>578</v>
      </c>
      <c r="B53" s="4">
        <v>46204</v>
      </c>
      <c r="C53" s="2" t="s">
        <v>96</v>
      </c>
      <c r="D53" s="2" t="s">
        <v>422</v>
      </c>
      <c r="E53" s="2" t="s">
        <v>99</v>
      </c>
      <c r="F53" s="2" t="s">
        <v>375</v>
      </c>
      <c r="G53" s="2" t="s">
        <v>375</v>
      </c>
      <c r="H53" s="2"/>
      <c r="I53" s="2">
        <v>18000</v>
      </c>
      <c r="J53" s="2" t="s">
        <v>87</v>
      </c>
      <c r="K53" s="2" t="s">
        <v>114</v>
      </c>
      <c r="L53" s="2" t="s">
        <v>375</v>
      </c>
      <c r="M53" s="1"/>
    </row>
    <row r="54">
      <c r="A54" s="1" t="s">
        <v>579</v>
      </c>
      <c r="B54" s="4">
        <v>46210</v>
      </c>
      <c r="C54" s="2" t="s">
        <v>96</v>
      </c>
      <c r="D54" s="2" t="s">
        <v>422</v>
      </c>
      <c r="E54" s="2" t="s">
        <v>99</v>
      </c>
      <c r="F54" s="2" t="s">
        <v>387</v>
      </c>
      <c r="G54" s="2" t="s">
        <v>387</v>
      </c>
      <c r="H54" s="2"/>
      <c r="I54" s="2">
        <v>999</v>
      </c>
      <c r="J54" s="2" t="s">
        <v>89</v>
      </c>
      <c r="K54" s="2" t="s">
        <v>114</v>
      </c>
      <c r="L54" s="2" t="s">
        <v>482</v>
      </c>
      <c r="M54" s="1"/>
    </row>
    <row r="55">
      <c r="A55" s="1" t="s">
        <v>580</v>
      </c>
      <c r="B55" s="4">
        <v>46208</v>
      </c>
      <c r="C55" s="2" t="s">
        <v>96</v>
      </c>
      <c r="D55" s="2" t="s">
        <v>426</v>
      </c>
      <c r="E55" s="2" t="s">
        <v>103</v>
      </c>
      <c r="F55" s="2" t="s">
        <v>181</v>
      </c>
      <c r="G55" s="2" t="s">
        <v>186</v>
      </c>
      <c r="H55" s="2"/>
      <c r="I55" s="2">
        <v>10000</v>
      </c>
      <c r="J55" s="2" t="s">
        <v>87</v>
      </c>
      <c r="K55" s="2" t="s">
        <v>114</v>
      </c>
      <c r="L55" s="2" t="s">
        <v>555</v>
      </c>
      <c r="M55" s="1"/>
    </row>
    <row r="56">
      <c r="A56" s="1" t="s">
        <v>581</v>
      </c>
      <c r="B56" s="4">
        <v>46208</v>
      </c>
      <c r="C56" s="2" t="s">
        <v>96</v>
      </c>
      <c r="D56" s="2" t="s">
        <v>422</v>
      </c>
      <c r="E56" s="2" t="s">
        <v>102</v>
      </c>
      <c r="F56" s="2" t="s">
        <v>206</v>
      </c>
      <c r="G56" s="2" t="s">
        <v>405</v>
      </c>
      <c r="H56" s="2"/>
      <c r="I56" s="2">
        <v>8500</v>
      </c>
      <c r="J56" s="2" t="s">
        <v>87</v>
      </c>
      <c r="K56" s="2" t="s">
        <v>114</v>
      </c>
      <c r="L56" s="2" t="s">
        <v>557</v>
      </c>
      <c r="M56" s="1"/>
    </row>
    <row r="57">
      <c r="A57" s="1" t="s">
        <v>582</v>
      </c>
      <c r="B57" s="4">
        <v>46235</v>
      </c>
      <c r="C57" s="2" t="s">
        <v>96</v>
      </c>
      <c r="D57" s="2" t="s">
        <v>422</v>
      </c>
      <c r="E57" s="2" t="s">
        <v>99</v>
      </c>
      <c r="F57" s="2" t="s">
        <v>375</v>
      </c>
      <c r="G57" s="2" t="s">
        <v>375</v>
      </c>
      <c r="H57" s="2"/>
      <c r="I57" s="2">
        <v>18000</v>
      </c>
      <c r="J57" s="2" t="s">
        <v>87</v>
      </c>
      <c r="K57" s="2" t="s">
        <v>114</v>
      </c>
      <c r="L57" s="2" t="s">
        <v>375</v>
      </c>
      <c r="M57" s="1"/>
    </row>
    <row r="58">
      <c r="A58" s="1" t="s">
        <v>583</v>
      </c>
      <c r="B58" s="4">
        <v>46241</v>
      </c>
      <c r="C58" s="2" t="s">
        <v>96</v>
      </c>
      <c r="D58" s="2" t="s">
        <v>422</v>
      </c>
      <c r="E58" s="2" t="s">
        <v>99</v>
      </c>
      <c r="F58" s="2" t="s">
        <v>387</v>
      </c>
      <c r="G58" s="2" t="s">
        <v>387</v>
      </c>
      <c r="H58" s="2"/>
      <c r="I58" s="2">
        <v>999</v>
      </c>
      <c r="J58" s="2" t="s">
        <v>89</v>
      </c>
      <c r="K58" s="2" t="s">
        <v>114</v>
      </c>
      <c r="L58" s="2" t="s">
        <v>482</v>
      </c>
      <c r="M58" s="1"/>
    </row>
    <row r="59">
      <c r="A59" s="1" t="s">
        <v>584</v>
      </c>
      <c r="B59" s="4">
        <v>46239</v>
      </c>
      <c r="C59" s="2" t="s">
        <v>96</v>
      </c>
      <c r="D59" s="2" t="s">
        <v>426</v>
      </c>
      <c r="E59" s="2" t="s">
        <v>103</v>
      </c>
      <c r="F59" s="2" t="s">
        <v>181</v>
      </c>
      <c r="G59" s="2" t="s">
        <v>186</v>
      </c>
      <c r="H59" s="2"/>
      <c r="I59" s="2">
        <v>10000</v>
      </c>
      <c r="J59" s="2" t="s">
        <v>87</v>
      </c>
      <c r="K59" s="2" t="s">
        <v>114</v>
      </c>
      <c r="L59" s="2" t="s">
        <v>555</v>
      </c>
      <c r="M59" s="1"/>
    </row>
    <row r="60">
      <c r="A60" s="1" t="s">
        <v>585</v>
      </c>
      <c r="B60" s="4">
        <v>46239</v>
      </c>
      <c r="C60" s="2" t="s">
        <v>96</v>
      </c>
      <c r="D60" s="2" t="s">
        <v>422</v>
      </c>
      <c r="E60" s="2" t="s">
        <v>102</v>
      </c>
      <c r="F60" s="2" t="s">
        <v>206</v>
      </c>
      <c r="G60" s="2" t="s">
        <v>405</v>
      </c>
      <c r="H60" s="2"/>
      <c r="I60" s="2">
        <v>8500</v>
      </c>
      <c r="J60" s="2" t="s">
        <v>87</v>
      </c>
      <c r="K60" s="2" t="s">
        <v>114</v>
      </c>
      <c r="L60" s="2" t="s">
        <v>557</v>
      </c>
      <c r="M60" s="1"/>
    </row>
    <row r="61">
      <c r="A61" s="1" t="s">
        <v>586</v>
      </c>
      <c r="B61" s="4">
        <v>46266</v>
      </c>
      <c r="C61" s="2" t="s">
        <v>96</v>
      </c>
      <c r="D61" s="2" t="s">
        <v>422</v>
      </c>
      <c r="E61" s="2" t="s">
        <v>99</v>
      </c>
      <c r="F61" s="2" t="s">
        <v>375</v>
      </c>
      <c r="G61" s="2" t="s">
        <v>375</v>
      </c>
      <c r="H61" s="2"/>
      <c r="I61" s="2">
        <v>18000</v>
      </c>
      <c r="J61" s="2" t="s">
        <v>87</v>
      </c>
      <c r="K61" s="2" t="s">
        <v>114</v>
      </c>
      <c r="L61" s="2" t="s">
        <v>375</v>
      </c>
      <c r="M61" s="1"/>
    </row>
    <row r="62">
      <c r="A62" s="1" t="s">
        <v>587</v>
      </c>
      <c r="B62" s="4">
        <v>46272</v>
      </c>
      <c r="C62" s="2" t="s">
        <v>96</v>
      </c>
      <c r="D62" s="2" t="s">
        <v>422</v>
      </c>
      <c r="E62" s="2" t="s">
        <v>99</v>
      </c>
      <c r="F62" s="2" t="s">
        <v>387</v>
      </c>
      <c r="G62" s="2" t="s">
        <v>387</v>
      </c>
      <c r="H62" s="2"/>
      <c r="I62" s="2">
        <v>999</v>
      </c>
      <c r="J62" s="2" t="s">
        <v>89</v>
      </c>
      <c r="K62" s="2" t="s">
        <v>114</v>
      </c>
      <c r="L62" s="2" t="s">
        <v>482</v>
      </c>
      <c r="M62" s="1"/>
    </row>
    <row r="63">
      <c r="A63" s="1" t="s">
        <v>588</v>
      </c>
      <c r="B63" s="4">
        <v>46270</v>
      </c>
      <c r="C63" s="2" t="s">
        <v>96</v>
      </c>
      <c r="D63" s="2" t="s">
        <v>426</v>
      </c>
      <c r="E63" s="2" t="s">
        <v>103</v>
      </c>
      <c r="F63" s="2" t="s">
        <v>181</v>
      </c>
      <c r="G63" s="2" t="s">
        <v>186</v>
      </c>
      <c r="H63" s="2"/>
      <c r="I63" s="2">
        <v>10000</v>
      </c>
      <c r="J63" s="2" t="s">
        <v>87</v>
      </c>
      <c r="K63" s="2" t="s">
        <v>114</v>
      </c>
      <c r="L63" s="2" t="s">
        <v>555</v>
      </c>
      <c r="M63" s="1"/>
    </row>
    <row r="64">
      <c r="A64" s="1" t="s">
        <v>589</v>
      </c>
      <c r="B64" s="4">
        <v>46270</v>
      </c>
      <c r="C64" s="2" t="s">
        <v>96</v>
      </c>
      <c r="D64" s="2" t="s">
        <v>422</v>
      </c>
      <c r="E64" s="2" t="s">
        <v>102</v>
      </c>
      <c r="F64" s="2" t="s">
        <v>206</v>
      </c>
      <c r="G64" s="2" t="s">
        <v>405</v>
      </c>
      <c r="H64" s="2"/>
      <c r="I64" s="2">
        <v>8500</v>
      </c>
      <c r="J64" s="2" t="s">
        <v>87</v>
      </c>
      <c r="K64" s="2" t="s">
        <v>114</v>
      </c>
      <c r="L64" s="2" t="s">
        <v>557</v>
      </c>
      <c r="M64" s="1"/>
    </row>
    <row r="65">
      <c r="A65" s="1" t="s">
        <v>590</v>
      </c>
      <c r="B65" s="4">
        <v>46042</v>
      </c>
      <c r="C65" s="2" t="s">
        <v>96</v>
      </c>
      <c r="D65" s="2" t="s">
        <v>422</v>
      </c>
      <c r="E65" s="2" t="s">
        <v>99</v>
      </c>
      <c r="F65" s="2" t="s">
        <v>402</v>
      </c>
      <c r="G65" s="2" t="s">
        <v>402</v>
      </c>
      <c r="H65" s="2"/>
      <c r="I65" s="2">
        <v>3500</v>
      </c>
      <c r="J65" s="2" t="s">
        <v>93</v>
      </c>
      <c r="K65" s="2" t="s">
        <v>114</v>
      </c>
      <c r="L65" s="2" t="s">
        <v>402</v>
      </c>
      <c r="M65" s="1"/>
    </row>
    <row r="66">
      <c r="A66" s="1" t="s">
        <v>591</v>
      </c>
      <c r="B66" s="4">
        <v>46132</v>
      </c>
      <c r="C66" s="2" t="s">
        <v>96</v>
      </c>
      <c r="D66" s="2" t="s">
        <v>422</v>
      </c>
      <c r="E66" s="2" t="s">
        <v>99</v>
      </c>
      <c r="F66" s="2" t="s">
        <v>402</v>
      </c>
      <c r="G66" s="2" t="s">
        <v>402</v>
      </c>
      <c r="H66" s="2"/>
      <c r="I66" s="2">
        <v>3500</v>
      </c>
      <c r="J66" s="2" t="s">
        <v>93</v>
      </c>
      <c r="K66" s="2" t="s">
        <v>114</v>
      </c>
      <c r="L66" s="2" t="s">
        <v>402</v>
      </c>
      <c r="M66" s="1"/>
    </row>
    <row r="67">
      <c r="A67" s="1" t="s">
        <v>592</v>
      </c>
      <c r="B67" s="4">
        <v>46223</v>
      </c>
      <c r="C67" s="2" t="s">
        <v>96</v>
      </c>
      <c r="D67" s="2" t="s">
        <v>422</v>
      </c>
      <c r="E67" s="2" t="s">
        <v>99</v>
      </c>
      <c r="F67" s="2" t="s">
        <v>402</v>
      </c>
      <c r="G67" s="2" t="s">
        <v>402</v>
      </c>
      <c r="H67" s="2"/>
      <c r="I67" s="2">
        <v>3500</v>
      </c>
      <c r="J67" s="2" t="s">
        <v>93</v>
      </c>
      <c r="K67" s="2" t="s">
        <v>114</v>
      </c>
      <c r="L67" s="2" t="s">
        <v>402</v>
      </c>
      <c r="M67" s="1"/>
    </row>
    <row r="68">
      <c r="A68" s="1" t="s">
        <v>593</v>
      </c>
      <c r="B68" s="4">
        <v>46032</v>
      </c>
      <c r="C68" s="2" t="s">
        <v>96</v>
      </c>
      <c r="D68" s="2" t="s">
        <v>422</v>
      </c>
      <c r="E68" s="2" t="s">
        <v>99</v>
      </c>
      <c r="F68" s="2" t="s">
        <v>387</v>
      </c>
      <c r="G68" s="2" t="s">
        <v>387</v>
      </c>
      <c r="H68" s="2"/>
      <c r="I68" s="2">
        <v>1840</v>
      </c>
      <c r="J68" s="2" t="s">
        <v>89</v>
      </c>
      <c r="K68" s="2" t="s">
        <v>114</v>
      </c>
      <c r="L68" s="2" t="s">
        <v>478</v>
      </c>
      <c r="M68" s="1"/>
    </row>
    <row r="69">
      <c r="A69" s="1" t="s">
        <v>594</v>
      </c>
      <c r="B69" s="4">
        <v>46025</v>
      </c>
      <c r="C69" s="2" t="s">
        <v>96</v>
      </c>
      <c r="D69" s="2" t="s">
        <v>422</v>
      </c>
      <c r="E69" s="2" t="s">
        <v>99</v>
      </c>
      <c r="F69" s="2" t="s">
        <v>387</v>
      </c>
      <c r="G69" s="2" t="s">
        <v>387</v>
      </c>
      <c r="H69" s="2"/>
      <c r="I69" s="2">
        <v>599</v>
      </c>
      <c r="J69" s="2" t="s">
        <v>89</v>
      </c>
      <c r="K69" s="2" t="s">
        <v>114</v>
      </c>
      <c r="L69" s="2" t="s">
        <v>595</v>
      </c>
      <c r="M69" s="1"/>
    </row>
    <row r="70">
      <c r="A70" s="1" t="s">
        <v>596</v>
      </c>
      <c r="B70" s="4">
        <v>46037</v>
      </c>
      <c r="C70" s="2" t="s">
        <v>96</v>
      </c>
      <c r="D70" s="2" t="s">
        <v>422</v>
      </c>
      <c r="E70" s="2" t="s">
        <v>99</v>
      </c>
      <c r="F70" s="2" t="s">
        <v>390</v>
      </c>
      <c r="G70" s="2" t="s">
        <v>390</v>
      </c>
      <c r="H70" s="2"/>
      <c r="I70" s="2">
        <v>119</v>
      </c>
      <c r="J70" s="2" t="s">
        <v>91</v>
      </c>
      <c r="K70" s="2" t="s">
        <v>114</v>
      </c>
      <c r="L70" s="2" t="s">
        <v>488</v>
      </c>
      <c r="M70" s="1"/>
    </row>
    <row r="71">
      <c r="A71" s="1" t="s">
        <v>597</v>
      </c>
      <c r="B71" s="4">
        <v>46038</v>
      </c>
      <c r="C71" s="2" t="s">
        <v>96</v>
      </c>
      <c r="D71" s="2" t="s">
        <v>422</v>
      </c>
      <c r="E71" s="2" t="s">
        <v>99</v>
      </c>
      <c r="F71" s="2" t="s">
        <v>390</v>
      </c>
      <c r="G71" s="2" t="s">
        <v>390</v>
      </c>
      <c r="H71" s="2"/>
      <c r="I71" s="2">
        <v>649</v>
      </c>
      <c r="J71" s="2" t="s">
        <v>91</v>
      </c>
      <c r="K71" s="2" t="s">
        <v>114</v>
      </c>
      <c r="L71" s="2" t="s">
        <v>492</v>
      </c>
      <c r="M71" s="1"/>
    </row>
    <row r="72">
      <c r="A72" s="1" t="s">
        <v>598</v>
      </c>
      <c r="B72" s="4">
        <v>46024</v>
      </c>
      <c r="C72" s="2" t="s">
        <v>96</v>
      </c>
      <c r="D72" s="2" t="s">
        <v>422</v>
      </c>
      <c r="E72" s="2" t="s">
        <v>99</v>
      </c>
      <c r="F72" s="2" t="s">
        <v>399</v>
      </c>
      <c r="G72" s="2" t="s">
        <v>399</v>
      </c>
      <c r="H72" s="2"/>
      <c r="I72" s="2">
        <v>1500</v>
      </c>
      <c r="J72" s="2" t="s">
        <v>89</v>
      </c>
      <c r="K72" s="2" t="s">
        <v>114</v>
      </c>
      <c r="L72" s="2" t="s">
        <v>500</v>
      </c>
      <c r="M72" s="1"/>
    </row>
    <row r="73">
      <c r="A73" s="1" t="s">
        <v>599</v>
      </c>
      <c r="B73" s="4">
        <v>46030</v>
      </c>
      <c r="C73" s="2" t="s">
        <v>96</v>
      </c>
      <c r="D73" s="2" t="s">
        <v>422</v>
      </c>
      <c r="E73" s="2" t="s">
        <v>102</v>
      </c>
      <c r="F73" s="2" t="s">
        <v>470</v>
      </c>
      <c r="G73" s="2" t="s">
        <v>405</v>
      </c>
      <c r="H73" s="2"/>
      <c r="I73" s="2">
        <v>4200</v>
      </c>
      <c r="J73" s="2" t="s">
        <v>87</v>
      </c>
      <c r="K73" s="2" t="s">
        <v>114</v>
      </c>
      <c r="L73" s="2" t="s">
        <v>470</v>
      </c>
      <c r="M73" s="1"/>
    </row>
    <row r="74">
      <c r="A74" s="1" t="s">
        <v>600</v>
      </c>
      <c r="B74" s="4">
        <v>46152</v>
      </c>
      <c r="C74" s="2" t="s">
        <v>96</v>
      </c>
      <c r="D74" s="2" t="s">
        <v>422</v>
      </c>
      <c r="E74" s="2" t="s">
        <v>99</v>
      </c>
      <c r="F74" s="2" t="s">
        <v>387</v>
      </c>
      <c r="G74" s="2" t="s">
        <v>387</v>
      </c>
      <c r="H74" s="2"/>
      <c r="I74" s="2">
        <v>2000</v>
      </c>
      <c r="J74" s="2" t="s">
        <v>89</v>
      </c>
      <c r="K74" s="2" t="s">
        <v>114</v>
      </c>
      <c r="L74" s="2" t="s">
        <v>478</v>
      </c>
      <c r="M74" s="1"/>
    </row>
    <row r="75">
      <c r="A75" s="1" t="s">
        <v>601</v>
      </c>
      <c r="B75" s="4">
        <v>46145</v>
      </c>
      <c r="C75" s="2" t="s">
        <v>96</v>
      </c>
      <c r="D75" s="2" t="s">
        <v>422</v>
      </c>
      <c r="E75" s="2" t="s">
        <v>99</v>
      </c>
      <c r="F75" s="2" t="s">
        <v>387</v>
      </c>
      <c r="G75" s="2" t="s">
        <v>387</v>
      </c>
      <c r="H75" s="2"/>
      <c r="I75" s="2">
        <v>599</v>
      </c>
      <c r="J75" s="2" t="s">
        <v>89</v>
      </c>
      <c r="K75" s="2" t="s">
        <v>114</v>
      </c>
      <c r="L75" s="2" t="s">
        <v>595</v>
      </c>
      <c r="M75" s="1"/>
    </row>
    <row r="76">
      <c r="A76" s="1" t="s">
        <v>602</v>
      </c>
      <c r="B76" s="4">
        <v>46157</v>
      </c>
      <c r="C76" s="2" t="s">
        <v>96</v>
      </c>
      <c r="D76" s="2" t="s">
        <v>422</v>
      </c>
      <c r="E76" s="2" t="s">
        <v>99</v>
      </c>
      <c r="F76" s="2" t="s">
        <v>390</v>
      </c>
      <c r="G76" s="2" t="s">
        <v>390</v>
      </c>
      <c r="H76" s="2"/>
      <c r="I76" s="2">
        <v>119</v>
      </c>
      <c r="J76" s="2" t="s">
        <v>91</v>
      </c>
      <c r="K76" s="2" t="s">
        <v>114</v>
      </c>
      <c r="L76" s="2" t="s">
        <v>488</v>
      </c>
      <c r="M76" s="1"/>
    </row>
    <row r="77">
      <c r="A77" s="1" t="s">
        <v>603</v>
      </c>
      <c r="B77" s="4">
        <v>46158</v>
      </c>
      <c r="C77" s="2" t="s">
        <v>96</v>
      </c>
      <c r="D77" s="2" t="s">
        <v>422</v>
      </c>
      <c r="E77" s="2" t="s">
        <v>99</v>
      </c>
      <c r="F77" s="2" t="s">
        <v>390</v>
      </c>
      <c r="G77" s="2" t="s">
        <v>390</v>
      </c>
      <c r="H77" s="2"/>
      <c r="I77" s="2">
        <v>649</v>
      </c>
      <c r="J77" s="2" t="s">
        <v>91</v>
      </c>
      <c r="K77" s="2" t="s">
        <v>114</v>
      </c>
      <c r="L77" s="2" t="s">
        <v>492</v>
      </c>
      <c r="M77" s="1"/>
    </row>
    <row r="78">
      <c r="A78" s="1" t="s">
        <v>604</v>
      </c>
      <c r="B78" s="4">
        <v>46144</v>
      </c>
      <c r="C78" s="2" t="s">
        <v>96</v>
      </c>
      <c r="D78" s="2" t="s">
        <v>422</v>
      </c>
      <c r="E78" s="2" t="s">
        <v>99</v>
      </c>
      <c r="F78" s="2" t="s">
        <v>399</v>
      </c>
      <c r="G78" s="2" t="s">
        <v>399</v>
      </c>
      <c r="H78" s="2"/>
      <c r="I78" s="2">
        <v>1500</v>
      </c>
      <c r="J78" s="2" t="s">
        <v>89</v>
      </c>
      <c r="K78" s="2" t="s">
        <v>114</v>
      </c>
      <c r="L78" s="2" t="s">
        <v>500</v>
      </c>
      <c r="M78" s="1"/>
    </row>
    <row r="79">
      <c r="A79" s="1" t="s">
        <v>605</v>
      </c>
      <c r="B79" s="4">
        <v>46150</v>
      </c>
      <c r="C79" s="2" t="s">
        <v>96</v>
      </c>
      <c r="D79" s="2" t="s">
        <v>422</v>
      </c>
      <c r="E79" s="2" t="s">
        <v>102</v>
      </c>
      <c r="F79" s="2" t="s">
        <v>470</v>
      </c>
      <c r="G79" s="2" t="s">
        <v>405</v>
      </c>
      <c r="H79" s="2"/>
      <c r="I79" s="2">
        <v>4200</v>
      </c>
      <c r="J79" s="2" t="s">
        <v>87</v>
      </c>
      <c r="K79" s="2" t="s">
        <v>114</v>
      </c>
      <c r="L79" s="2" t="s">
        <v>470</v>
      </c>
      <c r="M79" s="1"/>
    </row>
    <row r="80">
      <c r="A80" s="1" t="s">
        <v>606</v>
      </c>
      <c r="B80" s="4">
        <v>46275</v>
      </c>
      <c r="C80" s="2" t="s">
        <v>96</v>
      </c>
      <c r="D80" s="2" t="s">
        <v>422</v>
      </c>
      <c r="E80" s="2" t="s">
        <v>99</v>
      </c>
      <c r="F80" s="2" t="s">
        <v>387</v>
      </c>
      <c r="G80" s="2" t="s">
        <v>387</v>
      </c>
      <c r="H80" s="2"/>
      <c r="I80" s="2">
        <v>2160</v>
      </c>
      <c r="J80" s="2" t="s">
        <v>89</v>
      </c>
      <c r="K80" s="2" t="s">
        <v>114</v>
      </c>
      <c r="L80" s="2" t="s">
        <v>478</v>
      </c>
      <c r="M80" s="1"/>
    </row>
    <row r="81">
      <c r="A81" s="1" t="s">
        <v>607</v>
      </c>
      <c r="B81" s="4">
        <v>46268</v>
      </c>
      <c r="C81" s="2" t="s">
        <v>96</v>
      </c>
      <c r="D81" s="2" t="s">
        <v>422</v>
      </c>
      <c r="E81" s="2" t="s">
        <v>99</v>
      </c>
      <c r="F81" s="2" t="s">
        <v>387</v>
      </c>
      <c r="G81" s="2" t="s">
        <v>387</v>
      </c>
      <c r="H81" s="2"/>
      <c r="I81" s="2">
        <v>599</v>
      </c>
      <c r="J81" s="2" t="s">
        <v>89</v>
      </c>
      <c r="K81" s="2" t="s">
        <v>114</v>
      </c>
      <c r="L81" s="2" t="s">
        <v>595</v>
      </c>
      <c r="M81" s="1"/>
    </row>
    <row r="82">
      <c r="A82" s="1" t="s">
        <v>608</v>
      </c>
      <c r="B82" s="4">
        <v>46280</v>
      </c>
      <c r="C82" s="2" t="s">
        <v>96</v>
      </c>
      <c r="D82" s="2" t="s">
        <v>422</v>
      </c>
      <c r="E82" s="2" t="s">
        <v>99</v>
      </c>
      <c r="F82" s="2" t="s">
        <v>390</v>
      </c>
      <c r="G82" s="2" t="s">
        <v>390</v>
      </c>
      <c r="H82" s="2"/>
      <c r="I82" s="2">
        <v>119</v>
      </c>
      <c r="J82" s="2" t="s">
        <v>91</v>
      </c>
      <c r="K82" s="2" t="s">
        <v>114</v>
      </c>
      <c r="L82" s="2" t="s">
        <v>488</v>
      </c>
      <c r="M82" s="1"/>
    </row>
    <row r="83">
      <c r="A83" s="1" t="s">
        <v>609</v>
      </c>
      <c r="B83" s="4">
        <v>46281</v>
      </c>
      <c r="C83" s="2" t="s">
        <v>96</v>
      </c>
      <c r="D83" s="2" t="s">
        <v>422</v>
      </c>
      <c r="E83" s="2" t="s">
        <v>99</v>
      </c>
      <c r="F83" s="2" t="s">
        <v>390</v>
      </c>
      <c r="G83" s="2" t="s">
        <v>390</v>
      </c>
      <c r="H83" s="2"/>
      <c r="I83" s="2">
        <v>649</v>
      </c>
      <c r="J83" s="2" t="s">
        <v>91</v>
      </c>
      <c r="K83" s="2" t="s">
        <v>114</v>
      </c>
      <c r="L83" s="2" t="s">
        <v>492</v>
      </c>
      <c r="M83" s="1"/>
    </row>
    <row r="84">
      <c r="A84" s="1" t="s">
        <v>610</v>
      </c>
      <c r="B84" s="4">
        <v>46267</v>
      </c>
      <c r="C84" s="2" t="s">
        <v>96</v>
      </c>
      <c r="D84" s="2" t="s">
        <v>422</v>
      </c>
      <c r="E84" s="2" t="s">
        <v>99</v>
      </c>
      <c r="F84" s="2" t="s">
        <v>399</v>
      </c>
      <c r="G84" s="2" t="s">
        <v>399</v>
      </c>
      <c r="H84" s="2"/>
      <c r="I84" s="2">
        <v>1500</v>
      </c>
      <c r="J84" s="2" t="s">
        <v>89</v>
      </c>
      <c r="K84" s="2" t="s">
        <v>114</v>
      </c>
      <c r="L84" s="2" t="s">
        <v>500</v>
      </c>
      <c r="M84" s="1"/>
    </row>
    <row r="85">
      <c r="A85" s="1" t="s">
        <v>611</v>
      </c>
      <c r="B85" s="4">
        <v>46273</v>
      </c>
      <c r="C85" s="2" t="s">
        <v>96</v>
      </c>
      <c r="D85" s="2" t="s">
        <v>422</v>
      </c>
      <c r="E85" s="2" t="s">
        <v>102</v>
      </c>
      <c r="F85" s="2" t="s">
        <v>470</v>
      </c>
      <c r="G85" s="2" t="s">
        <v>405</v>
      </c>
      <c r="H85" s="2"/>
      <c r="I85" s="2">
        <v>4200</v>
      </c>
      <c r="J85" s="2" t="s">
        <v>87</v>
      </c>
      <c r="K85" s="2" t="s">
        <v>114</v>
      </c>
      <c r="L85" s="2" t="s">
        <v>470</v>
      </c>
      <c r="M85" s="1"/>
    </row>
    <row r="86">
      <c r="A86" s="1" t="s">
        <v>612</v>
      </c>
      <c r="B86" s="4">
        <v>46040</v>
      </c>
      <c r="C86" s="2" t="s">
        <v>96</v>
      </c>
      <c r="D86" s="2" t="s">
        <v>422</v>
      </c>
      <c r="E86" s="2" t="s">
        <v>99</v>
      </c>
      <c r="F86" s="2" t="s">
        <v>390</v>
      </c>
      <c r="G86" s="2" t="s">
        <v>390</v>
      </c>
      <c r="H86" s="2"/>
      <c r="I86" s="2">
        <v>299</v>
      </c>
      <c r="J86" s="2" t="s">
        <v>91</v>
      </c>
      <c r="K86" s="2" t="s">
        <v>114</v>
      </c>
      <c r="L86" s="2" t="s">
        <v>504</v>
      </c>
      <c r="M86" s="1"/>
    </row>
    <row r="87">
      <c r="A87" s="1" t="s">
        <v>613</v>
      </c>
      <c r="B87" s="4">
        <v>46191</v>
      </c>
      <c r="C87" s="2" t="s">
        <v>96</v>
      </c>
      <c r="D87" s="2" t="s">
        <v>422</v>
      </c>
      <c r="E87" s="2" t="s">
        <v>99</v>
      </c>
      <c r="F87" s="2" t="s">
        <v>390</v>
      </c>
      <c r="G87" s="2" t="s">
        <v>390</v>
      </c>
      <c r="H87" s="2"/>
      <c r="I87" s="2">
        <v>299</v>
      </c>
      <c r="J87" s="2" t="s">
        <v>91</v>
      </c>
      <c r="K87" s="2" t="s">
        <v>114</v>
      </c>
      <c r="L87" s="2" t="s">
        <v>504</v>
      </c>
      <c r="M87" s="1"/>
    </row>
    <row r="88">
      <c r="A88" s="1" t="s">
        <v>614</v>
      </c>
      <c r="B88" s="4">
        <v>46030</v>
      </c>
      <c r="C88" s="2" t="s">
        <v>96</v>
      </c>
      <c r="D88" s="2" t="s">
        <v>422</v>
      </c>
      <c r="E88" s="2" t="s">
        <v>99</v>
      </c>
      <c r="F88" s="2" t="s">
        <v>378</v>
      </c>
      <c r="G88" s="2" t="s">
        <v>378</v>
      </c>
      <c r="H88" s="2"/>
      <c r="I88" s="2">
        <v>1800</v>
      </c>
      <c r="J88" s="2" t="s">
        <v>89</v>
      </c>
      <c r="K88" s="2" t="s">
        <v>114</v>
      </c>
      <c r="L88" s="2" t="s">
        <v>378</v>
      </c>
      <c r="M88" s="1"/>
    </row>
    <row r="89">
      <c r="A89" s="1" t="s">
        <v>615</v>
      </c>
      <c r="B89" s="4">
        <v>46065</v>
      </c>
      <c r="C89" s="2" t="s">
        <v>96</v>
      </c>
      <c r="D89" s="2" t="s">
        <v>422</v>
      </c>
      <c r="E89" s="2" t="s">
        <v>99</v>
      </c>
      <c r="F89" s="2" t="s">
        <v>378</v>
      </c>
      <c r="G89" s="2" t="s">
        <v>378</v>
      </c>
      <c r="H89" s="2"/>
      <c r="I89" s="2">
        <v>1946</v>
      </c>
      <c r="J89" s="2" t="s">
        <v>89</v>
      </c>
      <c r="K89" s="2" t="s">
        <v>114</v>
      </c>
      <c r="L89" s="2" t="s">
        <v>378</v>
      </c>
      <c r="M89" s="1"/>
    </row>
    <row r="90">
      <c r="A90" s="1" t="s">
        <v>616</v>
      </c>
      <c r="B90" s="4">
        <v>46090</v>
      </c>
      <c r="C90" s="2" t="s">
        <v>96</v>
      </c>
      <c r="D90" s="2" t="s">
        <v>422</v>
      </c>
      <c r="E90" s="2" t="s">
        <v>99</v>
      </c>
      <c r="F90" s="2" t="s">
        <v>378</v>
      </c>
      <c r="G90" s="2" t="s">
        <v>378</v>
      </c>
      <c r="H90" s="2"/>
      <c r="I90" s="2">
        <v>2092</v>
      </c>
      <c r="J90" s="2" t="s">
        <v>89</v>
      </c>
      <c r="K90" s="2" t="s">
        <v>114</v>
      </c>
      <c r="L90" s="2" t="s">
        <v>378</v>
      </c>
      <c r="M90" s="1"/>
    </row>
    <row r="91">
      <c r="A91" s="1" t="s">
        <v>617</v>
      </c>
      <c r="B91" s="4">
        <v>46133</v>
      </c>
      <c r="C91" s="2" t="s">
        <v>96</v>
      </c>
      <c r="D91" s="2" t="s">
        <v>422</v>
      </c>
      <c r="E91" s="2" t="s">
        <v>99</v>
      </c>
      <c r="F91" s="2" t="s">
        <v>378</v>
      </c>
      <c r="G91" s="2" t="s">
        <v>378</v>
      </c>
      <c r="H91" s="2"/>
      <c r="I91" s="2">
        <v>2238</v>
      </c>
      <c r="J91" s="2" t="s">
        <v>89</v>
      </c>
      <c r="K91" s="2" t="s">
        <v>114</v>
      </c>
      <c r="L91" s="2" t="s">
        <v>378</v>
      </c>
      <c r="M91" s="1"/>
    </row>
    <row r="92">
      <c r="A92" s="1" t="s">
        <v>618</v>
      </c>
      <c r="B92" s="4">
        <v>46161</v>
      </c>
      <c r="C92" s="2" t="s">
        <v>96</v>
      </c>
      <c r="D92" s="2" t="s">
        <v>422</v>
      </c>
      <c r="E92" s="2" t="s">
        <v>99</v>
      </c>
      <c r="F92" s="2" t="s">
        <v>378</v>
      </c>
      <c r="G92" s="2" t="s">
        <v>378</v>
      </c>
      <c r="H92" s="2"/>
      <c r="I92" s="2">
        <v>2384</v>
      </c>
      <c r="J92" s="2" t="s">
        <v>89</v>
      </c>
      <c r="K92" s="2" t="s">
        <v>114</v>
      </c>
      <c r="L92" s="2" t="s">
        <v>378</v>
      </c>
      <c r="M92" s="1"/>
    </row>
    <row r="93">
      <c r="A93" s="1" t="s">
        <v>522</v>
      </c>
      <c r="B93" s="4">
        <v>46180</v>
      </c>
      <c r="C93" s="2" t="s">
        <v>96</v>
      </c>
      <c r="D93" s="2" t="s">
        <v>422</v>
      </c>
      <c r="E93" s="2" t="s">
        <v>99</v>
      </c>
      <c r="F93" s="2" t="s">
        <v>378</v>
      </c>
      <c r="G93" s="2" t="s">
        <v>378</v>
      </c>
      <c r="H93" s="2"/>
      <c r="I93" s="2">
        <v>2530</v>
      </c>
      <c r="J93" s="2" t="s">
        <v>89</v>
      </c>
      <c r="K93" s="2" t="s">
        <v>114</v>
      </c>
      <c r="L93" s="2" t="s">
        <v>378</v>
      </c>
      <c r="M93" s="1"/>
    </row>
    <row r="94">
      <c r="A94" s="1" t="s">
        <v>619</v>
      </c>
      <c r="B94" s="4">
        <v>46221</v>
      </c>
      <c r="C94" s="2" t="s">
        <v>96</v>
      </c>
      <c r="D94" s="2" t="s">
        <v>422</v>
      </c>
      <c r="E94" s="2" t="s">
        <v>99</v>
      </c>
      <c r="F94" s="2" t="s">
        <v>378</v>
      </c>
      <c r="G94" s="2" t="s">
        <v>378</v>
      </c>
      <c r="H94" s="2"/>
      <c r="I94" s="2">
        <v>2676</v>
      </c>
      <c r="J94" s="2" t="s">
        <v>89</v>
      </c>
      <c r="K94" s="2" t="s">
        <v>114</v>
      </c>
      <c r="L94" s="2" t="s">
        <v>378</v>
      </c>
      <c r="M94" s="1"/>
    </row>
    <row r="95">
      <c r="A95" s="1" t="s">
        <v>620</v>
      </c>
      <c r="B95" s="4">
        <v>46258</v>
      </c>
      <c r="C95" s="2" t="s">
        <v>96</v>
      </c>
      <c r="D95" s="2" t="s">
        <v>422</v>
      </c>
      <c r="E95" s="2" t="s">
        <v>99</v>
      </c>
      <c r="F95" s="2" t="s">
        <v>378</v>
      </c>
      <c r="G95" s="2" t="s">
        <v>378</v>
      </c>
      <c r="H95" s="2"/>
      <c r="I95" s="2">
        <v>1922</v>
      </c>
      <c r="J95" s="2" t="s">
        <v>89</v>
      </c>
      <c r="K95" s="2" t="s">
        <v>114</v>
      </c>
      <c r="L95" s="2" t="s">
        <v>378</v>
      </c>
      <c r="M95" s="1"/>
    </row>
    <row r="96">
      <c r="A96" s="1" t="s">
        <v>621</v>
      </c>
      <c r="B96" s="4">
        <v>46269</v>
      </c>
      <c r="C96" s="2" t="s">
        <v>96</v>
      </c>
      <c r="D96" s="2" t="s">
        <v>422</v>
      </c>
      <c r="E96" s="2" t="s">
        <v>99</v>
      </c>
      <c r="F96" s="2" t="s">
        <v>378</v>
      </c>
      <c r="G96" s="2" t="s">
        <v>378</v>
      </c>
      <c r="H96" s="2"/>
      <c r="I96" s="2">
        <v>2068</v>
      </c>
      <c r="J96" s="2" t="s">
        <v>89</v>
      </c>
      <c r="K96" s="2" t="s">
        <v>114</v>
      </c>
      <c r="L96" s="2" t="s">
        <v>378</v>
      </c>
      <c r="M96" s="1"/>
    </row>
    <row r="97">
      <c r="A97" s="1" t="s">
        <v>622</v>
      </c>
      <c r="B97" s="4">
        <v>46036</v>
      </c>
      <c r="C97" s="2" t="s">
        <v>96</v>
      </c>
      <c r="D97" s="2" t="s">
        <v>422</v>
      </c>
      <c r="E97" s="2" t="s">
        <v>99</v>
      </c>
      <c r="F97" s="2" t="s">
        <v>381</v>
      </c>
      <c r="G97" s="2" t="s">
        <v>381</v>
      </c>
      <c r="H97" s="2"/>
      <c r="I97" s="2">
        <v>650</v>
      </c>
      <c r="J97" s="2" t="s">
        <v>89</v>
      </c>
      <c r="K97" s="2" t="s">
        <v>114</v>
      </c>
      <c r="L97" s="2" t="s">
        <v>381</v>
      </c>
      <c r="M97" s="1"/>
    </row>
    <row r="98">
      <c r="A98" s="1" t="s">
        <v>623</v>
      </c>
      <c r="B98" s="4">
        <v>46089</v>
      </c>
      <c r="C98" s="2" t="s">
        <v>96</v>
      </c>
      <c r="D98" s="2" t="s">
        <v>422</v>
      </c>
      <c r="E98" s="2" t="s">
        <v>99</v>
      </c>
      <c r="F98" s="2" t="s">
        <v>381</v>
      </c>
      <c r="G98" s="2" t="s">
        <v>381</v>
      </c>
      <c r="H98" s="2"/>
      <c r="I98" s="2">
        <v>420</v>
      </c>
      <c r="J98" s="2" t="s">
        <v>89</v>
      </c>
      <c r="K98" s="2" t="s">
        <v>114</v>
      </c>
      <c r="L98" s="2" t="s">
        <v>381</v>
      </c>
      <c r="M98" s="1"/>
    </row>
    <row r="99">
      <c r="A99" s="1" t="s">
        <v>624</v>
      </c>
      <c r="B99" s="4">
        <v>46155</v>
      </c>
      <c r="C99" s="2" t="s">
        <v>96</v>
      </c>
      <c r="D99" s="2" t="s">
        <v>422</v>
      </c>
      <c r="E99" s="2" t="s">
        <v>99</v>
      </c>
      <c r="F99" s="2" t="s">
        <v>381</v>
      </c>
      <c r="G99" s="2" t="s">
        <v>381</v>
      </c>
      <c r="H99" s="2"/>
      <c r="I99" s="2">
        <v>780</v>
      </c>
      <c r="J99" s="2" t="s">
        <v>89</v>
      </c>
      <c r="K99" s="2" t="s">
        <v>114</v>
      </c>
      <c r="L99" s="2" t="s">
        <v>381</v>
      </c>
      <c r="M99" s="1"/>
    </row>
    <row r="100">
      <c r="A100" s="1" t="s">
        <v>625</v>
      </c>
      <c r="B100" s="4">
        <v>46229</v>
      </c>
      <c r="C100" s="2" t="s">
        <v>96</v>
      </c>
      <c r="D100" s="2" t="s">
        <v>422</v>
      </c>
      <c r="E100" s="2" t="s">
        <v>99</v>
      </c>
      <c r="F100" s="2" t="s">
        <v>381</v>
      </c>
      <c r="G100" s="2" t="s">
        <v>381</v>
      </c>
      <c r="H100" s="2"/>
      <c r="I100" s="2">
        <v>1600</v>
      </c>
      <c r="J100" s="2" t="s">
        <v>89</v>
      </c>
      <c r="K100" s="2" t="s">
        <v>114</v>
      </c>
      <c r="L100" s="2" t="s">
        <v>381</v>
      </c>
      <c r="M100" s="1"/>
    </row>
    <row r="101">
      <c r="A101" s="1" t="s">
        <v>626</v>
      </c>
      <c r="B101" s="4">
        <v>46242</v>
      </c>
      <c r="C101" s="2" t="s">
        <v>96</v>
      </c>
      <c r="D101" s="2" t="s">
        <v>422</v>
      </c>
      <c r="E101" s="2" t="s">
        <v>99</v>
      </c>
      <c r="F101" s="2" t="s">
        <v>381</v>
      </c>
      <c r="G101" s="2" t="s">
        <v>381</v>
      </c>
      <c r="H101" s="2"/>
      <c r="I101" s="2">
        <v>490</v>
      </c>
      <c r="J101" s="2" t="s">
        <v>89</v>
      </c>
      <c r="K101" s="2" t="s">
        <v>114</v>
      </c>
      <c r="L101" s="2" t="s">
        <v>381</v>
      </c>
      <c r="M101" s="1"/>
    </row>
    <row r="102">
      <c r="A102" s="1" t="s">
        <v>627</v>
      </c>
      <c r="B102" s="4">
        <v>46272</v>
      </c>
      <c r="C102" s="2" t="s">
        <v>96</v>
      </c>
      <c r="D102" s="2" t="s">
        <v>422</v>
      </c>
      <c r="E102" s="2" t="s">
        <v>99</v>
      </c>
      <c r="F102" s="2" t="s">
        <v>381</v>
      </c>
      <c r="G102" s="2" t="s">
        <v>381</v>
      </c>
      <c r="H102" s="2"/>
      <c r="I102" s="2">
        <v>720</v>
      </c>
      <c r="J102" s="2" t="s">
        <v>89</v>
      </c>
      <c r="K102" s="2" t="s">
        <v>114</v>
      </c>
      <c r="L102" s="2" t="s">
        <v>381</v>
      </c>
      <c r="M102" s="1"/>
    </row>
    <row r="103">
      <c r="A103" s="1" t="s">
        <v>628</v>
      </c>
      <c r="B103" s="4">
        <v>46028</v>
      </c>
      <c r="C103" s="2" t="s">
        <v>96</v>
      </c>
      <c r="D103" s="2" t="s">
        <v>438</v>
      </c>
      <c r="E103" s="2" t="s">
        <v>99</v>
      </c>
      <c r="F103" s="2" t="s">
        <v>384</v>
      </c>
      <c r="G103" s="2" t="s">
        <v>384</v>
      </c>
      <c r="H103" s="2"/>
      <c r="I103" s="2">
        <v>210</v>
      </c>
      <c r="J103" s="2" t="s">
        <v>88</v>
      </c>
      <c r="K103" s="2" t="s">
        <v>114</v>
      </c>
      <c r="L103" s="2" t="s">
        <v>629</v>
      </c>
      <c r="M103" s="1"/>
    </row>
    <row r="104">
      <c r="A104" s="1" t="s">
        <v>630</v>
      </c>
      <c r="B104" s="4">
        <v>46098</v>
      </c>
      <c r="C104" s="2" t="s">
        <v>96</v>
      </c>
      <c r="D104" s="2" t="s">
        <v>438</v>
      </c>
      <c r="E104" s="2" t="s">
        <v>99</v>
      </c>
      <c r="F104" s="2" t="s">
        <v>384</v>
      </c>
      <c r="G104" s="2" t="s">
        <v>384</v>
      </c>
      <c r="H104" s="2"/>
      <c r="I104" s="2">
        <v>190</v>
      </c>
      <c r="J104" s="2" t="s">
        <v>88</v>
      </c>
      <c r="K104" s="2" t="s">
        <v>114</v>
      </c>
      <c r="L104" s="2" t="s">
        <v>629</v>
      </c>
      <c r="M104" s="1"/>
    </row>
    <row r="105">
      <c r="A105" s="1" t="s">
        <v>631</v>
      </c>
      <c r="B105" s="4">
        <v>46157</v>
      </c>
      <c r="C105" s="2" t="s">
        <v>96</v>
      </c>
      <c r="D105" s="2" t="s">
        <v>438</v>
      </c>
      <c r="E105" s="2" t="s">
        <v>99</v>
      </c>
      <c r="F105" s="2" t="s">
        <v>384</v>
      </c>
      <c r="G105" s="2" t="s">
        <v>384</v>
      </c>
      <c r="H105" s="2"/>
      <c r="I105" s="2">
        <v>150</v>
      </c>
      <c r="J105" s="2" t="s">
        <v>88</v>
      </c>
      <c r="K105" s="2" t="s">
        <v>114</v>
      </c>
      <c r="L105" s="2" t="s">
        <v>629</v>
      </c>
      <c r="M105" s="1"/>
    </row>
    <row r="106">
      <c r="A106" s="1" t="s">
        <v>632</v>
      </c>
      <c r="B106" s="4">
        <v>46232</v>
      </c>
      <c r="C106" s="2" t="s">
        <v>96</v>
      </c>
      <c r="D106" s="2" t="s">
        <v>438</v>
      </c>
      <c r="E106" s="2" t="s">
        <v>99</v>
      </c>
      <c r="F106" s="2" t="s">
        <v>384</v>
      </c>
      <c r="G106" s="2" t="s">
        <v>384</v>
      </c>
      <c r="H106" s="2"/>
      <c r="I106" s="2">
        <v>90</v>
      </c>
      <c r="J106" s="2" t="s">
        <v>88</v>
      </c>
      <c r="K106" s="2" t="s">
        <v>114</v>
      </c>
      <c r="L106" s="2" t="s">
        <v>629</v>
      </c>
      <c r="M106" s="1"/>
    </row>
    <row r="107">
      <c r="A107" s="1" t="s">
        <v>633</v>
      </c>
      <c r="B107" s="4">
        <v>46274</v>
      </c>
      <c r="C107" s="2" t="s">
        <v>96</v>
      </c>
      <c r="D107" s="2" t="s">
        <v>438</v>
      </c>
      <c r="E107" s="2" t="s">
        <v>99</v>
      </c>
      <c r="F107" s="2" t="s">
        <v>384</v>
      </c>
      <c r="G107" s="2" t="s">
        <v>384</v>
      </c>
      <c r="H107" s="2"/>
      <c r="I107" s="2">
        <v>175</v>
      </c>
      <c r="J107" s="2" t="s">
        <v>88</v>
      </c>
      <c r="K107" s="2" t="s">
        <v>114</v>
      </c>
      <c r="L107" s="2" t="s">
        <v>629</v>
      </c>
      <c r="M107" s="1"/>
    </row>
    <row r="108">
      <c r="A108" s="1" t="s">
        <v>634</v>
      </c>
      <c r="B108" s="4">
        <v>46055</v>
      </c>
      <c r="C108" s="2" t="s">
        <v>97</v>
      </c>
      <c r="D108" s="2" t="s">
        <v>422</v>
      </c>
      <c r="E108" s="2" t="s">
        <v>100</v>
      </c>
      <c r="F108" s="2" t="s">
        <v>426</v>
      </c>
      <c r="G108" s="2"/>
      <c r="H108" s="2"/>
      <c r="I108" s="2">
        <v>15000</v>
      </c>
      <c r="J108" s="2" t="s">
        <v>87</v>
      </c>
      <c r="K108" s="2" t="s">
        <v>114</v>
      </c>
      <c r="L108" s="2" t="s">
        <v>635</v>
      </c>
      <c r="M108" s="1"/>
    </row>
    <row r="109">
      <c r="A109" s="1" t="s">
        <v>636</v>
      </c>
      <c r="B109" s="4">
        <v>46115</v>
      </c>
      <c r="C109" s="2" t="s">
        <v>97</v>
      </c>
      <c r="D109" s="2" t="s">
        <v>422</v>
      </c>
      <c r="E109" s="2" t="s">
        <v>100</v>
      </c>
      <c r="F109" s="2" t="s">
        <v>426</v>
      </c>
      <c r="G109" s="2"/>
      <c r="H109" s="2"/>
      <c r="I109" s="2">
        <v>10000</v>
      </c>
      <c r="J109" s="2" t="s">
        <v>87</v>
      </c>
      <c r="K109" s="2" t="s">
        <v>114</v>
      </c>
      <c r="L109" s="2" t="s">
        <v>635</v>
      </c>
      <c r="M109" s="1"/>
    </row>
    <row r="110">
      <c r="A110" s="1" t="s">
        <v>637</v>
      </c>
      <c r="B110" s="4">
        <v>46177</v>
      </c>
      <c r="C110" s="2" t="s">
        <v>97</v>
      </c>
      <c r="D110" s="2" t="s">
        <v>426</v>
      </c>
      <c r="E110" s="2" t="s">
        <v>100</v>
      </c>
      <c r="F110" s="2" t="s">
        <v>422</v>
      </c>
      <c r="G110" s="2"/>
      <c r="H110" s="2"/>
      <c r="I110" s="2">
        <v>8000</v>
      </c>
      <c r="J110" s="2" t="s">
        <v>87</v>
      </c>
      <c r="K110" s="2" t="s">
        <v>114</v>
      </c>
      <c r="L110" s="2" t="s">
        <v>638</v>
      </c>
      <c r="M110" s="1"/>
    </row>
    <row r="111">
      <c r="A111" s="1" t="s">
        <v>639</v>
      </c>
      <c r="B111" s="4">
        <v>46240</v>
      </c>
      <c r="C111" s="2" t="s">
        <v>97</v>
      </c>
      <c r="D111" s="2" t="s">
        <v>422</v>
      </c>
      <c r="E111" s="2" t="s">
        <v>100</v>
      </c>
      <c r="F111" s="2" t="s">
        <v>430</v>
      </c>
      <c r="G111" s="2"/>
      <c r="H111" s="2"/>
      <c r="I111" s="2">
        <v>7000</v>
      </c>
      <c r="J111" s="2" t="s">
        <v>87</v>
      </c>
      <c r="K111" s="2" t="s">
        <v>114</v>
      </c>
      <c r="L111" s="2" t="s">
        <v>640</v>
      </c>
      <c r="M111" s="1"/>
    </row>
    <row r="112">
      <c r="A112" s="1" t="s">
        <v>641</v>
      </c>
      <c r="B112" s="4">
        <v>46033</v>
      </c>
      <c r="C112" s="2" t="s">
        <v>97</v>
      </c>
      <c r="D112" s="2" t="s">
        <v>422</v>
      </c>
      <c r="E112" s="2" t="s">
        <v>100</v>
      </c>
      <c r="F112" s="2" t="s">
        <v>438</v>
      </c>
      <c r="G112" s="2"/>
      <c r="H112" s="2"/>
      <c r="I112" s="2">
        <v>4000</v>
      </c>
      <c r="J112" s="2" t="s">
        <v>88</v>
      </c>
      <c r="K112" s="2" t="s">
        <v>114</v>
      </c>
      <c r="L112" s="2" t="s">
        <v>642</v>
      </c>
      <c r="M112" s="1"/>
    </row>
    <row r="113">
      <c r="A113" s="1" t="s">
        <v>643</v>
      </c>
      <c r="B113" s="4">
        <v>46095</v>
      </c>
      <c r="C113" s="2" t="s">
        <v>97</v>
      </c>
      <c r="D113" s="2" t="s">
        <v>422</v>
      </c>
      <c r="E113" s="2" t="s">
        <v>100</v>
      </c>
      <c r="F113" s="2" t="s">
        <v>438</v>
      </c>
      <c r="G113" s="2"/>
      <c r="H113" s="2"/>
      <c r="I113" s="2">
        <v>3000</v>
      </c>
      <c r="J113" s="2" t="s">
        <v>88</v>
      </c>
      <c r="K113" s="2" t="s">
        <v>114</v>
      </c>
      <c r="L113" s="2" t="s">
        <v>642</v>
      </c>
      <c r="M113" s="1"/>
    </row>
    <row r="114">
      <c r="A114" s="1" t="s">
        <v>644</v>
      </c>
      <c r="B114" s="4">
        <v>46158</v>
      </c>
      <c r="C114" s="2" t="s">
        <v>97</v>
      </c>
      <c r="D114" s="2" t="s">
        <v>422</v>
      </c>
      <c r="E114" s="2" t="s">
        <v>100</v>
      </c>
      <c r="F114" s="2" t="s">
        <v>438</v>
      </c>
      <c r="G114" s="2"/>
      <c r="H114" s="2"/>
      <c r="I114" s="2">
        <v>2500</v>
      </c>
      <c r="J114" s="2" t="s">
        <v>88</v>
      </c>
      <c r="K114" s="2" t="s">
        <v>114</v>
      </c>
      <c r="L114" s="2" t="s">
        <v>642</v>
      </c>
      <c r="M114" s="1"/>
    </row>
    <row r="115">
      <c r="A115" s="1" t="s">
        <v>645</v>
      </c>
      <c r="B115" s="4">
        <v>46221</v>
      </c>
      <c r="C115" s="2" t="s">
        <v>97</v>
      </c>
      <c r="D115" s="2" t="s">
        <v>422</v>
      </c>
      <c r="E115" s="2" t="s">
        <v>100</v>
      </c>
      <c r="F115" s="2" t="s">
        <v>438</v>
      </c>
      <c r="G115" s="2"/>
      <c r="H115" s="2"/>
      <c r="I115" s="2">
        <v>3500</v>
      </c>
      <c r="J115" s="2" t="s">
        <v>88</v>
      </c>
      <c r="K115" s="2" t="s">
        <v>114</v>
      </c>
      <c r="L115" s="2" t="s">
        <v>642</v>
      </c>
      <c r="M115" s="1"/>
    </row>
    <row r="116">
      <c r="A116" s="1" t="s">
        <v>646</v>
      </c>
      <c r="B116" s="4">
        <v>46031</v>
      </c>
      <c r="C116" s="2" t="s">
        <v>96</v>
      </c>
      <c r="D116" s="2" t="s">
        <v>434</v>
      </c>
      <c r="E116" s="2" t="s">
        <v>99</v>
      </c>
      <c r="F116" s="2" t="s">
        <v>393</v>
      </c>
      <c r="G116" s="2" t="s">
        <v>393</v>
      </c>
      <c r="H116" s="2"/>
      <c r="I116" s="2">
        <v>2400</v>
      </c>
      <c r="J116" s="2" t="s">
        <v>91</v>
      </c>
      <c r="K116" s="2" t="s">
        <v>114</v>
      </c>
      <c r="L116" s="2" t="s">
        <v>647</v>
      </c>
      <c r="M116" s="1"/>
    </row>
    <row r="117">
      <c r="A117" s="1" t="s">
        <v>648</v>
      </c>
      <c r="B117" s="4">
        <v>46086</v>
      </c>
      <c r="C117" s="2" t="s">
        <v>96</v>
      </c>
      <c r="D117" s="2" t="s">
        <v>434</v>
      </c>
      <c r="E117" s="2" t="s">
        <v>99</v>
      </c>
      <c r="F117" s="2" t="s">
        <v>393</v>
      </c>
      <c r="G117" s="2" t="s">
        <v>393</v>
      </c>
      <c r="H117" s="2"/>
      <c r="I117" s="2">
        <v>3200</v>
      </c>
      <c r="J117" s="2" t="s">
        <v>91</v>
      </c>
      <c r="K117" s="2" t="s">
        <v>114</v>
      </c>
      <c r="L117" s="2" t="s">
        <v>647</v>
      </c>
      <c r="M117" s="1"/>
    </row>
    <row r="118">
      <c r="A118" s="1" t="s">
        <v>649</v>
      </c>
      <c r="B118" s="4">
        <v>46153</v>
      </c>
      <c r="C118" s="2" t="s">
        <v>96</v>
      </c>
      <c r="D118" s="2" t="s">
        <v>434</v>
      </c>
      <c r="E118" s="2" t="s">
        <v>99</v>
      </c>
      <c r="F118" s="2" t="s">
        <v>393</v>
      </c>
      <c r="G118" s="2" t="s">
        <v>393</v>
      </c>
      <c r="H118" s="2"/>
      <c r="I118" s="2">
        <v>4100</v>
      </c>
      <c r="J118" s="2" t="s">
        <v>91</v>
      </c>
      <c r="K118" s="2" t="s">
        <v>114</v>
      </c>
      <c r="L118" s="2" t="s">
        <v>647</v>
      </c>
      <c r="M118" s="1"/>
    </row>
    <row r="119">
      <c r="A119" s="1" t="s">
        <v>650</v>
      </c>
      <c r="B119" s="4">
        <v>46210</v>
      </c>
      <c r="C119" s="2" t="s">
        <v>96</v>
      </c>
      <c r="D119" s="2" t="s">
        <v>434</v>
      </c>
      <c r="E119" s="2" t="s">
        <v>99</v>
      </c>
      <c r="F119" s="2" t="s">
        <v>393</v>
      </c>
      <c r="G119" s="2" t="s">
        <v>393</v>
      </c>
      <c r="H119" s="2"/>
      <c r="I119" s="2">
        <v>2200</v>
      </c>
      <c r="J119" s="2" t="s">
        <v>91</v>
      </c>
      <c r="K119" s="2" t="s">
        <v>114</v>
      </c>
      <c r="L119" s="2" t="s">
        <v>647</v>
      </c>
      <c r="M119" s="1"/>
    </row>
    <row r="120">
      <c r="A120" s="1" t="s">
        <v>651</v>
      </c>
      <c r="B120" s="4">
        <v>46268</v>
      </c>
      <c r="C120" s="2" t="s">
        <v>96</v>
      </c>
      <c r="D120" s="2" t="s">
        <v>434</v>
      </c>
      <c r="E120" s="2" t="s">
        <v>99</v>
      </c>
      <c r="F120" s="2" t="s">
        <v>393</v>
      </c>
      <c r="G120" s="2" t="s">
        <v>393</v>
      </c>
      <c r="H120" s="2"/>
      <c r="I120" s="2">
        <v>2800</v>
      </c>
      <c r="J120" s="2" t="s">
        <v>91</v>
      </c>
      <c r="K120" s="2" t="s">
        <v>114</v>
      </c>
      <c r="L120" s="2" t="s">
        <v>647</v>
      </c>
      <c r="M120" s="1"/>
    </row>
    <row r="121">
      <c r="A121" s="1" t="s">
        <v>652</v>
      </c>
      <c r="B121" s="4">
        <v>46047</v>
      </c>
      <c r="C121" s="2" t="s">
        <v>97</v>
      </c>
      <c r="D121" s="2" t="s">
        <v>422</v>
      </c>
      <c r="E121" s="2" t="s">
        <v>100</v>
      </c>
      <c r="F121" s="2" t="s">
        <v>434</v>
      </c>
      <c r="G121" s="2"/>
      <c r="H121" s="2"/>
      <c r="I121" s="2">
        <v>5000</v>
      </c>
      <c r="J121" s="2" t="s">
        <v>93</v>
      </c>
      <c r="K121" s="2" t="s">
        <v>114</v>
      </c>
      <c r="L121" s="2" t="s">
        <v>653</v>
      </c>
      <c r="M121" s="1"/>
    </row>
    <row r="122">
      <c r="A122" s="1" t="s">
        <v>654</v>
      </c>
      <c r="B122" s="4">
        <v>46167</v>
      </c>
      <c r="C122" s="2" t="s">
        <v>97</v>
      </c>
      <c r="D122" s="2" t="s">
        <v>422</v>
      </c>
      <c r="E122" s="2" t="s">
        <v>100</v>
      </c>
      <c r="F122" s="2" t="s">
        <v>434</v>
      </c>
      <c r="G122" s="2"/>
      <c r="H122" s="2"/>
      <c r="I122" s="2">
        <v>5500</v>
      </c>
      <c r="J122" s="2" t="s">
        <v>93</v>
      </c>
      <c r="K122" s="2" t="s">
        <v>114</v>
      </c>
      <c r="L122" s="2" t="s">
        <v>653</v>
      </c>
      <c r="M122" s="1"/>
    </row>
    <row r="123">
      <c r="A123" s="1" t="s">
        <v>655</v>
      </c>
      <c r="B123" s="4">
        <v>46275</v>
      </c>
      <c r="C123" s="2" t="s">
        <v>97</v>
      </c>
      <c r="D123" s="2" t="s">
        <v>422</v>
      </c>
      <c r="E123" s="2" t="s">
        <v>100</v>
      </c>
      <c r="F123" s="2" t="s">
        <v>434</v>
      </c>
      <c r="G123" s="2"/>
      <c r="H123" s="2"/>
      <c r="I123" s="2">
        <v>4000</v>
      </c>
      <c r="J123" s="2" t="s">
        <v>93</v>
      </c>
      <c r="K123" s="2" t="s">
        <v>114</v>
      </c>
      <c r="L123" s="2" t="s">
        <v>653</v>
      </c>
      <c r="M123" s="1"/>
    </row>
    <row r="124">
      <c r="A124" s="1" t="s">
        <v>656</v>
      </c>
      <c r="B124" s="4">
        <v>46063</v>
      </c>
      <c r="C124" s="2" t="s">
        <v>96</v>
      </c>
      <c r="D124" s="2" t="s">
        <v>422</v>
      </c>
      <c r="E124" s="2" t="s">
        <v>101</v>
      </c>
      <c r="F124" s="2" t="s">
        <v>506</v>
      </c>
      <c r="G124" s="2" t="s">
        <v>186</v>
      </c>
      <c r="H124" s="2"/>
      <c r="I124" s="2">
        <v>8000</v>
      </c>
      <c r="J124" s="2" t="s">
        <v>87</v>
      </c>
      <c r="K124" s="2" t="s">
        <v>114</v>
      </c>
      <c r="L124" s="2" t="s">
        <v>657</v>
      </c>
      <c r="M124" s="1"/>
    </row>
    <row r="125">
      <c r="A125" s="1" t="s">
        <v>658</v>
      </c>
      <c r="B125" s="4">
        <v>46122</v>
      </c>
      <c r="C125" s="2" t="s">
        <v>96</v>
      </c>
      <c r="D125" s="2" t="s">
        <v>422</v>
      </c>
      <c r="E125" s="2" t="s">
        <v>101</v>
      </c>
      <c r="F125" s="2" t="s">
        <v>506</v>
      </c>
      <c r="G125" s="2" t="s">
        <v>186</v>
      </c>
      <c r="H125" s="2"/>
      <c r="I125" s="2">
        <v>8000</v>
      </c>
      <c r="J125" s="2" t="s">
        <v>87</v>
      </c>
      <c r="K125" s="2" t="s">
        <v>114</v>
      </c>
      <c r="L125" s="2" t="s">
        <v>657</v>
      </c>
      <c r="M125" s="1"/>
    </row>
    <row r="126">
      <c r="A126" s="1" t="s">
        <v>659</v>
      </c>
      <c r="B126" s="4">
        <v>46183</v>
      </c>
      <c r="C126" s="2" t="s">
        <v>96</v>
      </c>
      <c r="D126" s="2" t="s">
        <v>426</v>
      </c>
      <c r="E126" s="2" t="s">
        <v>101</v>
      </c>
      <c r="F126" s="2" t="s">
        <v>520</v>
      </c>
      <c r="G126" s="2" t="s">
        <v>186</v>
      </c>
      <c r="H126" s="2"/>
      <c r="I126" s="2">
        <v>15000</v>
      </c>
      <c r="J126" s="2" t="s">
        <v>87</v>
      </c>
      <c r="K126" s="2" t="s">
        <v>114</v>
      </c>
      <c r="L126" s="2" t="s">
        <v>657</v>
      </c>
      <c r="M126" s="1"/>
    </row>
    <row r="127">
      <c r="A127" s="1" t="s">
        <v>660</v>
      </c>
      <c r="B127" s="4">
        <v>46244</v>
      </c>
      <c r="C127" s="2" t="s">
        <v>96</v>
      </c>
      <c r="D127" s="2" t="s">
        <v>422</v>
      </c>
      <c r="E127" s="2" t="s">
        <v>101</v>
      </c>
      <c r="F127" s="2" t="s">
        <v>509</v>
      </c>
      <c r="G127" s="2" t="s">
        <v>186</v>
      </c>
      <c r="H127" s="2"/>
      <c r="I127" s="2">
        <v>5000</v>
      </c>
      <c r="J127" s="2" t="s">
        <v>89</v>
      </c>
      <c r="K127" s="2" t="s">
        <v>114</v>
      </c>
      <c r="L127" s="2" t="s">
        <v>657</v>
      </c>
      <c r="M127" s="1"/>
    </row>
    <row r="128">
      <c r="A128" s="1" t="s">
        <v>661</v>
      </c>
      <c r="B128" s="4">
        <v>46102</v>
      </c>
      <c r="C128" s="2" t="s">
        <v>96</v>
      </c>
      <c r="D128" s="2" t="s">
        <v>430</v>
      </c>
      <c r="E128" s="2" t="s">
        <v>101</v>
      </c>
      <c r="F128" s="2" t="s">
        <v>513</v>
      </c>
      <c r="G128" s="2" t="s">
        <v>186</v>
      </c>
      <c r="H128" s="2"/>
      <c r="I128" s="2">
        <v>4000</v>
      </c>
      <c r="J128" s="2" t="s">
        <v>89</v>
      </c>
      <c r="K128" s="2" t="s">
        <v>114</v>
      </c>
      <c r="L128" s="2" t="s">
        <v>657</v>
      </c>
      <c r="M128" s="1"/>
    </row>
    <row r="129">
      <c r="A129" s="1" t="s">
        <v>662</v>
      </c>
      <c r="B129" s="4">
        <v>46224</v>
      </c>
      <c r="C129" s="2" t="s">
        <v>96</v>
      </c>
      <c r="D129" s="2" t="s">
        <v>422</v>
      </c>
      <c r="E129" s="2" t="s">
        <v>101</v>
      </c>
      <c r="F129" s="2" t="s">
        <v>517</v>
      </c>
      <c r="G129" s="2" t="s">
        <v>393</v>
      </c>
      <c r="H129" s="2"/>
      <c r="I129" s="2">
        <v>5000</v>
      </c>
      <c r="J129" s="2" t="s">
        <v>89</v>
      </c>
      <c r="K129" s="2" t="s">
        <v>114</v>
      </c>
      <c r="L129" s="2" t="s">
        <v>657</v>
      </c>
      <c r="M129" s="1"/>
    </row>
    <row r="130">
      <c r="A130" s="1" t="s">
        <v>663</v>
      </c>
      <c r="B130" s="4">
        <v>46174</v>
      </c>
      <c r="C130" s="2" t="s">
        <v>96</v>
      </c>
      <c r="D130" s="2" t="s">
        <v>422</v>
      </c>
      <c r="E130" s="2" t="s">
        <v>103</v>
      </c>
      <c r="F130" s="2" t="s">
        <v>459</v>
      </c>
      <c r="G130" s="2" t="s">
        <v>393</v>
      </c>
      <c r="H130" s="2"/>
      <c r="I130" s="2">
        <v>72000</v>
      </c>
      <c r="J130" s="2" t="s">
        <v>87</v>
      </c>
      <c r="K130" s="2" t="s">
        <v>114</v>
      </c>
      <c r="L130" s="2" t="s">
        <v>664</v>
      </c>
      <c r="M130" s="1"/>
    </row>
    <row r="131">
      <c r="A131" s="1" t="s">
        <v>665</v>
      </c>
      <c r="B131" s="4">
        <v>46277</v>
      </c>
      <c r="C131" s="2" t="s">
        <v>96</v>
      </c>
      <c r="D131" s="2" t="s">
        <v>422</v>
      </c>
      <c r="E131" s="2" t="s">
        <v>99</v>
      </c>
      <c r="F131" s="2" t="s">
        <v>378</v>
      </c>
      <c r="G131" s="2" t="s">
        <v>378</v>
      </c>
      <c r="H131" s="2"/>
      <c r="I131" s="2">
        <v>19</v>
      </c>
      <c r="J131" s="2" t="s">
        <v>89</v>
      </c>
      <c r="K131" s="2" t="s">
        <v>114</v>
      </c>
      <c r="L131" s="2" t="s">
        <v>666</v>
      </c>
      <c r="M131" s="1"/>
    </row>
    <row r="132">
      <c r="A132" s="1" t="s">
        <v>667</v>
      </c>
      <c r="B132" s="4">
        <v>46264</v>
      </c>
      <c r="C132" s="2" t="s">
        <v>96</v>
      </c>
      <c r="D132" s="2" t="s">
        <v>438</v>
      </c>
      <c r="E132" s="2" t="s">
        <v>99</v>
      </c>
      <c r="F132" s="2" t="s">
        <v>384</v>
      </c>
      <c r="G132" s="2" t="s">
        <v>384</v>
      </c>
      <c r="H132" s="2"/>
      <c r="I132" s="2">
        <v>25</v>
      </c>
      <c r="J132" s="2" t="s">
        <v>88</v>
      </c>
      <c r="K132" s="2" t="s">
        <v>114</v>
      </c>
      <c r="L132" s="2" t="s">
        <v>666</v>
      </c>
      <c r="M132" s="1"/>
    </row>
    <row r="133">
      <c r="A133" s="1" t="s">
        <v>668</v>
      </c>
      <c r="B133" s="4">
        <v>46143</v>
      </c>
      <c r="C133" s="2" t="s">
        <v>95</v>
      </c>
      <c r="D133" s="2" t="s">
        <v>422</v>
      </c>
      <c r="E133" s="2" t="s">
        <v>21</v>
      </c>
      <c r="F133" s="2" t="s">
        <v>410</v>
      </c>
      <c r="G133" s="2" t="s">
        <v>410</v>
      </c>
      <c r="H133" s="2" t="s">
        <v>444</v>
      </c>
      <c r="I133" s="2">
        <v>50000</v>
      </c>
      <c r="J133" s="2" t="s">
        <v>87</v>
      </c>
      <c r="K133" s="2" t="s">
        <v>669</v>
      </c>
      <c r="L133" s="2" t="s">
        <v>670</v>
      </c>
      <c r="M133" s="1"/>
    </row>
    <row r="134">
      <c r="A134" s="1" t="s">
        <v>671</v>
      </c>
      <c r="B134" s="4">
        <v>46277</v>
      </c>
      <c r="C134" s="2" t="s">
        <v>96</v>
      </c>
      <c r="D134" s="2" t="s">
        <v>422</v>
      </c>
      <c r="E134" s="2" t="s">
        <v>99</v>
      </c>
      <c r="F134" s="2" t="s">
        <v>381</v>
      </c>
      <c r="G134" s="2" t="s">
        <v>381</v>
      </c>
      <c r="H134" s="2"/>
      <c r="I134" s="2">
        <v>640</v>
      </c>
      <c r="J134" s="2" t="s">
        <v>89</v>
      </c>
      <c r="K134" s="2" t="s">
        <v>114</v>
      </c>
      <c r="L134" s="2" t="s">
        <v>672</v>
      </c>
      <c r="M134" s="1"/>
    </row>
    <row r="135">
      <c r="A135" s="1" t="s">
        <v>673</v>
      </c>
      <c r="B135" s="4">
        <v>46127</v>
      </c>
      <c r="C135" s="2" t="s">
        <v>96</v>
      </c>
      <c r="D135" s="2" t="s">
        <v>422</v>
      </c>
      <c r="E135" s="2" t="s">
        <v>99</v>
      </c>
      <c r="F135" s="2" t="s">
        <v>396</v>
      </c>
      <c r="G135" s="2" t="s">
        <v>396</v>
      </c>
      <c r="H135" s="2"/>
      <c r="I135" s="2">
        <v>2300</v>
      </c>
      <c r="J135" s="2" t="s">
        <v>89</v>
      </c>
      <c r="K135" s="2" t="s">
        <v>114</v>
      </c>
      <c r="L135" s="2" t="s">
        <v>674</v>
      </c>
      <c r="M135" s="1"/>
    </row>
    <row r="136">
      <c r="A136" s="1" t="s">
        <v>675</v>
      </c>
      <c r="B136" s="4">
        <v>46236</v>
      </c>
      <c r="C136" s="2" t="s">
        <v>96</v>
      </c>
      <c r="D136" s="2" t="s">
        <v>422</v>
      </c>
      <c r="E136" s="2" t="s">
        <v>99</v>
      </c>
      <c r="F136" s="2" t="s">
        <v>396</v>
      </c>
      <c r="G136" s="2" t="s">
        <v>396</v>
      </c>
      <c r="H136" s="2"/>
      <c r="I136" s="2">
        <v>890</v>
      </c>
      <c r="J136" s="2" t="s">
        <v>89</v>
      </c>
      <c r="K136" s="2" t="s">
        <v>114</v>
      </c>
      <c r="L136" s="2" t="s">
        <v>676</v>
      </c>
      <c r="M136" s="1"/>
    </row>
    <row r="137">
      <c r="A137" s="1" t="s">
        <v>677</v>
      </c>
      <c r="B137" s="4">
        <v>46290</v>
      </c>
      <c r="C137" s="2" t="s">
        <v>96</v>
      </c>
      <c r="D137" s="2" t="s">
        <v>422</v>
      </c>
      <c r="E137" s="2" t="s">
        <v>99</v>
      </c>
      <c r="F137" s="2" t="s">
        <v>393</v>
      </c>
      <c r="G137" s="2" t="s">
        <v>393</v>
      </c>
      <c r="H137" s="2"/>
      <c r="I137" s="2">
        <v>2500</v>
      </c>
      <c r="J137" s="2" t="s">
        <v>89</v>
      </c>
      <c r="K137" s="2" t="s">
        <v>678</v>
      </c>
      <c r="L137" s="2" t="s">
        <v>679</v>
      </c>
      <c r="M137" s="1"/>
    </row>
    <row r="138">
      <c r="A138" s="1" t="s">
        <v>680</v>
      </c>
      <c r="B138" s="4">
        <v>46287</v>
      </c>
      <c r="C138" s="2" t="s">
        <v>96</v>
      </c>
      <c r="D138" s="2" t="s">
        <v>422</v>
      </c>
      <c r="E138" s="2" t="s">
        <v>99</v>
      </c>
      <c r="F138" s="2" t="s">
        <v>381</v>
      </c>
      <c r="G138" s="2" t="s">
        <v>381</v>
      </c>
      <c r="H138" s="2"/>
      <c r="I138" s="2">
        <v>900</v>
      </c>
      <c r="J138" s="2" t="s">
        <v>89</v>
      </c>
      <c r="K138" s="2" t="s">
        <v>681</v>
      </c>
      <c r="L138" s="2" t="s">
        <v>682</v>
      </c>
      <c r="M138" s="1"/>
    </row>
    <row r="139">
      <c r="A139" s="1" t="s">
        <v>683</v>
      </c>
      <c r="B139" s="4">
        <v>46276</v>
      </c>
      <c r="C139" s="2" t="s">
        <v>95</v>
      </c>
      <c r="D139" s="2" t="s">
        <v>430</v>
      </c>
      <c r="E139" s="2" t="s">
        <v>21</v>
      </c>
      <c r="F139" s="2" t="s">
        <v>413</v>
      </c>
      <c r="G139" s="2" t="s">
        <v>413</v>
      </c>
      <c r="H139" s="2" t="s">
        <v>447</v>
      </c>
      <c r="I139" s="2">
        <v>1</v>
      </c>
      <c r="J139" s="2" t="s">
        <v>89</v>
      </c>
      <c r="K139" s="2" t="s">
        <v>669</v>
      </c>
      <c r="L139" s="2" t="s">
        <v>684</v>
      </c>
      <c r="M139" s="1"/>
    </row>
    <row r="140">
      <c r="A140" s="1" t="s">
        <v>685</v>
      </c>
      <c r="B140" s="4">
        <v>46310</v>
      </c>
      <c r="C140" s="2" t="s">
        <v>95</v>
      </c>
      <c r="D140" s="2" t="s">
        <v>422</v>
      </c>
      <c r="E140" s="2" t="s">
        <v>21</v>
      </c>
      <c r="F140" s="2" t="s">
        <v>410</v>
      </c>
      <c r="G140" s="2" t="s">
        <v>410</v>
      </c>
      <c r="H140" s="2" t="s">
        <v>444</v>
      </c>
      <c r="I140" s="2">
        <v>85000</v>
      </c>
      <c r="J140" s="2" t="s">
        <v>87</v>
      </c>
      <c r="K140" s="2" t="s">
        <v>678</v>
      </c>
      <c r="L140" s="2" t="s">
        <v>686</v>
      </c>
      <c r="M140" s="1"/>
    </row>
    <row r="141">
      <c r="A141" s="1" t="s">
        <v>687</v>
      </c>
      <c r="B141" s="4">
        <v>46273</v>
      </c>
      <c r="C141" s="2" t="s">
        <v>97</v>
      </c>
      <c r="D141" s="2" t="s">
        <v>426</v>
      </c>
      <c r="E141" s="2" t="s">
        <v>100</v>
      </c>
      <c r="F141" s="2" t="s">
        <v>422</v>
      </c>
      <c r="G141" s="2"/>
      <c r="H141" s="2"/>
      <c r="I141" s="2">
        <v>2500</v>
      </c>
      <c r="J141" s="2" t="s">
        <v>89</v>
      </c>
      <c r="K141" s="2" t="s">
        <v>114</v>
      </c>
      <c r="L141" s="2" t="s">
        <v>688</v>
      </c>
      <c r="M141" s="1"/>
    </row>
    <row r="142">
      <c r="A142" s="1" t="s">
        <v>689</v>
      </c>
      <c r="B142" s="4">
        <v>46274</v>
      </c>
      <c r="C142" s="2" t="s">
        <v>97</v>
      </c>
      <c r="D142" s="2" t="s">
        <v>422</v>
      </c>
      <c r="E142" s="2" t="s">
        <v>100</v>
      </c>
      <c r="F142" s="2" t="s">
        <v>426</v>
      </c>
      <c r="G142" s="2"/>
      <c r="H142" s="2"/>
      <c r="I142" s="2">
        <v>2500</v>
      </c>
      <c r="J142" s="2" t="s">
        <v>89</v>
      </c>
      <c r="K142" s="2" t="s">
        <v>114</v>
      </c>
      <c r="L142" s="2" t="s">
        <v>690</v>
      </c>
      <c r="M142" s="1"/>
    </row>
    <row r="143">
      <c r="A143" s="1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>
      <c r="A144" s="1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>
      <c r="A145" s="1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>
      <c r="A146" s="1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>
      <c r="A147" s="1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>
      <c r="A148" s="1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>
      <c r="A149" s="1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>
      <c r="A150" s="1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>
      <c r="A151" s="1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>
      <c r="A152" s="1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>
      <c r="A153" s="1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>
      <c r="A154" s="1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>
      <c r="A155" s="1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>
      <c r="A156" s="1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>
      <c r="A157" s="1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>
      <c r="A158" s="1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>
      <c r="A159" s="1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>
      <c r="A160" s="1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>
      <c r="A161" s="1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>
      <c r="A162" s="1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>
      <c r="A163" s="1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>
      <c r="A164" s="1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>
      <c r="A165" s="1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>
      <c r="A166" s="1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>
      <c r="A167" s="1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>
      <c r="A168" s="1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>
      <c r="A169" s="1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>
      <c r="A170" s="1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>
      <c r="A171" s="1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>
      <c r="A172" s="1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>
      <c r="A173" s="1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>
      <c r="A174" s="1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>
      <c r="A175" s="1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>
      <c r="A176" s="1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>
      <c r="A177" s="1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>
      <c r="A178" s="1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>
      <c r="A179" s="1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>
      <c r="A180" s="1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>
      <c r="A181" s="1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>
      <c r="A182" s="1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>
      <c r="A183" s="1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>
      <c r="A184" s="1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>
      <c r="A185" s="1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>
      <c r="A186" s="1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>
      <c r="A187" s="1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>
      <c r="A188" s="1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>
      <c r="A189" s="1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>
      <c r="A190" s="1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>
      <c r="A191" s="1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>
      <c r="A192" s="1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>
      <c r="A193" s="1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>
      <c r="A194" s="1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>
      <c r="A195" s="1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>
      <c r="A196" s="1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>
      <c r="A197" s="1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>
      <c r="A198" s="1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>
      <c r="A199" s="1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>
      <c r="A200" s="1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8">
    <dataValidation type="list" allowBlank="1" showInputMessage="1" promptTitle="Select a value" prompt="Choose from the list." showErrorMessage="1" errorStyle="stop" errorTitle="Invalid value" error="Select a value from the list." sqref="C2:C200">
      <formula1>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rngDestinationType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INDIRECT(IF(E2="Income Category","rngCategories","rngAccounts"))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rngPaymentMethods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"Completed,Reconciled,Pending,Cancelled"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>
      <c r="A2" s="1"/>
      <c r="B2" s="2"/>
      <c r="C2" s="2"/>
      <c r="D2" s="2"/>
      <c r="E2" s="2"/>
      <c r="F2" s="1"/>
      <c r="G2" s="1">
        <f>MAX(0,tblGoals[[#This Row],[Target Amount]]-tblGoals[[#This Row],[Current Saved Amount]])</f>
      </c>
      <c r="H2" s="2"/>
      <c r="I2" s="4"/>
      <c r="J2" s="2"/>
      <c r="K2" s="2"/>
      <c r="L2" s="2"/>
    </row>
    <row r="3">
      <c r="A3" s="1"/>
      <c r="B3" s="2"/>
      <c r="C3" s="2"/>
      <c r="D3" s="2"/>
      <c r="E3" s="2"/>
      <c r="F3" s="1"/>
      <c r="G3" s="1">
        <f>MAX(0,tblGoals[[#This Row],[Target Amount]]-tblGoals[[#This Row],[Current Saved Amount]])</f>
      </c>
      <c r="H3" s="2"/>
      <c r="I3" s="4"/>
      <c r="J3" s="2"/>
      <c r="K3" s="2"/>
      <c r="L3" s="2"/>
    </row>
    <row r="4">
      <c r="A4" s="1"/>
      <c r="B4" s="2"/>
      <c r="C4" s="2"/>
      <c r="D4" s="2"/>
      <c r="E4" s="2"/>
      <c r="F4" s="1"/>
      <c r="G4" s="1">
        <f>MAX(0,tblGoals[[#This Row],[Target Amount]]-tblGoals[[#This Row],[Current Saved Amount]])</f>
      </c>
      <c r="H4" s="2"/>
      <c r="I4" s="4"/>
      <c r="J4" s="2"/>
      <c r="K4" s="2"/>
      <c r="L4" s="2"/>
    </row>
    <row r="5">
      <c r="A5" s="1"/>
      <c r="B5" s="2"/>
      <c r="C5" s="2"/>
      <c r="D5" s="2"/>
      <c r="E5" s="2"/>
      <c r="F5" s="1"/>
      <c r="G5" s="1">
        <f>MAX(0,tblGoals[[#This Row],[Target Amount]]-tblGoals[[#This Row],[Current Saved Amount]])</f>
      </c>
      <c r="H5" s="2"/>
      <c r="I5" s="4"/>
      <c r="J5" s="2"/>
      <c r="K5" s="2"/>
      <c r="L5" s="2"/>
    </row>
    <row r="6">
      <c r="A6" s="1"/>
      <c r="B6" s="2"/>
      <c r="C6" s="2"/>
      <c r="D6" s="2"/>
      <c r="E6" s="2"/>
      <c r="F6" s="1"/>
      <c r="G6" s="1">
        <f>MAX(0,tblGoals[[#This Row],[Target Amount]]-tblGoals[[#This Row],[Current Saved Amount]])</f>
      </c>
      <c r="H6" s="2"/>
      <c r="I6" s="4"/>
      <c r="J6" s="2"/>
      <c r="K6" s="2"/>
      <c r="L6" s="2"/>
    </row>
    <row r="7">
      <c r="A7" s="1"/>
      <c r="B7" s="2"/>
      <c r="C7" s="2"/>
      <c r="D7" s="2"/>
      <c r="E7" s="2"/>
      <c r="F7" s="1"/>
      <c r="G7" s="1">
        <f>MAX(0,tblGoals[[#This Row],[Target Amount]]-tblGoals[[#This Row],[Current Saved Amount]])</f>
      </c>
      <c r="H7" s="2"/>
      <c r="I7" s="4"/>
      <c r="J7" s="2"/>
      <c r="K7" s="2"/>
      <c r="L7" s="2"/>
    </row>
    <row r="8">
      <c r="A8" s="1"/>
      <c r="B8" s="2"/>
      <c r="C8" s="2"/>
      <c r="D8" s="2"/>
      <c r="E8" s="2"/>
      <c r="F8" s="1"/>
      <c r="G8" s="1">
        <f>MAX(0,tblGoals[[#This Row],[Target Amount]]-tblGoals[[#This Row],[Current Saved Amount]])</f>
      </c>
      <c r="H8" s="2"/>
      <c r="I8" s="4"/>
      <c r="J8" s="2"/>
      <c r="K8" s="2"/>
      <c r="L8" s="2"/>
    </row>
    <row r="9">
      <c r="A9" s="1"/>
      <c r="B9" s="2"/>
      <c r="C9" s="2"/>
      <c r="D9" s="2"/>
      <c r="E9" s="2"/>
      <c r="F9" s="1"/>
      <c r="G9" s="1">
        <f>MAX(0,tblGoals[[#This Row],[Target Amount]]-tblGoals[[#This Row],[Current Saved Amount]])</f>
      </c>
      <c r="H9" s="2"/>
      <c r="I9" s="4"/>
      <c r="J9" s="2"/>
      <c r="K9" s="2"/>
      <c r="L9" s="2"/>
    </row>
    <row r="10">
      <c r="A10" s="1"/>
      <c r="B10" s="2"/>
      <c r="C10" s="2"/>
      <c r="D10" s="2"/>
      <c r="E10" s="2"/>
      <c r="F10" s="1"/>
      <c r="G10" s="1">
        <f>MAX(0,tblGoals[[#This Row],[Target Amount]]-tblGoals[[#This Row],[Current Saved Amount]])</f>
      </c>
      <c r="H10" s="2"/>
      <c r="I10" s="4"/>
      <c r="J10" s="2"/>
      <c r="K10" s="2"/>
      <c r="L10" s="2"/>
    </row>
    <row r="11">
      <c r="A11" s="1"/>
      <c r="B11" s="2"/>
      <c r="C11" s="2"/>
      <c r="D11" s="2"/>
      <c r="E11" s="2"/>
      <c r="F11" s="1"/>
      <c r="G11" s="1">
        <f>MAX(0,tblGoals[[#This Row],[Target Amount]]-tblGoals[[#This Row],[Current Saved Amount]])</f>
      </c>
      <c r="H11" s="2"/>
      <c r="I11" s="4"/>
      <c r="J11" s="2"/>
      <c r="K11" s="2"/>
      <c r="L11" s="2"/>
    </row>
    <row r="12">
      <c r="A12" s="1"/>
      <c r="B12" s="2"/>
      <c r="C12" s="2"/>
      <c r="D12" s="2"/>
      <c r="E12" s="2"/>
      <c r="F12" s="1"/>
      <c r="G12" s="1">
        <f>MAX(0,tblGoals[[#This Row],[Target Amount]]-tblGoals[[#This Row],[Current Saved Amount]])</f>
      </c>
      <c r="H12" s="2"/>
      <c r="I12" s="4"/>
      <c r="J12" s="2"/>
      <c r="K12" s="2"/>
      <c r="L12" s="2"/>
    </row>
    <row r="13">
      <c r="A13" s="1"/>
      <c r="B13" s="2"/>
      <c r="C13" s="2"/>
      <c r="D13" s="2"/>
      <c r="E13" s="2"/>
      <c r="F13" s="1"/>
      <c r="G13" s="1">
        <f>MAX(0,tblGoals[[#This Row],[Target Amount]]-tblGoals[[#This Row],[Current Saved Amount]])</f>
      </c>
      <c r="H13" s="2"/>
      <c r="I13" s="4"/>
      <c r="J13" s="2"/>
      <c r="K13" s="2"/>
      <c r="L13" s="2"/>
    </row>
    <row r="14">
      <c r="A14" s="1"/>
      <c r="B14" s="2"/>
      <c r="C14" s="2"/>
      <c r="D14" s="2"/>
      <c r="E14" s="2"/>
      <c r="F14" s="1"/>
      <c r="G14" s="1">
        <f>MAX(0,tblGoals[[#This Row],[Target Amount]]-tblGoals[[#This Row],[Current Saved Amount]])</f>
      </c>
      <c r="H14" s="2"/>
      <c r="I14" s="4"/>
      <c r="J14" s="2"/>
      <c r="K14" s="2"/>
      <c r="L14" s="2"/>
    </row>
    <row r="15">
      <c r="A15" s="1"/>
      <c r="B15" s="2"/>
      <c r="C15" s="2"/>
      <c r="D15" s="2"/>
      <c r="E15" s="2"/>
      <c r="F15" s="1"/>
      <c r="G15" s="1">
        <f>MAX(0,tblGoals[[#This Row],[Target Amount]]-tblGoals[[#This Row],[Current Saved Amount]])</f>
      </c>
      <c r="H15" s="2"/>
      <c r="I15" s="4"/>
      <c r="J15" s="2"/>
      <c r="K15" s="2"/>
      <c r="L15" s="2"/>
    </row>
    <row r="16">
      <c r="A16" s="1"/>
      <c r="B16" s="2"/>
      <c r="C16" s="2"/>
      <c r="D16" s="2"/>
      <c r="E16" s="2"/>
      <c r="F16" s="1"/>
      <c r="G16" s="1">
        <f>MAX(0,tblGoals[[#This Row],[Target Amount]]-tblGoals[[#This Row],[Current Saved Amount]])</f>
      </c>
      <c r="H16" s="2"/>
      <c r="I16" s="4"/>
      <c r="J16" s="2"/>
      <c r="K16" s="2"/>
      <c r="L16" s="2"/>
    </row>
    <row r="17">
      <c r="A17" s="1"/>
      <c r="B17" s="2"/>
      <c r="C17" s="2"/>
      <c r="D17" s="2"/>
      <c r="E17" s="2"/>
      <c r="F17" s="1"/>
      <c r="G17" s="1">
        <f>MAX(0,tblGoals[[#This Row],[Target Amount]]-tblGoals[[#This Row],[Current Saved Amount]])</f>
      </c>
      <c r="H17" s="2"/>
      <c r="I17" s="4"/>
      <c r="J17" s="2"/>
      <c r="K17" s="2"/>
      <c r="L17" s="2"/>
    </row>
    <row r="18">
      <c r="A18" s="1"/>
      <c r="B18" s="2"/>
      <c r="C18" s="2"/>
      <c r="D18" s="2"/>
      <c r="E18" s="2"/>
      <c r="F18" s="1"/>
      <c r="G18" s="1">
        <f>MAX(0,tblGoals[[#This Row],[Target Amount]]-tblGoals[[#This Row],[Current Saved Amount]])</f>
      </c>
      <c r="H18" s="2"/>
      <c r="I18" s="4"/>
      <c r="J18" s="2"/>
      <c r="K18" s="2"/>
      <c r="L18" s="2"/>
    </row>
    <row r="19">
      <c r="A19" s="1"/>
      <c r="B19" s="2"/>
      <c r="C19" s="2"/>
      <c r="D19" s="2"/>
      <c r="E19" s="2"/>
      <c r="F19" s="1"/>
      <c r="G19" s="1">
        <f>MAX(0,tblGoals[[#This Row],[Target Amount]]-tblGoals[[#This Row],[Current Saved Amount]])</f>
      </c>
      <c r="H19" s="2"/>
      <c r="I19" s="4"/>
      <c r="J19" s="2"/>
      <c r="K19" s="2"/>
      <c r="L19" s="2"/>
    </row>
    <row r="20">
      <c r="A20" s="1"/>
      <c r="B20" s="2"/>
      <c r="C20" s="2"/>
      <c r="D20" s="2"/>
      <c r="E20" s="2"/>
      <c r="F20" s="1"/>
      <c r="G20" s="1">
        <f>MAX(0,tblGoals[[#This Row],[Target Amount]]-tblGoals[[#This Row],[Current Saved Amount]])</f>
      </c>
      <c r="H20" s="2"/>
      <c r="I20" s="4"/>
      <c r="J20" s="2"/>
      <c r="K20" s="2"/>
      <c r="L20" s="2"/>
    </row>
    <row r="21">
      <c r="A21" s="1"/>
      <c r="B21" s="2"/>
      <c r="C21" s="2"/>
      <c r="D21" s="2"/>
      <c r="E21" s="2"/>
      <c r="F21" s="1"/>
      <c r="G21" s="1">
        <f>MAX(0,tblGoals[[#This Row],[Target Amount]]-tblGoals[[#This Row],[Current Saved Amount]])</f>
      </c>
      <c r="H21" s="2"/>
      <c r="I21" s="4"/>
      <c r="J21" s="2"/>
      <c r="K21" s="2"/>
      <c r="L21" s="2"/>
    </row>
    <row r="22">
      <c r="A22" s="1"/>
      <c r="B22" s="2"/>
      <c r="C22" s="2"/>
      <c r="D22" s="2"/>
      <c r="E22" s="2"/>
      <c r="F22" s="1"/>
      <c r="G22" s="1">
        <f>MAX(0,tblGoals[[#This Row],[Target Amount]]-tblGoals[[#This Row],[Current Saved Amount]])</f>
      </c>
      <c r="H22" s="2"/>
      <c r="I22" s="4"/>
      <c r="J22" s="2"/>
      <c r="K22" s="2"/>
      <c r="L22" s="2"/>
    </row>
    <row r="23">
      <c r="A23" s="1"/>
      <c r="B23" s="2"/>
      <c r="C23" s="2"/>
      <c r="D23" s="2"/>
      <c r="E23" s="2"/>
      <c r="F23" s="1"/>
      <c r="G23" s="1">
        <f>MAX(0,tblGoals[[#This Row],[Target Amount]]-tblGoals[[#This Row],[Current Saved Amount]])</f>
      </c>
      <c r="H23" s="2"/>
      <c r="I23" s="4"/>
      <c r="J23" s="2"/>
      <c r="K23" s="2"/>
      <c r="L23" s="2"/>
    </row>
    <row r="24">
      <c r="A24" s="1"/>
      <c r="B24" s="2"/>
      <c r="C24" s="2"/>
      <c r="D24" s="2"/>
      <c r="E24" s="2"/>
      <c r="F24" s="1"/>
      <c r="G24" s="1">
        <f>MAX(0,tblGoals[[#This Row],[Target Amount]]-tblGoals[[#This Row],[Current Saved Amount]])</f>
      </c>
      <c r="H24" s="2"/>
      <c r="I24" s="4"/>
      <c r="J24" s="2"/>
      <c r="K24" s="2"/>
      <c r="L24" s="2"/>
    </row>
    <row r="25">
      <c r="A25" s="1"/>
      <c r="B25" s="2"/>
      <c r="C25" s="2"/>
      <c r="D25" s="2"/>
      <c r="E25" s="2"/>
      <c r="F25" s="1"/>
      <c r="G25" s="1">
        <f>MAX(0,tblGoals[[#This Row],[Target Amount]]-tblGoals[[#This Row],[Current Saved Amount]])</f>
      </c>
      <c r="H25" s="2"/>
      <c r="I25" s="4"/>
      <c r="J25" s="2"/>
      <c r="K25" s="2"/>
      <c r="L25" s="2"/>
    </row>
    <row r="26">
      <c r="A26" s="1"/>
      <c r="B26" s="2"/>
      <c r="C26" s="2"/>
      <c r="D26" s="2"/>
      <c r="E26" s="2"/>
      <c r="F26" s="1"/>
      <c r="G26" s="1">
        <f>MAX(0,tblGoals[[#This Row],[Target Amount]]-tblGoals[[#This Row],[Current Saved Amount]])</f>
      </c>
      <c r="H26" s="2"/>
      <c r="I26" s="4"/>
      <c r="J26" s="2"/>
      <c r="K26" s="2"/>
      <c r="L26" s="2"/>
    </row>
    <row r="27">
      <c r="A27" s="1"/>
      <c r="B27" s="2"/>
      <c r="C27" s="2"/>
      <c r="D27" s="2"/>
      <c r="E27" s="2"/>
      <c r="F27" s="1"/>
      <c r="G27" s="1">
        <f>MAX(0,tblGoals[[#This Row],[Target Amount]]-tblGoals[[#This Row],[Current Saved Amount]])</f>
      </c>
      <c r="H27" s="2"/>
      <c r="I27" s="4"/>
      <c r="J27" s="2"/>
      <c r="K27" s="2"/>
      <c r="L27" s="2"/>
    </row>
    <row r="28">
      <c r="A28" s="1"/>
      <c r="B28" s="2"/>
      <c r="C28" s="2"/>
      <c r="D28" s="2"/>
      <c r="E28" s="2"/>
      <c r="F28" s="1"/>
      <c r="G28" s="1">
        <f>MAX(0,tblGoals[[#This Row],[Target Amount]]-tblGoals[[#This Row],[Current Saved Amount]])</f>
      </c>
      <c r="H28" s="2"/>
      <c r="I28" s="4"/>
      <c r="J28" s="2"/>
      <c r="K28" s="2"/>
      <c r="L28" s="2"/>
    </row>
    <row r="29">
      <c r="A29" s="1"/>
      <c r="B29" s="2"/>
      <c r="C29" s="2"/>
      <c r="D29" s="2"/>
      <c r="E29" s="2"/>
      <c r="F29" s="1"/>
      <c r="G29" s="1">
        <f>MAX(0,tblGoals[[#This Row],[Target Amount]]-tblGoals[[#This Row],[Current Saved Amount]])</f>
      </c>
      <c r="H29" s="2"/>
      <c r="I29" s="4"/>
      <c r="J29" s="2"/>
      <c r="K29" s="2"/>
      <c r="L29" s="2"/>
    </row>
    <row r="30">
      <c r="A30" s="1"/>
      <c r="B30" s="2"/>
      <c r="C30" s="2"/>
      <c r="D30" s="2"/>
      <c r="E30" s="2"/>
      <c r="F30" s="1"/>
      <c r="G30" s="1">
        <f>MAX(0,tblGoals[[#This Row],[Target Amount]]-tblGoals[[#This Row],[Current Saved Amount]])</f>
      </c>
      <c r="H30" s="2"/>
      <c r="I30" s="4"/>
      <c r="J30" s="2"/>
      <c r="K30" s="2"/>
      <c r="L30" s="2"/>
    </row>
    <row r="31">
      <c r="A31" s="1"/>
      <c r="B31" s="2"/>
      <c r="C31" s="2"/>
      <c r="D31" s="2"/>
      <c r="E31" s="2"/>
      <c r="F31" s="1"/>
      <c r="G31" s="1">
        <f>MAX(0,tblGoals[[#This Row],[Target Amount]]-tblGoals[[#This Row],[Current Saved Amount]])</f>
      </c>
      <c r="H31" s="2"/>
      <c r="I31" s="4"/>
      <c r="J31" s="2"/>
      <c r="K31" s="2"/>
      <c r="L31" s="2"/>
    </row>
    <row r="32">
      <c r="A32" s="1"/>
      <c r="B32" s="2"/>
      <c r="C32" s="2"/>
      <c r="D32" s="2"/>
      <c r="E32" s="2"/>
      <c r="F32" s="1"/>
      <c r="G32" s="1">
        <f>MAX(0,tblGoals[[#This Row],[Target Amount]]-tblGoals[[#This Row],[Current Saved Amount]])</f>
      </c>
      <c r="H32" s="2"/>
      <c r="I32" s="4"/>
      <c r="J32" s="2"/>
      <c r="K32" s="2"/>
      <c r="L32" s="2"/>
    </row>
    <row r="33">
      <c r="A33" s="1"/>
      <c r="B33" s="2"/>
      <c r="C33" s="2"/>
      <c r="D33" s="2"/>
      <c r="E33" s="2"/>
      <c r="F33" s="1"/>
      <c r="G33" s="1">
        <f>MAX(0,tblGoals[[#This Row],[Target Amount]]-tblGoals[[#This Row],[Current Saved Amount]])</f>
      </c>
      <c r="H33" s="2"/>
      <c r="I33" s="4"/>
      <c r="J33" s="2"/>
      <c r="K33" s="2"/>
      <c r="L33" s="2"/>
    </row>
    <row r="34">
      <c r="A34" s="1"/>
      <c r="B34" s="2"/>
      <c r="C34" s="2"/>
      <c r="D34" s="2"/>
      <c r="E34" s="2"/>
      <c r="F34" s="1"/>
      <c r="G34" s="1">
        <f>MAX(0,tblGoals[[#This Row],[Target Amount]]-tblGoals[[#This Row],[Current Saved Amount]])</f>
      </c>
      <c r="H34" s="2"/>
      <c r="I34" s="4"/>
      <c r="J34" s="2"/>
      <c r="K34" s="2"/>
      <c r="L34" s="2"/>
    </row>
    <row r="35">
      <c r="A35" s="1"/>
      <c r="B35" s="2"/>
      <c r="C35" s="2"/>
      <c r="D35" s="2"/>
      <c r="E35" s="2"/>
      <c r="F35" s="1"/>
      <c r="G35" s="1">
        <f>MAX(0,tblGoals[[#This Row],[Target Amount]]-tblGoals[[#This Row],[Current Saved Amount]])</f>
      </c>
      <c r="H35" s="2"/>
      <c r="I35" s="4"/>
      <c r="J35" s="2"/>
      <c r="K35" s="2"/>
      <c r="L35" s="2"/>
    </row>
    <row r="36">
      <c r="A36" s="1"/>
      <c r="B36" s="2"/>
      <c r="C36" s="2"/>
      <c r="D36" s="2"/>
      <c r="E36" s="2"/>
      <c r="F36" s="1"/>
      <c r="G36" s="1">
        <f>MAX(0,tblGoals[[#This Row],[Target Amount]]-tblGoals[[#This Row],[Current Saved Amount]])</f>
      </c>
      <c r="H36" s="2"/>
      <c r="I36" s="4"/>
      <c r="J36" s="2"/>
      <c r="K36" s="2"/>
      <c r="L36" s="2"/>
    </row>
    <row r="37">
      <c r="A37" s="1"/>
      <c r="B37" s="2"/>
      <c r="C37" s="2"/>
      <c r="D37" s="2"/>
      <c r="E37" s="2"/>
      <c r="F37" s="1"/>
      <c r="G37" s="1">
        <f>MAX(0,tblGoals[[#This Row],[Target Amount]]-tblGoals[[#This Row],[Current Saved Amount]])</f>
      </c>
      <c r="H37" s="2"/>
      <c r="I37" s="4"/>
      <c r="J37" s="2"/>
      <c r="K37" s="2"/>
      <c r="L37" s="2"/>
    </row>
    <row r="38">
      <c r="A38" s="1"/>
      <c r="B38" s="2"/>
      <c r="C38" s="2"/>
      <c r="D38" s="2"/>
      <c r="E38" s="2"/>
      <c r="F38" s="1"/>
      <c r="G38" s="1">
        <f>MAX(0,tblGoals[[#This Row],[Target Amount]]-tblGoals[[#This Row],[Current Saved Amount]])</f>
      </c>
      <c r="H38" s="2"/>
      <c r="I38" s="4"/>
      <c r="J38" s="2"/>
      <c r="K38" s="2"/>
      <c r="L38" s="2"/>
    </row>
    <row r="39">
      <c r="A39" s="1"/>
      <c r="B39" s="2"/>
      <c r="C39" s="2"/>
      <c r="D39" s="2"/>
      <c r="E39" s="2"/>
      <c r="F39" s="1"/>
      <c r="G39" s="1">
        <f>MAX(0,tblGoals[[#This Row],[Target Amount]]-tblGoals[[#This Row],[Current Saved Amount]])</f>
      </c>
      <c r="H39" s="2"/>
      <c r="I39" s="4"/>
      <c r="J39" s="2"/>
      <c r="K39" s="2"/>
      <c r="L39" s="2"/>
    </row>
    <row r="40">
      <c r="A40" s="1"/>
      <c r="B40" s="2"/>
      <c r="C40" s="2"/>
      <c r="D40" s="2"/>
      <c r="E40" s="2"/>
      <c r="F40" s="1"/>
      <c r="G40" s="1">
        <f>MAX(0,tblGoals[[#This Row],[Target Amount]]-tblGoals[[#This Row],[Current Saved Amount]])</f>
      </c>
      <c r="H40" s="2"/>
      <c r="I40" s="4"/>
      <c r="J40" s="2"/>
      <c r="K40" s="2"/>
      <c r="L40" s="2"/>
    </row>
    <row r="41">
      <c r="A41" s="1"/>
      <c r="B41" s="2"/>
      <c r="C41" s="2"/>
      <c r="D41" s="2"/>
      <c r="E41" s="2"/>
      <c r="F41" s="1"/>
      <c r="G41" s="1">
        <f>MAX(0,tblGoals[[#This Row],[Target Amount]]-tblGoals[[#This Row],[Current Saved Amount]])</f>
      </c>
      <c r="H41" s="2"/>
      <c r="I41" s="4"/>
      <c r="J41" s="2"/>
      <c r="K41" s="2"/>
      <c r="L41" s="2"/>
    </row>
    <row r="42">
      <c r="A42" s="1"/>
      <c r="B42" s="2"/>
      <c r="C42" s="2"/>
      <c r="D42" s="2"/>
      <c r="E42" s="2"/>
      <c r="F42" s="1"/>
      <c r="G42" s="1">
        <f>MAX(0,tblGoals[[#This Row],[Target Amount]]-tblGoals[[#This Row],[Current Saved Amount]])</f>
      </c>
      <c r="H42" s="2"/>
      <c r="I42" s="4"/>
      <c r="J42" s="2"/>
      <c r="K42" s="2"/>
      <c r="L42" s="2"/>
    </row>
    <row r="43">
      <c r="A43" s="1"/>
      <c r="B43" s="2"/>
      <c r="C43" s="2"/>
      <c r="D43" s="2"/>
      <c r="E43" s="2"/>
      <c r="F43" s="1"/>
      <c r="G43" s="1">
        <f>MAX(0,tblGoals[[#This Row],[Target Amount]]-tblGoals[[#This Row],[Current Saved Amount]])</f>
      </c>
      <c r="H43" s="2"/>
      <c r="I43" s="4"/>
      <c r="J43" s="2"/>
      <c r="K43" s="2"/>
      <c r="L43" s="2"/>
    </row>
    <row r="44">
      <c r="A44" s="1"/>
      <c r="B44" s="2"/>
      <c r="C44" s="2"/>
      <c r="D44" s="2"/>
      <c r="E44" s="2"/>
      <c r="F44" s="1"/>
      <c r="G44" s="1">
        <f>MAX(0,tblGoals[[#This Row],[Target Amount]]-tblGoals[[#This Row],[Current Saved Amount]])</f>
      </c>
      <c r="H44" s="2"/>
      <c r="I44" s="4"/>
      <c r="J44" s="2"/>
      <c r="K44" s="2"/>
      <c r="L44" s="2"/>
    </row>
    <row r="45">
      <c r="A45" s="1"/>
      <c r="B45" s="2"/>
      <c r="C45" s="2"/>
      <c r="D45" s="2"/>
      <c r="E45" s="2"/>
      <c r="F45" s="1"/>
      <c r="G45" s="1">
        <f>MAX(0,tblGoals[[#This Row],[Target Amount]]-tblGoals[[#This Row],[Current Saved Amount]])</f>
      </c>
      <c r="H45" s="2"/>
      <c r="I45" s="4"/>
      <c r="J45" s="2"/>
      <c r="K45" s="2"/>
      <c r="L45" s="2"/>
    </row>
    <row r="46">
      <c r="A46" s="1"/>
      <c r="B46" s="2"/>
      <c r="C46" s="2"/>
      <c r="D46" s="2"/>
      <c r="E46" s="2"/>
      <c r="F46" s="1"/>
      <c r="G46" s="1">
        <f>MAX(0,tblGoals[[#This Row],[Target Amount]]-tblGoals[[#This Row],[Current Saved Amount]])</f>
      </c>
      <c r="H46" s="2"/>
      <c r="I46" s="4"/>
      <c r="J46" s="2"/>
      <c r="K46" s="2"/>
      <c r="L46" s="2"/>
    </row>
    <row r="47">
      <c r="A47" s="1"/>
      <c r="B47" s="2"/>
      <c r="C47" s="2"/>
      <c r="D47" s="2"/>
      <c r="E47" s="2"/>
      <c r="F47" s="1"/>
      <c r="G47" s="1">
        <f>MAX(0,tblGoals[[#This Row],[Target Amount]]-tblGoals[[#This Row],[Current Saved Amount]])</f>
      </c>
      <c r="H47" s="2"/>
      <c r="I47" s="4"/>
      <c r="J47" s="2"/>
      <c r="K47" s="2"/>
      <c r="L47" s="2"/>
    </row>
    <row r="48">
      <c r="A48" s="1"/>
      <c r="B48" s="2"/>
      <c r="C48" s="2"/>
      <c r="D48" s="2"/>
      <c r="E48" s="2"/>
      <c r="F48" s="1"/>
      <c r="G48" s="1">
        <f>MAX(0,tblGoals[[#This Row],[Target Amount]]-tblGoals[[#This Row],[Current Saved Amount]])</f>
      </c>
      <c r="H48" s="2"/>
      <c r="I48" s="4"/>
      <c r="J48" s="2"/>
      <c r="K48" s="2"/>
      <c r="L48" s="2"/>
    </row>
    <row r="49">
      <c r="A49" s="1"/>
      <c r="B49" s="2"/>
      <c r="C49" s="2"/>
      <c r="D49" s="2"/>
      <c r="E49" s="2"/>
      <c r="F49" s="1"/>
      <c r="G49" s="1">
        <f>MAX(0,tblGoals[[#This Row],[Target Amount]]-tblGoals[[#This Row],[Current Saved Amount]])</f>
      </c>
      <c r="H49" s="2"/>
      <c r="I49" s="4"/>
      <c r="J49" s="2"/>
      <c r="K49" s="2"/>
      <c r="L49" s="2"/>
    </row>
    <row r="50">
      <c r="A50" s="1"/>
      <c r="B50" s="2"/>
      <c r="C50" s="2"/>
      <c r="D50" s="2"/>
      <c r="E50" s="2"/>
      <c r="F50" s="1"/>
      <c r="G50" s="1">
        <f>MAX(0,tblGoals[[#This Row],[Target Amount]]-tblGoals[[#This Row],[Current Saved Amount]])</f>
      </c>
      <c r="H50" s="2"/>
      <c r="I50" s="4"/>
      <c r="J50" s="2"/>
      <c r="K50" s="2"/>
      <c r="L50" s="2"/>
    </row>
    <row r="51">
      <c r="A51" s="1"/>
      <c r="B51" s="2"/>
      <c r="C51" s="2"/>
      <c r="D51" s="2"/>
      <c r="E51" s="2"/>
      <c r="F51" s="1"/>
      <c r="G51" s="1">
        <f>MAX(0,tblGoals[[#This Row],[Target Amount]]-tblGoals[[#This Row],[Current Saved Amount]])</f>
      </c>
      <c r="H51" s="2"/>
      <c r="I51" s="4"/>
      <c r="J51" s="2"/>
      <c r="K51" s="2"/>
      <c r="L51" s="2"/>
    </row>
    <row r="52">
      <c r="A52" s="1"/>
      <c r="B52" s="2"/>
      <c r="C52" s="2"/>
      <c r="D52" s="2"/>
      <c r="E52" s="2"/>
      <c r="F52" s="1"/>
      <c r="G52" s="1">
        <f>MAX(0,tblGoals[[#This Row],[Target Amount]]-tblGoals[[#This Row],[Current Saved Amount]])</f>
      </c>
      <c r="H52" s="2"/>
      <c r="I52" s="4"/>
      <c r="J52" s="2"/>
      <c r="K52" s="2"/>
      <c r="L52" s="2"/>
    </row>
    <row r="53">
      <c r="A53" s="1"/>
      <c r="B53" s="2"/>
      <c r="C53" s="2"/>
      <c r="D53" s="2"/>
      <c r="E53" s="2"/>
      <c r="F53" s="1"/>
      <c r="G53" s="1">
        <f>MAX(0,tblGoals[[#This Row],[Target Amount]]-tblGoals[[#This Row],[Current Saved Amount]])</f>
      </c>
      <c r="H53" s="2"/>
      <c r="I53" s="4"/>
      <c r="J53" s="2"/>
      <c r="K53" s="2"/>
      <c r="L53" s="2"/>
    </row>
    <row r="54">
      <c r="A54" s="1"/>
      <c r="B54" s="2"/>
      <c r="C54" s="2"/>
      <c r="D54" s="2"/>
      <c r="E54" s="2"/>
      <c r="F54" s="1"/>
      <c r="G54" s="1">
        <f>MAX(0,tblGoals[[#This Row],[Target Amount]]-tblGoals[[#This Row],[Current Saved Amount]])</f>
      </c>
      <c r="H54" s="2"/>
      <c r="I54" s="4"/>
      <c r="J54" s="2"/>
      <c r="K54" s="2"/>
      <c r="L54" s="2"/>
    </row>
    <row r="55">
      <c r="A55" s="1"/>
      <c r="B55" s="2"/>
      <c r="C55" s="2"/>
      <c r="D55" s="2"/>
      <c r="E55" s="2"/>
      <c r="F55" s="1"/>
      <c r="G55" s="1">
        <f>MAX(0,tblGoals[[#This Row],[Target Amount]]-tblGoals[[#This Row],[Current Saved Amount]])</f>
      </c>
      <c r="H55" s="2"/>
      <c r="I55" s="4"/>
      <c r="J55" s="2"/>
      <c r="K55" s="2"/>
      <c r="L55" s="2"/>
    </row>
    <row r="56">
      <c r="A56" s="1"/>
      <c r="B56" s="2"/>
      <c r="C56" s="2"/>
      <c r="D56" s="2"/>
      <c r="E56" s="2"/>
      <c r="F56" s="1"/>
      <c r="G56" s="1">
        <f>MAX(0,tblGoals[[#This Row],[Target Amount]]-tblGoals[[#This Row],[Current Saved Amount]])</f>
      </c>
      <c r="H56" s="2"/>
      <c r="I56" s="4"/>
      <c r="J56" s="2"/>
      <c r="K56" s="2"/>
      <c r="L56" s="2"/>
    </row>
    <row r="57">
      <c r="A57" s="1"/>
      <c r="B57" s="2"/>
      <c r="C57" s="2"/>
      <c r="D57" s="2"/>
      <c r="E57" s="2"/>
      <c r="F57" s="1"/>
      <c r="G57" s="1">
        <f>MAX(0,tblGoals[[#This Row],[Target Amount]]-tblGoals[[#This Row],[Current Saved Amount]])</f>
      </c>
      <c r="H57" s="2"/>
      <c r="I57" s="4"/>
      <c r="J57" s="2"/>
      <c r="K57" s="2"/>
      <c r="L57" s="2"/>
    </row>
    <row r="58">
      <c r="A58" s="1"/>
      <c r="B58" s="2"/>
      <c r="C58" s="2"/>
      <c r="D58" s="2"/>
      <c r="E58" s="2"/>
      <c r="F58" s="1"/>
      <c r="G58" s="1">
        <f>MAX(0,tblGoals[[#This Row],[Target Amount]]-tblGoals[[#This Row],[Current Saved Amount]])</f>
      </c>
      <c r="H58" s="2"/>
      <c r="I58" s="4"/>
      <c r="J58" s="2"/>
      <c r="K58" s="2"/>
      <c r="L58" s="2"/>
    </row>
    <row r="59">
      <c r="A59" s="1"/>
      <c r="B59" s="2"/>
      <c r="C59" s="2"/>
      <c r="D59" s="2"/>
      <c r="E59" s="2"/>
      <c r="F59" s="1"/>
      <c r="G59" s="1">
        <f>MAX(0,tblGoals[[#This Row],[Target Amount]]-tblGoals[[#This Row],[Current Saved Amount]])</f>
      </c>
      <c r="H59" s="2"/>
      <c r="I59" s="4"/>
      <c r="J59" s="2"/>
      <c r="K59" s="2"/>
      <c r="L59" s="2"/>
    </row>
    <row r="60">
      <c r="A60" s="1"/>
      <c r="B60" s="2"/>
      <c r="C60" s="2"/>
      <c r="D60" s="2"/>
      <c r="E60" s="2"/>
      <c r="F60" s="1"/>
      <c r="G60" s="1">
        <f>MAX(0,tblGoals[[#This Row],[Target Amount]]-tblGoals[[#This Row],[Current Saved Amount]])</f>
      </c>
      <c r="H60" s="2"/>
      <c r="I60" s="4"/>
      <c r="J60" s="2"/>
      <c r="K60" s="2"/>
      <c r="L60" s="2"/>
    </row>
    <row r="61">
      <c r="A61" s="1"/>
      <c r="B61" s="2"/>
      <c r="C61" s="2"/>
      <c r="D61" s="2"/>
      <c r="E61" s="2"/>
      <c r="F61" s="1"/>
      <c r="G61" s="1">
        <f>MAX(0,tblGoals[[#This Row],[Target Amount]]-tblGoals[[#This Row],[Current Saved Amount]])</f>
      </c>
      <c r="H61" s="2"/>
      <c r="I61" s="4"/>
      <c r="J61" s="2"/>
      <c r="K61" s="2"/>
      <c r="L61" s="2"/>
    </row>
    <row r="62">
      <c r="A62" s="1"/>
      <c r="B62" s="2"/>
      <c r="C62" s="2"/>
      <c r="D62" s="2"/>
      <c r="E62" s="2"/>
      <c r="F62" s="1"/>
      <c r="G62" s="1">
        <f>MAX(0,tblGoals[[#This Row],[Target Amount]]-tblGoals[[#This Row],[Current Saved Amount]])</f>
      </c>
      <c r="H62" s="2"/>
      <c r="I62" s="4"/>
      <c r="J62" s="2"/>
      <c r="K62" s="2"/>
      <c r="L62" s="2"/>
    </row>
    <row r="63">
      <c r="A63" s="1"/>
      <c r="B63" s="2"/>
      <c r="C63" s="2"/>
      <c r="D63" s="2"/>
      <c r="E63" s="2"/>
      <c r="F63" s="1"/>
      <c r="G63" s="1">
        <f>MAX(0,tblGoals[[#This Row],[Target Amount]]-tblGoals[[#This Row],[Current Saved Amount]])</f>
      </c>
      <c r="H63" s="2"/>
      <c r="I63" s="4"/>
      <c r="J63" s="2"/>
      <c r="K63" s="2"/>
      <c r="L63" s="2"/>
    </row>
    <row r="64">
      <c r="A64" s="1"/>
      <c r="B64" s="2"/>
      <c r="C64" s="2"/>
      <c r="D64" s="2"/>
      <c r="E64" s="2"/>
      <c r="F64" s="1"/>
      <c r="G64" s="1">
        <f>MAX(0,tblGoals[[#This Row],[Target Amount]]-tblGoals[[#This Row],[Current Saved Amount]])</f>
      </c>
      <c r="H64" s="2"/>
      <c r="I64" s="4"/>
      <c r="J64" s="2"/>
      <c r="K64" s="2"/>
      <c r="L64" s="2"/>
    </row>
    <row r="65">
      <c r="A65" s="1"/>
      <c r="B65" s="2"/>
      <c r="C65" s="2"/>
      <c r="D65" s="2"/>
      <c r="E65" s="2"/>
      <c r="F65" s="1"/>
      <c r="G65" s="1">
        <f>MAX(0,tblGoals[[#This Row],[Target Amount]]-tblGoals[[#This Row],[Current Saved Amount]])</f>
      </c>
      <c r="H65" s="2"/>
      <c r="I65" s="4"/>
      <c r="J65" s="2"/>
      <c r="K65" s="2"/>
      <c r="L65" s="2"/>
    </row>
    <row r="66">
      <c r="A66" s="1"/>
      <c r="B66" s="2"/>
      <c r="C66" s="2"/>
      <c r="D66" s="2"/>
      <c r="E66" s="2"/>
      <c r="F66" s="1"/>
      <c r="G66" s="1">
        <f>MAX(0,tblGoals[[#This Row],[Target Amount]]-tblGoals[[#This Row],[Current Saved Amount]])</f>
      </c>
      <c r="H66" s="2"/>
      <c r="I66" s="4"/>
      <c r="J66" s="2"/>
      <c r="K66" s="2"/>
      <c r="L66" s="2"/>
    </row>
    <row r="67">
      <c r="A67" s="1"/>
      <c r="B67" s="2"/>
      <c r="C67" s="2"/>
      <c r="D67" s="2"/>
      <c r="E67" s="2"/>
      <c r="F67" s="1"/>
      <c r="G67" s="1">
        <f>MAX(0,tblGoals[[#This Row],[Target Amount]]-tblGoals[[#This Row],[Current Saved Amount]])</f>
      </c>
      <c r="H67" s="2"/>
      <c r="I67" s="4"/>
      <c r="J67" s="2"/>
      <c r="K67" s="2"/>
      <c r="L67" s="2"/>
    </row>
    <row r="68">
      <c r="A68" s="1"/>
      <c r="B68" s="2"/>
      <c r="C68" s="2"/>
      <c r="D68" s="2"/>
      <c r="E68" s="2"/>
      <c r="F68" s="1"/>
      <c r="G68" s="1">
        <f>MAX(0,tblGoals[[#This Row],[Target Amount]]-tblGoals[[#This Row],[Current Saved Amount]])</f>
      </c>
      <c r="H68" s="2"/>
      <c r="I68" s="4"/>
      <c r="J68" s="2"/>
      <c r="K68" s="2"/>
      <c r="L68" s="2"/>
    </row>
    <row r="69">
      <c r="A69" s="1"/>
      <c r="B69" s="2"/>
      <c r="C69" s="2"/>
      <c r="D69" s="2"/>
      <c r="E69" s="2"/>
      <c r="F69" s="1"/>
      <c r="G69" s="1">
        <f>MAX(0,tblGoals[[#This Row],[Target Amount]]-tblGoals[[#This Row],[Current Saved Amount]])</f>
      </c>
      <c r="H69" s="2"/>
      <c r="I69" s="4"/>
      <c r="J69" s="2"/>
      <c r="K69" s="2"/>
      <c r="L69" s="2"/>
    </row>
    <row r="70">
      <c r="A70" s="1"/>
      <c r="B70" s="2"/>
      <c r="C70" s="2"/>
      <c r="D70" s="2"/>
      <c r="E70" s="2"/>
      <c r="F70" s="1"/>
      <c r="G70" s="1">
        <f>MAX(0,tblGoals[[#This Row],[Target Amount]]-tblGoals[[#This Row],[Current Saved Amount]])</f>
      </c>
      <c r="H70" s="2"/>
      <c r="I70" s="4"/>
      <c r="J70" s="2"/>
      <c r="K70" s="2"/>
      <c r="L70" s="2"/>
    </row>
    <row r="71">
      <c r="A71" s="1"/>
      <c r="B71" s="2"/>
      <c r="C71" s="2"/>
      <c r="D71" s="2"/>
      <c r="E71" s="2"/>
      <c r="F71" s="1"/>
      <c r="G71" s="1">
        <f>MAX(0,tblGoals[[#This Row],[Target Amount]]-tblGoals[[#This Row],[Current Saved Amount]])</f>
      </c>
      <c r="H71" s="2"/>
      <c r="I71" s="4"/>
      <c r="J71" s="2"/>
      <c r="K71" s="2"/>
      <c r="L71" s="2"/>
    </row>
    <row r="72">
      <c r="A72" s="1"/>
      <c r="B72" s="2"/>
      <c r="C72" s="2"/>
      <c r="D72" s="2"/>
      <c r="E72" s="2"/>
      <c r="F72" s="1"/>
      <c r="G72" s="1">
        <f>MAX(0,tblGoals[[#This Row],[Target Amount]]-tblGoals[[#This Row],[Current Saved Amount]])</f>
      </c>
      <c r="H72" s="2"/>
      <c r="I72" s="4"/>
      <c r="J72" s="2"/>
      <c r="K72" s="2"/>
      <c r="L72" s="2"/>
    </row>
    <row r="73">
      <c r="A73" s="1"/>
      <c r="B73" s="2"/>
      <c r="C73" s="2"/>
      <c r="D73" s="2"/>
      <c r="E73" s="2"/>
      <c r="F73" s="1"/>
      <c r="G73" s="1">
        <f>MAX(0,tblGoals[[#This Row],[Target Amount]]-tblGoals[[#This Row],[Current Saved Amount]])</f>
      </c>
      <c r="H73" s="2"/>
      <c r="I73" s="4"/>
      <c r="J73" s="2"/>
      <c r="K73" s="2"/>
      <c r="L73" s="2"/>
    </row>
    <row r="74">
      <c r="A74" s="1"/>
      <c r="B74" s="2"/>
      <c r="C74" s="2"/>
      <c r="D74" s="2"/>
      <c r="E74" s="2"/>
      <c r="F74" s="1"/>
      <c r="G74" s="1">
        <f>MAX(0,tblGoals[[#This Row],[Target Amount]]-tblGoals[[#This Row],[Current Saved Amount]])</f>
      </c>
      <c r="H74" s="2"/>
      <c r="I74" s="4"/>
      <c r="J74" s="2"/>
      <c r="K74" s="2"/>
      <c r="L74" s="2"/>
    </row>
    <row r="75">
      <c r="A75" s="1"/>
      <c r="B75" s="2"/>
      <c r="C75" s="2"/>
      <c r="D75" s="2"/>
      <c r="E75" s="2"/>
      <c r="F75" s="1"/>
      <c r="G75" s="1">
        <f>MAX(0,tblGoals[[#This Row],[Target Amount]]-tblGoals[[#This Row],[Current Saved Amount]])</f>
      </c>
      <c r="H75" s="2"/>
      <c r="I75" s="4"/>
      <c r="J75" s="2"/>
      <c r="K75" s="2"/>
      <c r="L75" s="2"/>
    </row>
    <row r="76">
      <c r="A76" s="1"/>
      <c r="B76" s="2"/>
      <c r="C76" s="2"/>
      <c r="D76" s="2"/>
      <c r="E76" s="2"/>
      <c r="F76" s="1"/>
      <c r="G76" s="1">
        <f>MAX(0,tblGoals[[#This Row],[Target Amount]]-tblGoals[[#This Row],[Current Saved Amount]])</f>
      </c>
      <c r="H76" s="2"/>
      <c r="I76" s="4"/>
      <c r="J76" s="2"/>
      <c r="K76" s="2"/>
      <c r="L76" s="2"/>
    </row>
    <row r="77">
      <c r="A77" s="1"/>
      <c r="B77" s="2"/>
      <c r="C77" s="2"/>
      <c r="D77" s="2"/>
      <c r="E77" s="2"/>
      <c r="F77" s="1"/>
      <c r="G77" s="1">
        <f>MAX(0,tblGoals[[#This Row],[Target Amount]]-tblGoals[[#This Row],[Current Saved Amount]])</f>
      </c>
      <c r="H77" s="2"/>
      <c r="I77" s="4"/>
      <c r="J77" s="2"/>
      <c r="K77" s="2"/>
      <c r="L77" s="2"/>
    </row>
    <row r="78">
      <c r="A78" s="1"/>
      <c r="B78" s="2"/>
      <c r="C78" s="2"/>
      <c r="D78" s="2"/>
      <c r="E78" s="2"/>
      <c r="F78" s="1"/>
      <c r="G78" s="1">
        <f>MAX(0,tblGoals[[#This Row],[Target Amount]]-tblGoals[[#This Row],[Current Saved Amount]])</f>
      </c>
      <c r="H78" s="2"/>
      <c r="I78" s="4"/>
      <c r="J78" s="2"/>
      <c r="K78" s="2"/>
      <c r="L78" s="2"/>
    </row>
    <row r="79">
      <c r="A79" s="1"/>
      <c r="B79" s="2"/>
      <c r="C79" s="2"/>
      <c r="D79" s="2"/>
      <c r="E79" s="2"/>
      <c r="F79" s="1"/>
      <c r="G79" s="1">
        <f>MAX(0,tblGoals[[#This Row],[Target Amount]]-tblGoals[[#This Row],[Current Saved Amount]])</f>
      </c>
      <c r="H79" s="2"/>
      <c r="I79" s="4"/>
      <c r="J79" s="2"/>
      <c r="K79" s="2"/>
      <c r="L79" s="2"/>
    </row>
    <row r="80">
      <c r="A80" s="1"/>
      <c r="B80" s="2"/>
      <c r="C80" s="2"/>
      <c r="D80" s="2"/>
      <c r="E80" s="2"/>
      <c r="F80" s="1"/>
      <c r="G80" s="1">
        <f>MAX(0,tblGoals[[#This Row],[Target Amount]]-tblGoals[[#This Row],[Current Saved Amount]])</f>
      </c>
      <c r="H80" s="2"/>
      <c r="I80" s="4"/>
      <c r="J80" s="2"/>
      <c r="K80" s="2"/>
      <c r="L80" s="2"/>
    </row>
    <row r="81">
      <c r="A81" s="1"/>
      <c r="B81" s="2"/>
      <c r="C81" s="2"/>
      <c r="D81" s="2"/>
      <c r="E81" s="2"/>
      <c r="F81" s="1"/>
      <c r="G81" s="1">
        <f>MAX(0,tblGoals[[#This Row],[Target Amount]]-tblGoals[[#This Row],[Current Saved Amount]])</f>
      </c>
      <c r="H81" s="2"/>
      <c r="I81" s="4"/>
      <c r="J81" s="2"/>
      <c r="K81" s="2"/>
      <c r="L81" s="2"/>
    </row>
    <row r="82">
      <c r="A82" s="1"/>
      <c r="B82" s="2"/>
      <c r="C82" s="2"/>
      <c r="D82" s="2"/>
      <c r="E82" s="2"/>
      <c r="F82" s="1"/>
      <c r="G82" s="1">
        <f>MAX(0,tblGoals[[#This Row],[Target Amount]]-tblGoals[[#This Row],[Current Saved Amount]])</f>
      </c>
      <c r="H82" s="2"/>
      <c r="I82" s="4"/>
      <c r="J82" s="2"/>
      <c r="K82" s="2"/>
      <c r="L82" s="2"/>
    </row>
    <row r="83">
      <c r="A83" s="1"/>
      <c r="B83" s="2"/>
      <c r="C83" s="2"/>
      <c r="D83" s="2"/>
      <c r="E83" s="2"/>
      <c r="F83" s="1"/>
      <c r="G83" s="1">
        <f>MAX(0,tblGoals[[#This Row],[Target Amount]]-tblGoals[[#This Row],[Current Saved Amount]])</f>
      </c>
      <c r="H83" s="2"/>
      <c r="I83" s="4"/>
      <c r="J83" s="2"/>
      <c r="K83" s="2"/>
      <c r="L83" s="2"/>
    </row>
    <row r="84">
      <c r="A84" s="1"/>
      <c r="B84" s="2"/>
      <c r="C84" s="2"/>
      <c r="D84" s="2"/>
      <c r="E84" s="2"/>
      <c r="F84" s="1"/>
      <c r="G84" s="1">
        <f>MAX(0,tblGoals[[#This Row],[Target Amount]]-tblGoals[[#This Row],[Current Saved Amount]])</f>
      </c>
      <c r="H84" s="2"/>
      <c r="I84" s="4"/>
      <c r="J84" s="2"/>
      <c r="K84" s="2"/>
      <c r="L84" s="2"/>
    </row>
    <row r="85">
      <c r="A85" s="1"/>
      <c r="B85" s="2"/>
      <c r="C85" s="2"/>
      <c r="D85" s="2"/>
      <c r="E85" s="2"/>
      <c r="F85" s="1"/>
      <c r="G85" s="1">
        <f>MAX(0,tblGoals[[#This Row],[Target Amount]]-tblGoals[[#This Row],[Current Saved Amount]])</f>
      </c>
      <c r="H85" s="2"/>
      <c r="I85" s="4"/>
      <c r="J85" s="2"/>
      <c r="K85" s="2"/>
      <c r="L85" s="2"/>
    </row>
    <row r="86">
      <c r="A86" s="1"/>
      <c r="B86" s="2"/>
      <c r="C86" s="2"/>
      <c r="D86" s="2"/>
      <c r="E86" s="2"/>
      <c r="F86" s="1"/>
      <c r="G86" s="1">
        <f>MAX(0,tblGoals[[#This Row],[Target Amount]]-tblGoals[[#This Row],[Current Saved Amount]])</f>
      </c>
      <c r="H86" s="2"/>
      <c r="I86" s="4"/>
      <c r="J86" s="2"/>
      <c r="K86" s="2"/>
      <c r="L86" s="2"/>
    </row>
    <row r="87">
      <c r="A87" s="1"/>
      <c r="B87" s="2"/>
      <c r="C87" s="2"/>
      <c r="D87" s="2"/>
      <c r="E87" s="2"/>
      <c r="F87" s="1"/>
      <c r="G87" s="1">
        <f>MAX(0,tblGoals[[#This Row],[Target Amount]]-tblGoals[[#This Row],[Current Saved Amount]])</f>
      </c>
      <c r="H87" s="2"/>
      <c r="I87" s="4"/>
      <c r="J87" s="2"/>
      <c r="K87" s="2"/>
      <c r="L87" s="2"/>
    </row>
    <row r="88">
      <c r="A88" s="1"/>
      <c r="B88" s="2"/>
      <c r="C88" s="2"/>
      <c r="D88" s="2"/>
      <c r="E88" s="2"/>
      <c r="F88" s="1"/>
      <c r="G88" s="1">
        <f>MAX(0,tblGoals[[#This Row],[Target Amount]]-tblGoals[[#This Row],[Current Saved Amount]])</f>
      </c>
      <c r="H88" s="2"/>
      <c r="I88" s="4"/>
      <c r="J88" s="2"/>
      <c r="K88" s="2"/>
      <c r="L88" s="2"/>
    </row>
    <row r="89">
      <c r="A89" s="1"/>
      <c r="B89" s="2"/>
      <c r="C89" s="2"/>
      <c r="D89" s="2"/>
      <c r="E89" s="2"/>
      <c r="F89" s="1"/>
      <c r="G89" s="1">
        <f>MAX(0,tblGoals[[#This Row],[Target Amount]]-tblGoals[[#This Row],[Current Saved Amount]])</f>
      </c>
      <c r="H89" s="2"/>
      <c r="I89" s="4"/>
      <c r="J89" s="2"/>
      <c r="K89" s="2"/>
      <c r="L89" s="2"/>
    </row>
    <row r="90">
      <c r="A90" s="1"/>
      <c r="B90" s="2"/>
      <c r="C90" s="2"/>
      <c r="D90" s="2"/>
      <c r="E90" s="2"/>
      <c r="F90" s="1"/>
      <c r="G90" s="1">
        <f>MAX(0,tblGoals[[#This Row],[Target Amount]]-tblGoals[[#This Row],[Current Saved Amount]])</f>
      </c>
      <c r="H90" s="2"/>
      <c r="I90" s="4"/>
      <c r="J90" s="2"/>
      <c r="K90" s="2"/>
      <c r="L90" s="2"/>
    </row>
    <row r="91">
      <c r="A91" s="1"/>
      <c r="B91" s="2"/>
      <c r="C91" s="2"/>
      <c r="D91" s="2"/>
      <c r="E91" s="2"/>
      <c r="F91" s="1"/>
      <c r="G91" s="1">
        <f>MAX(0,tblGoals[[#This Row],[Target Amount]]-tblGoals[[#This Row],[Current Saved Amount]])</f>
      </c>
      <c r="H91" s="2"/>
      <c r="I91" s="4"/>
      <c r="J91" s="2"/>
      <c r="K91" s="2"/>
      <c r="L91" s="2"/>
    </row>
    <row r="92">
      <c r="A92" s="1"/>
      <c r="B92" s="2"/>
      <c r="C92" s="2"/>
      <c r="D92" s="2"/>
      <c r="E92" s="2"/>
      <c r="F92" s="1"/>
      <c r="G92" s="1">
        <f>MAX(0,tblGoals[[#This Row],[Target Amount]]-tblGoals[[#This Row],[Current Saved Amount]])</f>
      </c>
      <c r="H92" s="2"/>
      <c r="I92" s="4"/>
      <c r="J92" s="2"/>
      <c r="K92" s="2"/>
      <c r="L92" s="2"/>
    </row>
    <row r="93">
      <c r="A93" s="1"/>
      <c r="B93" s="2"/>
      <c r="C93" s="2"/>
      <c r="D93" s="2"/>
      <c r="E93" s="2"/>
      <c r="F93" s="1"/>
      <c r="G93" s="1">
        <f>MAX(0,tblGoals[[#This Row],[Target Amount]]-tblGoals[[#This Row],[Current Saved Amount]])</f>
      </c>
      <c r="H93" s="2"/>
      <c r="I93" s="4"/>
      <c r="J93" s="2"/>
      <c r="K93" s="2"/>
      <c r="L93" s="2"/>
    </row>
    <row r="94">
      <c r="A94" s="1"/>
      <c r="B94" s="2"/>
      <c r="C94" s="2"/>
      <c r="D94" s="2"/>
      <c r="E94" s="2"/>
      <c r="F94" s="1"/>
      <c r="G94" s="1">
        <f>MAX(0,tblGoals[[#This Row],[Target Amount]]-tblGoals[[#This Row],[Current Saved Amount]])</f>
      </c>
      <c r="H94" s="2"/>
      <c r="I94" s="4"/>
      <c r="J94" s="2"/>
      <c r="K94" s="2"/>
      <c r="L94" s="2"/>
    </row>
    <row r="95">
      <c r="A95" s="1"/>
      <c r="B95" s="2"/>
      <c r="C95" s="2"/>
      <c r="D95" s="2"/>
      <c r="E95" s="2"/>
      <c r="F95" s="1"/>
      <c r="G95" s="1">
        <f>MAX(0,tblGoals[[#This Row],[Target Amount]]-tblGoals[[#This Row],[Current Saved Amount]])</f>
      </c>
      <c r="H95" s="2"/>
      <c r="I95" s="4"/>
      <c r="J95" s="2"/>
      <c r="K95" s="2"/>
      <c r="L95" s="2"/>
    </row>
    <row r="96">
      <c r="A96" s="1"/>
      <c r="B96" s="2"/>
      <c r="C96" s="2"/>
      <c r="D96" s="2"/>
      <c r="E96" s="2"/>
      <c r="F96" s="1"/>
      <c r="G96" s="1">
        <f>MAX(0,tblGoals[[#This Row],[Target Amount]]-tblGoals[[#This Row],[Current Saved Amount]])</f>
      </c>
      <c r="H96" s="2"/>
      <c r="I96" s="4"/>
      <c r="J96" s="2"/>
      <c r="K96" s="2"/>
      <c r="L96" s="2"/>
    </row>
    <row r="97">
      <c r="A97" s="1"/>
      <c r="B97" s="2"/>
      <c r="C97" s="2"/>
      <c r="D97" s="2"/>
      <c r="E97" s="2"/>
      <c r="F97" s="1"/>
      <c r="G97" s="1">
        <f>MAX(0,tblGoals[[#This Row],[Target Amount]]-tblGoals[[#This Row],[Current Saved Amount]])</f>
      </c>
      <c r="H97" s="2"/>
      <c r="I97" s="4"/>
      <c r="J97" s="2"/>
      <c r="K97" s="2"/>
      <c r="L97" s="2"/>
    </row>
    <row r="98">
      <c r="A98" s="1"/>
      <c r="B98" s="2"/>
      <c r="C98" s="2"/>
      <c r="D98" s="2"/>
      <c r="E98" s="2"/>
      <c r="F98" s="1"/>
      <c r="G98" s="1">
        <f>MAX(0,tblGoals[[#This Row],[Target Amount]]-tblGoals[[#This Row],[Current Saved Amount]])</f>
      </c>
      <c r="H98" s="2"/>
      <c r="I98" s="4"/>
      <c r="J98" s="2"/>
      <c r="K98" s="2"/>
      <c r="L98" s="2"/>
    </row>
    <row r="99">
      <c r="A99" s="1"/>
      <c r="B99" s="2"/>
      <c r="C99" s="2"/>
      <c r="D99" s="2"/>
      <c r="E99" s="2"/>
      <c r="F99" s="1"/>
      <c r="G99" s="1">
        <f>MAX(0,tblGoals[[#This Row],[Target Amount]]-tblGoals[[#This Row],[Current Saved Amount]])</f>
      </c>
      <c r="H99" s="2"/>
      <c r="I99" s="4"/>
      <c r="J99" s="2"/>
      <c r="K99" s="2"/>
      <c r="L99" s="2"/>
    </row>
    <row r="100">
      <c r="A100" s="1"/>
      <c r="B100" s="2"/>
      <c r="C100" s="2"/>
      <c r="D100" s="2"/>
      <c r="E100" s="2"/>
      <c r="F100" s="1"/>
      <c r="G100" s="1">
        <f>MAX(0,tblGoals[[#This Row],[Target Amount]]-tblGoals[[#This Row],[Current Saved Amount]])</f>
      </c>
      <c r="H100" s="2"/>
      <c r="I100" s="4"/>
      <c r="J100" s="2"/>
      <c r="K100" s="2"/>
      <c r="L100" s="2"/>
    </row>
    <row r="101">
      <c r="A101" s="1"/>
      <c r="B101" s="2"/>
      <c r="C101" s="2"/>
      <c r="D101" s="2"/>
      <c r="E101" s="2"/>
      <c r="F101" s="1"/>
      <c r="G101" s="1">
        <f>MAX(0,tblGoals[[#This Row],[Target Amount]]-tblGoals[[#This Row],[Current Saved Amount]])</f>
      </c>
      <c r="H101" s="2"/>
      <c r="I101" s="4"/>
      <c r="J101" s="2"/>
      <c r="K101" s="2"/>
      <c r="L101" s="2"/>
    </row>
    <row r="102">
      <c r="A102" s="1"/>
      <c r="B102" s="2"/>
      <c r="C102" s="2"/>
      <c r="D102" s="2"/>
      <c r="E102" s="2"/>
      <c r="F102" s="1"/>
      <c r="G102" s="1">
        <f>MAX(0,tblGoals[[#This Row],[Target Amount]]-tblGoals[[#This Row],[Current Saved Amount]])</f>
      </c>
      <c r="H102" s="2"/>
      <c r="I102" s="4"/>
      <c r="J102" s="2"/>
      <c r="K102" s="2"/>
      <c r="L102" s="2"/>
    </row>
    <row r="103">
      <c r="A103" s="1"/>
      <c r="B103" s="2"/>
      <c r="C103" s="2"/>
      <c r="D103" s="2"/>
      <c r="E103" s="2"/>
      <c r="F103" s="1"/>
      <c r="G103" s="1">
        <f>MAX(0,tblGoals[[#This Row],[Target Amount]]-tblGoals[[#This Row],[Current Saved Amount]])</f>
      </c>
      <c r="H103" s="2"/>
      <c r="I103" s="4"/>
      <c r="J103" s="2"/>
      <c r="K103" s="2"/>
      <c r="L103" s="2"/>
    </row>
    <row r="104">
      <c r="A104" s="1"/>
      <c r="B104" s="2"/>
      <c r="C104" s="2"/>
      <c r="D104" s="2"/>
      <c r="E104" s="2"/>
      <c r="F104" s="1"/>
      <c r="G104" s="1">
        <f>MAX(0,tblGoals[[#This Row],[Target Amount]]-tblGoals[[#This Row],[Current Saved Amount]])</f>
      </c>
      <c r="H104" s="2"/>
      <c r="I104" s="4"/>
      <c r="J104" s="2"/>
      <c r="K104" s="2"/>
      <c r="L104" s="2"/>
    </row>
    <row r="105">
      <c r="A105" s="1"/>
      <c r="B105" s="2"/>
      <c r="C105" s="2"/>
      <c r="D105" s="2"/>
      <c r="E105" s="2"/>
      <c r="F105" s="1"/>
      <c r="G105" s="1">
        <f>MAX(0,tblGoals[[#This Row],[Target Amount]]-tblGoals[[#This Row],[Current Saved Amount]])</f>
      </c>
      <c r="H105" s="2"/>
      <c r="I105" s="4"/>
      <c r="J105" s="2"/>
      <c r="K105" s="2"/>
      <c r="L105" s="2"/>
    </row>
    <row r="106">
      <c r="A106" s="1"/>
      <c r="B106" s="2"/>
      <c r="C106" s="2"/>
      <c r="D106" s="2"/>
      <c r="E106" s="2"/>
      <c r="F106" s="1"/>
      <c r="G106" s="1">
        <f>MAX(0,tblGoals[[#This Row],[Target Amount]]-tblGoals[[#This Row],[Current Saved Amount]])</f>
      </c>
      <c r="H106" s="2"/>
      <c r="I106" s="4"/>
      <c r="J106" s="2"/>
      <c r="K106" s="2"/>
      <c r="L106" s="2"/>
    </row>
    <row r="107">
      <c r="A107" s="1"/>
      <c r="B107" s="2"/>
      <c r="C107" s="2"/>
      <c r="D107" s="2"/>
      <c r="E107" s="2"/>
      <c r="F107" s="1"/>
      <c r="G107" s="1">
        <f>MAX(0,tblGoals[[#This Row],[Target Amount]]-tblGoals[[#This Row],[Current Saved Amount]])</f>
      </c>
      <c r="H107" s="2"/>
      <c r="I107" s="4"/>
      <c r="J107" s="2"/>
      <c r="K107" s="2"/>
      <c r="L107" s="2"/>
    </row>
    <row r="108">
      <c r="A108" s="1"/>
      <c r="B108" s="2"/>
      <c r="C108" s="2"/>
      <c r="D108" s="2"/>
      <c r="E108" s="2"/>
      <c r="F108" s="1"/>
      <c r="G108" s="1">
        <f>MAX(0,tblGoals[[#This Row],[Target Amount]]-tblGoals[[#This Row],[Current Saved Amount]])</f>
      </c>
      <c r="H108" s="2"/>
      <c r="I108" s="4"/>
      <c r="J108" s="2"/>
      <c r="K108" s="2"/>
      <c r="L108" s="2"/>
    </row>
    <row r="109">
      <c r="A109" s="1"/>
      <c r="B109" s="2"/>
      <c r="C109" s="2"/>
      <c r="D109" s="2"/>
      <c r="E109" s="2"/>
      <c r="F109" s="1"/>
      <c r="G109" s="1">
        <f>MAX(0,tblGoals[[#This Row],[Target Amount]]-tblGoals[[#This Row],[Current Saved Amount]])</f>
      </c>
      <c r="H109" s="2"/>
      <c r="I109" s="4"/>
      <c r="J109" s="2"/>
      <c r="K109" s="2"/>
      <c r="L109" s="2"/>
    </row>
    <row r="110">
      <c r="A110" s="1"/>
      <c r="B110" s="2"/>
      <c r="C110" s="2"/>
      <c r="D110" s="2"/>
      <c r="E110" s="2"/>
      <c r="F110" s="1"/>
      <c r="G110" s="1">
        <f>MAX(0,tblGoals[[#This Row],[Target Amount]]-tblGoals[[#This Row],[Current Saved Amount]])</f>
      </c>
      <c r="H110" s="2"/>
      <c r="I110" s="4"/>
      <c r="J110" s="2"/>
      <c r="K110" s="2"/>
      <c r="L110" s="2"/>
    </row>
    <row r="111">
      <c r="A111" s="1"/>
      <c r="B111" s="2"/>
      <c r="C111" s="2"/>
      <c r="D111" s="2"/>
      <c r="E111" s="2"/>
      <c r="F111" s="1"/>
      <c r="G111" s="1">
        <f>MAX(0,tblGoals[[#This Row],[Target Amount]]-tblGoals[[#This Row],[Current Saved Amount]])</f>
      </c>
      <c r="H111" s="2"/>
      <c r="I111" s="4"/>
      <c r="J111" s="2"/>
      <c r="K111" s="2"/>
      <c r="L111" s="2"/>
    </row>
    <row r="112">
      <c r="A112" s="1"/>
      <c r="B112" s="2"/>
      <c r="C112" s="2"/>
      <c r="D112" s="2"/>
      <c r="E112" s="2"/>
      <c r="F112" s="1"/>
      <c r="G112" s="1">
        <f>MAX(0,tblGoals[[#This Row],[Target Amount]]-tblGoals[[#This Row],[Current Saved Amount]])</f>
      </c>
      <c r="H112" s="2"/>
      <c r="I112" s="4"/>
      <c r="J112" s="2"/>
      <c r="K112" s="2"/>
      <c r="L112" s="2"/>
    </row>
    <row r="113">
      <c r="A113" s="1"/>
      <c r="B113" s="2"/>
      <c r="C113" s="2"/>
      <c r="D113" s="2"/>
      <c r="E113" s="2"/>
      <c r="F113" s="1"/>
      <c r="G113" s="1">
        <f>MAX(0,tblGoals[[#This Row],[Target Amount]]-tblGoals[[#This Row],[Current Saved Amount]])</f>
      </c>
      <c r="H113" s="2"/>
      <c r="I113" s="4"/>
      <c r="J113" s="2"/>
      <c r="K113" s="2"/>
      <c r="L113" s="2"/>
    </row>
    <row r="114">
      <c r="A114" s="1"/>
      <c r="B114" s="2"/>
      <c r="C114" s="2"/>
      <c r="D114" s="2"/>
      <c r="E114" s="2"/>
      <c r="F114" s="1"/>
      <c r="G114" s="1">
        <f>MAX(0,tblGoals[[#This Row],[Target Amount]]-tblGoals[[#This Row],[Current Saved Amount]])</f>
      </c>
      <c r="H114" s="2"/>
      <c r="I114" s="4"/>
      <c r="J114" s="2"/>
      <c r="K114" s="2"/>
      <c r="L114" s="2"/>
    </row>
    <row r="115">
      <c r="A115" s="1"/>
      <c r="B115" s="2"/>
      <c r="C115" s="2"/>
      <c r="D115" s="2"/>
      <c r="E115" s="2"/>
      <c r="F115" s="1"/>
      <c r="G115" s="1">
        <f>MAX(0,tblGoals[[#This Row],[Target Amount]]-tblGoals[[#This Row],[Current Saved Amount]])</f>
      </c>
      <c r="H115" s="2"/>
      <c r="I115" s="4"/>
      <c r="J115" s="2"/>
      <c r="K115" s="2"/>
      <c r="L115" s="2"/>
    </row>
    <row r="116">
      <c r="A116" s="1"/>
      <c r="B116" s="2"/>
      <c r="C116" s="2"/>
      <c r="D116" s="2"/>
      <c r="E116" s="2"/>
      <c r="F116" s="1"/>
      <c r="G116" s="1">
        <f>MAX(0,tblGoals[[#This Row],[Target Amount]]-tblGoals[[#This Row],[Current Saved Amount]])</f>
      </c>
      <c r="H116" s="2"/>
      <c r="I116" s="4"/>
      <c r="J116" s="2"/>
      <c r="K116" s="2"/>
      <c r="L116" s="2"/>
    </row>
    <row r="117">
      <c r="A117" s="1"/>
      <c r="B117" s="2"/>
      <c r="C117" s="2"/>
      <c r="D117" s="2"/>
      <c r="E117" s="2"/>
      <c r="F117" s="1"/>
      <c r="G117" s="1">
        <f>MAX(0,tblGoals[[#This Row],[Target Amount]]-tblGoals[[#This Row],[Current Saved Amount]])</f>
      </c>
      <c r="H117" s="2"/>
      <c r="I117" s="4"/>
      <c r="J117" s="2"/>
      <c r="K117" s="2"/>
      <c r="L117" s="2"/>
    </row>
    <row r="118">
      <c r="A118" s="1"/>
      <c r="B118" s="2"/>
      <c r="C118" s="2"/>
      <c r="D118" s="2"/>
      <c r="E118" s="2"/>
      <c r="F118" s="1"/>
      <c r="G118" s="1">
        <f>MAX(0,tblGoals[[#This Row],[Target Amount]]-tblGoals[[#This Row],[Current Saved Amount]])</f>
      </c>
      <c r="H118" s="2"/>
      <c r="I118" s="4"/>
      <c r="J118" s="2"/>
      <c r="K118" s="2"/>
      <c r="L118" s="2"/>
    </row>
    <row r="119">
      <c r="A119" s="1"/>
      <c r="B119" s="2"/>
      <c r="C119" s="2"/>
      <c r="D119" s="2"/>
      <c r="E119" s="2"/>
      <c r="F119" s="1"/>
      <c r="G119" s="1">
        <f>MAX(0,tblGoals[[#This Row],[Target Amount]]-tblGoals[[#This Row],[Current Saved Amount]])</f>
      </c>
      <c r="H119" s="2"/>
      <c r="I119" s="4"/>
      <c r="J119" s="2"/>
      <c r="K119" s="2"/>
      <c r="L119" s="2"/>
    </row>
    <row r="120">
      <c r="A120" s="1"/>
      <c r="B120" s="2"/>
      <c r="C120" s="2"/>
      <c r="D120" s="2"/>
      <c r="E120" s="2"/>
      <c r="F120" s="1"/>
      <c r="G120" s="1">
        <f>MAX(0,tblGoals[[#This Row],[Target Amount]]-tblGoals[[#This Row],[Current Saved Amount]])</f>
      </c>
      <c r="H120" s="2"/>
      <c r="I120" s="4"/>
      <c r="J120" s="2"/>
      <c r="K120" s="2"/>
      <c r="L120" s="2"/>
    </row>
    <row r="121">
      <c r="A121" s="1"/>
      <c r="B121" s="2"/>
      <c r="C121" s="2"/>
      <c r="D121" s="2"/>
      <c r="E121" s="2"/>
      <c r="F121" s="1"/>
      <c r="G121" s="1">
        <f>MAX(0,tblGoals[[#This Row],[Target Amount]]-tblGoals[[#This Row],[Current Saved Amount]])</f>
      </c>
      <c r="H121" s="2"/>
      <c r="I121" s="4"/>
      <c r="J121" s="2"/>
      <c r="K121" s="2"/>
      <c r="L121" s="2"/>
    </row>
    <row r="122">
      <c r="A122" s="1"/>
      <c r="B122" s="2"/>
      <c r="C122" s="2"/>
      <c r="D122" s="2"/>
      <c r="E122" s="2"/>
      <c r="F122" s="1"/>
      <c r="G122" s="1">
        <f>MAX(0,tblGoals[[#This Row],[Target Amount]]-tblGoals[[#This Row],[Current Saved Amount]])</f>
      </c>
      <c r="H122" s="2"/>
      <c r="I122" s="4"/>
      <c r="J122" s="2"/>
      <c r="K122" s="2"/>
      <c r="L122" s="2"/>
    </row>
    <row r="123">
      <c r="A123" s="1"/>
      <c r="B123" s="2"/>
      <c r="C123" s="2"/>
      <c r="D123" s="2"/>
      <c r="E123" s="2"/>
      <c r="F123" s="1"/>
      <c r="G123" s="1">
        <f>MAX(0,tblGoals[[#This Row],[Target Amount]]-tblGoals[[#This Row],[Current Saved Amount]])</f>
      </c>
      <c r="H123" s="2"/>
      <c r="I123" s="4"/>
      <c r="J123" s="2"/>
      <c r="K123" s="2"/>
      <c r="L123" s="2"/>
    </row>
    <row r="124">
      <c r="A124" s="1"/>
      <c r="B124" s="2"/>
      <c r="C124" s="2"/>
      <c r="D124" s="2"/>
      <c r="E124" s="2"/>
      <c r="F124" s="1"/>
      <c r="G124" s="1">
        <f>MAX(0,tblGoals[[#This Row],[Target Amount]]-tblGoals[[#This Row],[Current Saved Amount]])</f>
      </c>
      <c r="H124" s="2"/>
      <c r="I124" s="4"/>
      <c r="J124" s="2"/>
      <c r="K124" s="2"/>
      <c r="L124" s="2"/>
    </row>
    <row r="125">
      <c r="A125" s="1"/>
      <c r="B125" s="2"/>
      <c r="C125" s="2"/>
      <c r="D125" s="2"/>
      <c r="E125" s="2"/>
      <c r="F125" s="1"/>
      <c r="G125" s="1">
        <f>MAX(0,tblGoals[[#This Row],[Target Amount]]-tblGoals[[#This Row],[Current Saved Amount]])</f>
      </c>
      <c r="H125" s="2"/>
      <c r="I125" s="4"/>
      <c r="J125" s="2"/>
      <c r="K125" s="2"/>
      <c r="L125" s="2"/>
    </row>
    <row r="126">
      <c r="A126" s="1"/>
      <c r="B126" s="2"/>
      <c r="C126" s="2"/>
      <c r="D126" s="2"/>
      <c r="E126" s="2"/>
      <c r="F126" s="1"/>
      <c r="G126" s="1">
        <f>MAX(0,tblGoals[[#This Row],[Target Amount]]-tblGoals[[#This Row],[Current Saved Amount]])</f>
      </c>
      <c r="H126" s="2"/>
      <c r="I126" s="4"/>
      <c r="J126" s="2"/>
      <c r="K126" s="2"/>
      <c r="L126" s="2"/>
    </row>
    <row r="127">
      <c r="A127" s="1"/>
      <c r="B127" s="2"/>
      <c r="C127" s="2"/>
      <c r="D127" s="2"/>
      <c r="E127" s="2"/>
      <c r="F127" s="1"/>
      <c r="G127" s="1">
        <f>MAX(0,tblGoals[[#This Row],[Target Amount]]-tblGoals[[#This Row],[Current Saved Amount]])</f>
      </c>
      <c r="H127" s="2"/>
      <c r="I127" s="4"/>
      <c r="J127" s="2"/>
      <c r="K127" s="2"/>
      <c r="L127" s="2"/>
    </row>
    <row r="128">
      <c r="A128" s="1"/>
      <c r="B128" s="2"/>
      <c r="C128" s="2"/>
      <c r="D128" s="2"/>
      <c r="E128" s="2"/>
      <c r="F128" s="1"/>
      <c r="G128" s="1">
        <f>MAX(0,tblGoals[[#This Row],[Target Amount]]-tblGoals[[#This Row],[Current Saved Amount]])</f>
      </c>
      <c r="H128" s="2"/>
      <c r="I128" s="4"/>
      <c r="J128" s="2"/>
      <c r="K128" s="2"/>
      <c r="L128" s="2"/>
    </row>
    <row r="129">
      <c r="A129" s="1"/>
      <c r="B129" s="2"/>
      <c r="C129" s="2"/>
      <c r="D129" s="2"/>
      <c r="E129" s="2"/>
      <c r="F129" s="1"/>
      <c r="G129" s="1">
        <f>MAX(0,tblGoals[[#This Row],[Target Amount]]-tblGoals[[#This Row],[Current Saved Amount]])</f>
      </c>
      <c r="H129" s="2"/>
      <c r="I129" s="4"/>
      <c r="J129" s="2"/>
      <c r="K129" s="2"/>
      <c r="L129" s="2"/>
    </row>
    <row r="130">
      <c r="A130" s="1"/>
      <c r="B130" s="2"/>
      <c r="C130" s="2"/>
      <c r="D130" s="2"/>
      <c r="E130" s="2"/>
      <c r="F130" s="1"/>
      <c r="G130" s="1">
        <f>MAX(0,tblGoals[[#This Row],[Target Amount]]-tblGoals[[#This Row],[Current Saved Amount]])</f>
      </c>
      <c r="H130" s="2"/>
      <c r="I130" s="4"/>
      <c r="J130" s="2"/>
      <c r="K130" s="2"/>
      <c r="L130" s="2"/>
    </row>
    <row r="131">
      <c r="A131" s="1"/>
      <c r="B131" s="2"/>
      <c r="C131" s="2"/>
      <c r="D131" s="2"/>
      <c r="E131" s="2"/>
      <c r="F131" s="1"/>
      <c r="G131" s="1">
        <f>MAX(0,tblGoals[[#This Row],[Target Amount]]-tblGoals[[#This Row],[Current Saved Amount]])</f>
      </c>
      <c r="H131" s="2"/>
      <c r="I131" s="4"/>
      <c r="J131" s="2"/>
      <c r="K131" s="2"/>
      <c r="L131" s="2"/>
    </row>
    <row r="132">
      <c r="A132" s="1"/>
      <c r="B132" s="2"/>
      <c r="C132" s="2"/>
      <c r="D132" s="2"/>
      <c r="E132" s="2"/>
      <c r="F132" s="1"/>
      <c r="G132" s="1">
        <f>MAX(0,tblGoals[[#This Row],[Target Amount]]-tblGoals[[#This Row],[Current Saved Amount]])</f>
      </c>
      <c r="H132" s="2"/>
      <c r="I132" s="4"/>
      <c r="J132" s="2"/>
      <c r="K132" s="2"/>
      <c r="L132" s="2"/>
    </row>
    <row r="133">
      <c r="A133" s="1"/>
      <c r="B133" s="2"/>
      <c r="C133" s="2"/>
      <c r="D133" s="2"/>
      <c r="E133" s="2"/>
      <c r="F133" s="1"/>
      <c r="G133" s="1">
        <f>MAX(0,tblGoals[[#This Row],[Target Amount]]-tblGoals[[#This Row],[Current Saved Amount]])</f>
      </c>
      <c r="H133" s="2"/>
      <c r="I133" s="4"/>
      <c r="J133" s="2"/>
      <c r="K133" s="2"/>
      <c r="L133" s="2"/>
    </row>
    <row r="134">
      <c r="A134" s="1"/>
      <c r="B134" s="2"/>
      <c r="C134" s="2"/>
      <c r="D134" s="2"/>
      <c r="E134" s="2"/>
      <c r="F134" s="1"/>
      <c r="G134" s="1">
        <f>MAX(0,tblGoals[[#This Row],[Target Amount]]-tblGoals[[#This Row],[Current Saved Amount]])</f>
      </c>
      <c r="H134" s="2"/>
      <c r="I134" s="4"/>
      <c r="J134" s="2"/>
      <c r="K134" s="2"/>
      <c r="L134" s="2"/>
    </row>
    <row r="135">
      <c r="A135" s="1"/>
      <c r="B135" s="2"/>
      <c r="C135" s="2"/>
      <c r="D135" s="2"/>
      <c r="E135" s="2"/>
      <c r="F135" s="1"/>
      <c r="G135" s="1">
        <f>MAX(0,tblGoals[[#This Row],[Target Amount]]-tblGoals[[#This Row],[Current Saved Amount]])</f>
      </c>
      <c r="H135" s="2"/>
      <c r="I135" s="4"/>
      <c r="J135" s="2"/>
      <c r="K135" s="2"/>
      <c r="L135" s="2"/>
    </row>
    <row r="136">
      <c r="A136" s="1"/>
      <c r="B136" s="2"/>
      <c r="C136" s="2"/>
      <c r="D136" s="2"/>
      <c r="E136" s="2"/>
      <c r="F136" s="1"/>
      <c r="G136" s="1">
        <f>MAX(0,tblGoals[[#This Row],[Target Amount]]-tblGoals[[#This Row],[Current Saved Amount]])</f>
      </c>
      <c r="H136" s="2"/>
      <c r="I136" s="4"/>
      <c r="J136" s="2"/>
      <c r="K136" s="2"/>
      <c r="L136" s="2"/>
    </row>
    <row r="137">
      <c r="A137" s="1"/>
      <c r="B137" s="2"/>
      <c r="C137" s="2"/>
      <c r="D137" s="2"/>
      <c r="E137" s="2"/>
      <c r="F137" s="1"/>
      <c r="G137" s="1">
        <f>MAX(0,tblGoals[[#This Row],[Target Amount]]-tblGoals[[#This Row],[Current Saved Amount]])</f>
      </c>
      <c r="H137" s="2"/>
      <c r="I137" s="4"/>
      <c r="J137" s="2"/>
      <c r="K137" s="2"/>
      <c r="L137" s="2"/>
    </row>
    <row r="138">
      <c r="A138" s="1"/>
      <c r="B138" s="2"/>
      <c r="C138" s="2"/>
      <c r="D138" s="2"/>
      <c r="E138" s="2"/>
      <c r="F138" s="1"/>
      <c r="G138" s="1">
        <f>MAX(0,tblGoals[[#This Row],[Target Amount]]-tblGoals[[#This Row],[Current Saved Amount]])</f>
      </c>
      <c r="H138" s="2"/>
      <c r="I138" s="4"/>
      <c r="J138" s="2"/>
      <c r="K138" s="2"/>
      <c r="L138" s="2"/>
    </row>
    <row r="139">
      <c r="A139" s="1"/>
      <c r="B139" s="2"/>
      <c r="C139" s="2"/>
      <c r="D139" s="2"/>
      <c r="E139" s="2"/>
      <c r="F139" s="1"/>
      <c r="G139" s="1">
        <f>MAX(0,tblGoals[[#This Row],[Target Amount]]-tblGoals[[#This Row],[Current Saved Amount]])</f>
      </c>
      <c r="H139" s="2"/>
      <c r="I139" s="4"/>
      <c r="J139" s="2"/>
      <c r="K139" s="2"/>
      <c r="L139" s="2"/>
    </row>
    <row r="140">
      <c r="A140" s="1"/>
      <c r="B140" s="2"/>
      <c r="C140" s="2"/>
      <c r="D140" s="2"/>
      <c r="E140" s="2"/>
      <c r="F140" s="1"/>
      <c r="G140" s="1">
        <f>MAX(0,tblGoals[[#This Row],[Target Amount]]-tblGoals[[#This Row],[Current Saved Amount]])</f>
      </c>
      <c r="H140" s="2"/>
      <c r="I140" s="4"/>
      <c r="J140" s="2"/>
      <c r="K140" s="2"/>
      <c r="L140" s="2"/>
    </row>
    <row r="141">
      <c r="A141" s="1"/>
      <c r="B141" s="2"/>
      <c r="C141" s="2"/>
      <c r="D141" s="2"/>
      <c r="E141" s="2"/>
      <c r="F141" s="1"/>
      <c r="G141" s="1">
        <f>MAX(0,tblGoals[[#This Row],[Target Amount]]-tblGoals[[#This Row],[Current Saved Amount]])</f>
      </c>
      <c r="H141" s="2"/>
      <c r="I141" s="4"/>
      <c r="J141" s="2"/>
      <c r="K141" s="2"/>
      <c r="L141" s="2"/>
    </row>
    <row r="142">
      <c r="A142" s="1"/>
      <c r="B142" s="2"/>
      <c r="C142" s="2"/>
      <c r="D142" s="2"/>
      <c r="E142" s="2"/>
      <c r="F142" s="1"/>
      <c r="G142" s="1">
        <f>MAX(0,tblGoals[[#This Row],[Target Amount]]-tblGoals[[#This Row],[Current Saved Amount]])</f>
      </c>
      <c r="H142" s="2"/>
      <c r="I142" s="4"/>
      <c r="J142" s="2"/>
      <c r="K142" s="2"/>
      <c r="L142" s="2"/>
    </row>
    <row r="143">
      <c r="A143" s="1"/>
      <c r="B143" s="2"/>
      <c r="C143" s="2"/>
      <c r="D143" s="2"/>
      <c r="E143" s="2"/>
      <c r="F143" s="1"/>
      <c r="G143" s="1">
        <f>MAX(0,tblGoals[[#This Row],[Target Amount]]-tblGoals[[#This Row],[Current Saved Amount]])</f>
      </c>
      <c r="H143" s="2"/>
      <c r="I143" s="4"/>
      <c r="J143" s="2"/>
      <c r="K143" s="2"/>
      <c r="L143" s="2"/>
    </row>
    <row r="144">
      <c r="A144" s="1"/>
      <c r="B144" s="2"/>
      <c r="C144" s="2"/>
      <c r="D144" s="2"/>
      <c r="E144" s="2"/>
      <c r="F144" s="1"/>
      <c r="G144" s="1">
        <f>MAX(0,tblGoals[[#This Row],[Target Amount]]-tblGoals[[#This Row],[Current Saved Amount]])</f>
      </c>
      <c r="H144" s="2"/>
      <c r="I144" s="4"/>
      <c r="J144" s="2"/>
      <c r="K144" s="2"/>
      <c r="L144" s="2"/>
    </row>
    <row r="145">
      <c r="A145" s="1"/>
      <c r="B145" s="2"/>
      <c r="C145" s="2"/>
      <c r="D145" s="2"/>
      <c r="E145" s="2"/>
      <c r="F145" s="1"/>
      <c r="G145" s="1">
        <f>MAX(0,tblGoals[[#This Row],[Target Amount]]-tblGoals[[#This Row],[Current Saved Amount]])</f>
      </c>
      <c r="H145" s="2"/>
      <c r="I145" s="4"/>
      <c r="J145" s="2"/>
      <c r="K145" s="2"/>
      <c r="L145" s="2"/>
    </row>
    <row r="146">
      <c r="A146" s="1"/>
      <c r="B146" s="2"/>
      <c r="C146" s="2"/>
      <c r="D146" s="2"/>
      <c r="E146" s="2"/>
      <c r="F146" s="1"/>
      <c r="G146" s="1">
        <f>MAX(0,tblGoals[[#This Row],[Target Amount]]-tblGoals[[#This Row],[Current Saved Amount]])</f>
      </c>
      <c r="H146" s="2"/>
      <c r="I146" s="4"/>
      <c r="J146" s="2"/>
      <c r="K146" s="2"/>
      <c r="L146" s="2"/>
    </row>
    <row r="147">
      <c r="A147" s="1"/>
      <c r="B147" s="2"/>
      <c r="C147" s="2"/>
      <c r="D147" s="2"/>
      <c r="E147" s="2"/>
      <c r="F147" s="1"/>
      <c r="G147" s="1">
        <f>MAX(0,tblGoals[[#This Row],[Target Amount]]-tblGoals[[#This Row],[Current Saved Amount]])</f>
      </c>
      <c r="H147" s="2"/>
      <c r="I147" s="4"/>
      <c r="J147" s="2"/>
      <c r="K147" s="2"/>
      <c r="L147" s="2"/>
    </row>
    <row r="148">
      <c r="A148" s="1"/>
      <c r="B148" s="2"/>
      <c r="C148" s="2"/>
      <c r="D148" s="2"/>
      <c r="E148" s="2"/>
      <c r="F148" s="1"/>
      <c r="G148" s="1">
        <f>MAX(0,tblGoals[[#This Row],[Target Amount]]-tblGoals[[#This Row],[Current Saved Amount]])</f>
      </c>
      <c r="H148" s="2"/>
      <c r="I148" s="4"/>
      <c r="J148" s="2"/>
      <c r="K148" s="2"/>
      <c r="L148" s="2"/>
    </row>
    <row r="149">
      <c r="A149" s="1"/>
      <c r="B149" s="2"/>
      <c r="C149" s="2"/>
      <c r="D149" s="2"/>
      <c r="E149" s="2"/>
      <c r="F149" s="1"/>
      <c r="G149" s="1">
        <f>MAX(0,tblGoals[[#This Row],[Target Amount]]-tblGoals[[#This Row],[Current Saved Amount]])</f>
      </c>
      <c r="H149" s="2"/>
      <c r="I149" s="4"/>
      <c r="J149" s="2"/>
      <c r="K149" s="2"/>
      <c r="L149" s="2"/>
    </row>
    <row r="150">
      <c r="A150" s="1"/>
      <c r="B150" s="2"/>
      <c r="C150" s="2"/>
      <c r="D150" s="2"/>
      <c r="E150" s="2"/>
      <c r="F150" s="1"/>
      <c r="G150" s="1">
        <f>MAX(0,tblGoals[[#This Row],[Target Amount]]-tblGoals[[#This Row],[Current Saved Amount]])</f>
      </c>
      <c r="H150" s="2"/>
      <c r="I150" s="4"/>
      <c r="J150" s="2"/>
      <c r="K150" s="2"/>
      <c r="L150" s="2"/>
    </row>
    <row r="151">
      <c r="A151" s="1"/>
      <c r="B151" s="2"/>
      <c r="C151" s="2"/>
      <c r="D151" s="2"/>
      <c r="E151" s="2"/>
      <c r="F151" s="1"/>
      <c r="G151" s="1">
        <f>MAX(0,tblGoals[[#This Row],[Target Amount]]-tblGoals[[#This Row],[Current Saved Amount]])</f>
      </c>
      <c r="H151" s="2"/>
      <c r="I151" s="4"/>
      <c r="J151" s="2"/>
      <c r="K151" s="2"/>
      <c r="L151" s="2"/>
    </row>
    <row r="152">
      <c r="A152" s="1"/>
      <c r="B152" s="2"/>
      <c r="C152" s="2"/>
      <c r="D152" s="2"/>
      <c r="E152" s="2"/>
      <c r="F152" s="1"/>
      <c r="G152" s="1">
        <f>MAX(0,tblGoals[[#This Row],[Target Amount]]-tblGoals[[#This Row],[Current Saved Amount]])</f>
      </c>
      <c r="H152" s="2"/>
      <c r="I152" s="4"/>
      <c r="J152" s="2"/>
      <c r="K152" s="2"/>
      <c r="L152" s="2"/>
    </row>
    <row r="153">
      <c r="A153" s="1"/>
      <c r="B153" s="2"/>
      <c r="C153" s="2"/>
      <c r="D153" s="2"/>
      <c r="E153" s="2"/>
      <c r="F153" s="1"/>
      <c r="G153" s="1">
        <f>MAX(0,tblGoals[[#This Row],[Target Amount]]-tblGoals[[#This Row],[Current Saved Amount]])</f>
      </c>
      <c r="H153" s="2"/>
      <c r="I153" s="4"/>
      <c r="J153" s="2"/>
      <c r="K153" s="2"/>
      <c r="L153" s="2"/>
    </row>
    <row r="154">
      <c r="A154" s="1"/>
      <c r="B154" s="2"/>
      <c r="C154" s="2"/>
      <c r="D154" s="2"/>
      <c r="E154" s="2"/>
      <c r="F154" s="1"/>
      <c r="G154" s="1">
        <f>MAX(0,tblGoals[[#This Row],[Target Amount]]-tblGoals[[#This Row],[Current Saved Amount]])</f>
      </c>
      <c r="H154" s="2"/>
      <c r="I154" s="4"/>
      <c r="J154" s="2"/>
      <c r="K154" s="2"/>
      <c r="L154" s="2"/>
    </row>
    <row r="155">
      <c r="A155" s="1"/>
      <c r="B155" s="2"/>
      <c r="C155" s="2"/>
      <c r="D155" s="2"/>
      <c r="E155" s="2"/>
      <c r="F155" s="1"/>
      <c r="G155" s="1">
        <f>MAX(0,tblGoals[[#This Row],[Target Amount]]-tblGoals[[#This Row],[Current Saved Amount]])</f>
      </c>
      <c r="H155" s="2"/>
      <c r="I155" s="4"/>
      <c r="J155" s="2"/>
      <c r="K155" s="2"/>
      <c r="L155" s="2"/>
    </row>
    <row r="156">
      <c r="A156" s="1"/>
      <c r="B156" s="2"/>
      <c r="C156" s="2"/>
      <c r="D156" s="2"/>
      <c r="E156" s="2"/>
      <c r="F156" s="1"/>
      <c r="G156" s="1">
        <f>MAX(0,tblGoals[[#This Row],[Target Amount]]-tblGoals[[#This Row],[Current Saved Amount]])</f>
      </c>
      <c r="H156" s="2"/>
      <c r="I156" s="4"/>
      <c r="J156" s="2"/>
      <c r="K156" s="2"/>
      <c r="L156" s="2"/>
    </row>
    <row r="157">
      <c r="A157" s="1"/>
      <c r="B157" s="2"/>
      <c r="C157" s="2"/>
      <c r="D157" s="2"/>
      <c r="E157" s="2"/>
      <c r="F157" s="1"/>
      <c r="G157" s="1">
        <f>MAX(0,tblGoals[[#This Row],[Target Amount]]-tblGoals[[#This Row],[Current Saved Amount]])</f>
      </c>
      <c r="H157" s="2"/>
      <c r="I157" s="4"/>
      <c r="J157" s="2"/>
      <c r="K157" s="2"/>
      <c r="L157" s="2"/>
    </row>
    <row r="158">
      <c r="A158" s="1"/>
      <c r="B158" s="2"/>
      <c r="C158" s="2"/>
      <c r="D158" s="2"/>
      <c r="E158" s="2"/>
      <c r="F158" s="1"/>
      <c r="G158" s="1">
        <f>MAX(0,tblGoals[[#This Row],[Target Amount]]-tblGoals[[#This Row],[Current Saved Amount]])</f>
      </c>
      <c r="H158" s="2"/>
      <c r="I158" s="4"/>
      <c r="J158" s="2"/>
      <c r="K158" s="2"/>
      <c r="L158" s="2"/>
    </row>
    <row r="159">
      <c r="A159" s="1"/>
      <c r="B159" s="2"/>
      <c r="C159" s="2"/>
      <c r="D159" s="2"/>
      <c r="E159" s="2"/>
      <c r="F159" s="1"/>
      <c r="G159" s="1">
        <f>MAX(0,tblGoals[[#This Row],[Target Amount]]-tblGoals[[#This Row],[Current Saved Amount]])</f>
      </c>
      <c r="H159" s="2"/>
      <c r="I159" s="4"/>
      <c r="J159" s="2"/>
      <c r="K159" s="2"/>
      <c r="L159" s="2"/>
    </row>
    <row r="160">
      <c r="A160" s="1"/>
      <c r="B160" s="2"/>
      <c r="C160" s="2"/>
      <c r="D160" s="2"/>
      <c r="E160" s="2"/>
      <c r="F160" s="1"/>
      <c r="G160" s="1">
        <f>MAX(0,tblGoals[[#This Row],[Target Amount]]-tblGoals[[#This Row],[Current Saved Amount]])</f>
      </c>
      <c r="H160" s="2"/>
      <c r="I160" s="4"/>
      <c r="J160" s="2"/>
      <c r="K160" s="2"/>
      <c r="L160" s="2"/>
    </row>
    <row r="161">
      <c r="A161" s="1"/>
      <c r="B161" s="2"/>
      <c r="C161" s="2"/>
      <c r="D161" s="2"/>
      <c r="E161" s="2"/>
      <c r="F161" s="1"/>
      <c r="G161" s="1">
        <f>MAX(0,tblGoals[[#This Row],[Target Amount]]-tblGoals[[#This Row],[Current Saved Amount]])</f>
      </c>
      <c r="H161" s="2"/>
      <c r="I161" s="4"/>
      <c r="J161" s="2"/>
      <c r="K161" s="2"/>
      <c r="L161" s="2"/>
    </row>
    <row r="162">
      <c r="A162" s="1"/>
      <c r="B162" s="2"/>
      <c r="C162" s="2"/>
      <c r="D162" s="2"/>
      <c r="E162" s="2"/>
      <c r="F162" s="1"/>
      <c r="G162" s="1">
        <f>MAX(0,tblGoals[[#This Row],[Target Amount]]-tblGoals[[#This Row],[Current Saved Amount]])</f>
      </c>
      <c r="H162" s="2"/>
      <c r="I162" s="4"/>
      <c r="J162" s="2"/>
      <c r="K162" s="2"/>
      <c r="L162" s="2"/>
    </row>
    <row r="163">
      <c r="A163" s="1"/>
      <c r="B163" s="2"/>
      <c r="C163" s="2"/>
      <c r="D163" s="2"/>
      <c r="E163" s="2"/>
      <c r="F163" s="1"/>
      <c r="G163" s="1">
        <f>MAX(0,tblGoals[[#This Row],[Target Amount]]-tblGoals[[#This Row],[Current Saved Amount]])</f>
      </c>
      <c r="H163" s="2"/>
      <c r="I163" s="4"/>
      <c r="J163" s="2"/>
      <c r="K163" s="2"/>
      <c r="L163" s="2"/>
    </row>
    <row r="164">
      <c r="A164" s="1"/>
      <c r="B164" s="2"/>
      <c r="C164" s="2"/>
      <c r="D164" s="2"/>
      <c r="E164" s="2"/>
      <c r="F164" s="1"/>
      <c r="G164" s="1">
        <f>MAX(0,tblGoals[[#This Row],[Target Amount]]-tblGoals[[#This Row],[Current Saved Amount]])</f>
      </c>
      <c r="H164" s="2"/>
      <c r="I164" s="4"/>
      <c r="J164" s="2"/>
      <c r="K164" s="2"/>
      <c r="L164" s="2"/>
    </row>
    <row r="165">
      <c r="A165" s="1"/>
      <c r="B165" s="2"/>
      <c r="C165" s="2"/>
      <c r="D165" s="2"/>
      <c r="E165" s="2"/>
      <c r="F165" s="1"/>
      <c r="G165" s="1">
        <f>MAX(0,tblGoals[[#This Row],[Target Amount]]-tblGoals[[#This Row],[Current Saved Amount]])</f>
      </c>
      <c r="H165" s="2"/>
      <c r="I165" s="4"/>
      <c r="J165" s="2"/>
      <c r="K165" s="2"/>
      <c r="L165" s="2"/>
    </row>
    <row r="166">
      <c r="A166" s="1"/>
      <c r="B166" s="2"/>
      <c r="C166" s="2"/>
      <c r="D166" s="2"/>
      <c r="E166" s="2"/>
      <c r="F166" s="1"/>
      <c r="G166" s="1">
        <f>MAX(0,tblGoals[[#This Row],[Target Amount]]-tblGoals[[#This Row],[Current Saved Amount]])</f>
      </c>
      <c r="H166" s="2"/>
      <c r="I166" s="4"/>
      <c r="J166" s="2"/>
      <c r="K166" s="2"/>
      <c r="L166" s="2"/>
    </row>
    <row r="167">
      <c r="A167" s="1"/>
      <c r="B167" s="2"/>
      <c r="C167" s="2"/>
      <c r="D167" s="2"/>
      <c r="E167" s="2"/>
      <c r="F167" s="1"/>
      <c r="G167" s="1">
        <f>MAX(0,tblGoals[[#This Row],[Target Amount]]-tblGoals[[#This Row],[Current Saved Amount]])</f>
      </c>
      <c r="H167" s="2"/>
      <c r="I167" s="4"/>
      <c r="J167" s="2"/>
      <c r="K167" s="2"/>
      <c r="L167" s="2"/>
    </row>
    <row r="168">
      <c r="A168" s="1"/>
      <c r="B168" s="2"/>
      <c r="C168" s="2"/>
      <c r="D168" s="2"/>
      <c r="E168" s="2"/>
      <c r="F168" s="1"/>
      <c r="G168" s="1">
        <f>MAX(0,tblGoals[[#This Row],[Target Amount]]-tblGoals[[#This Row],[Current Saved Amount]])</f>
      </c>
      <c r="H168" s="2"/>
      <c r="I168" s="4"/>
      <c r="J168" s="2"/>
      <c r="K168" s="2"/>
      <c r="L168" s="2"/>
    </row>
    <row r="169">
      <c r="A169" s="1"/>
      <c r="B169" s="2"/>
      <c r="C169" s="2"/>
      <c r="D169" s="2"/>
      <c r="E169" s="2"/>
      <c r="F169" s="1"/>
      <c r="G169" s="1">
        <f>MAX(0,tblGoals[[#This Row],[Target Amount]]-tblGoals[[#This Row],[Current Saved Amount]])</f>
      </c>
      <c r="H169" s="2"/>
      <c r="I169" s="4"/>
      <c r="J169" s="2"/>
      <c r="K169" s="2"/>
      <c r="L169" s="2"/>
    </row>
    <row r="170">
      <c r="A170" s="1"/>
      <c r="B170" s="2"/>
      <c r="C170" s="2"/>
      <c r="D170" s="2"/>
      <c r="E170" s="2"/>
      <c r="F170" s="1"/>
      <c r="G170" s="1">
        <f>MAX(0,tblGoals[[#This Row],[Target Amount]]-tblGoals[[#This Row],[Current Saved Amount]])</f>
      </c>
      <c r="H170" s="2"/>
      <c r="I170" s="4"/>
      <c r="J170" s="2"/>
      <c r="K170" s="2"/>
      <c r="L170" s="2"/>
    </row>
    <row r="171">
      <c r="A171" s="1"/>
      <c r="B171" s="2"/>
      <c r="C171" s="2"/>
      <c r="D171" s="2"/>
      <c r="E171" s="2"/>
      <c r="F171" s="1"/>
      <c r="G171" s="1">
        <f>MAX(0,tblGoals[[#This Row],[Target Amount]]-tblGoals[[#This Row],[Current Saved Amount]])</f>
      </c>
      <c r="H171" s="2"/>
      <c r="I171" s="4"/>
      <c r="J171" s="2"/>
      <c r="K171" s="2"/>
      <c r="L171" s="2"/>
    </row>
    <row r="172">
      <c r="A172" s="1"/>
      <c r="B172" s="2"/>
      <c r="C172" s="2"/>
      <c r="D172" s="2"/>
      <c r="E172" s="2"/>
      <c r="F172" s="1"/>
      <c r="G172" s="1">
        <f>MAX(0,tblGoals[[#This Row],[Target Amount]]-tblGoals[[#This Row],[Current Saved Amount]])</f>
      </c>
      <c r="H172" s="2"/>
      <c r="I172" s="4"/>
      <c r="J172" s="2"/>
      <c r="K172" s="2"/>
      <c r="L172" s="2"/>
    </row>
    <row r="173">
      <c r="A173" s="1"/>
      <c r="B173" s="2"/>
      <c r="C173" s="2"/>
      <c r="D173" s="2"/>
      <c r="E173" s="2"/>
      <c r="F173" s="1"/>
      <c r="G173" s="1">
        <f>MAX(0,tblGoals[[#This Row],[Target Amount]]-tblGoals[[#This Row],[Current Saved Amount]])</f>
      </c>
      <c r="H173" s="2"/>
      <c r="I173" s="4"/>
      <c r="J173" s="2"/>
      <c r="K173" s="2"/>
      <c r="L173" s="2"/>
    </row>
    <row r="174">
      <c r="A174" s="1"/>
      <c r="B174" s="2"/>
      <c r="C174" s="2"/>
      <c r="D174" s="2"/>
      <c r="E174" s="2"/>
      <c r="F174" s="1"/>
      <c r="G174" s="1">
        <f>MAX(0,tblGoals[[#This Row],[Target Amount]]-tblGoals[[#This Row],[Current Saved Amount]])</f>
      </c>
      <c r="H174" s="2"/>
      <c r="I174" s="4"/>
      <c r="J174" s="2"/>
      <c r="K174" s="2"/>
      <c r="L174" s="2"/>
    </row>
    <row r="175">
      <c r="A175" s="1"/>
      <c r="B175" s="2"/>
      <c r="C175" s="2"/>
      <c r="D175" s="2"/>
      <c r="E175" s="2"/>
      <c r="F175" s="1"/>
      <c r="G175" s="1">
        <f>MAX(0,tblGoals[[#This Row],[Target Amount]]-tblGoals[[#This Row],[Current Saved Amount]])</f>
      </c>
      <c r="H175" s="2"/>
      <c r="I175" s="4"/>
      <c r="J175" s="2"/>
      <c r="K175" s="2"/>
      <c r="L175" s="2"/>
    </row>
    <row r="176">
      <c r="A176" s="1"/>
      <c r="B176" s="2"/>
      <c r="C176" s="2"/>
      <c r="D176" s="2"/>
      <c r="E176" s="2"/>
      <c r="F176" s="1"/>
      <c r="G176" s="1">
        <f>MAX(0,tblGoals[[#This Row],[Target Amount]]-tblGoals[[#This Row],[Current Saved Amount]])</f>
      </c>
      <c r="H176" s="2"/>
      <c r="I176" s="4"/>
      <c r="J176" s="2"/>
      <c r="K176" s="2"/>
      <c r="L176" s="2"/>
    </row>
    <row r="177">
      <c r="A177" s="1"/>
      <c r="B177" s="2"/>
      <c r="C177" s="2"/>
      <c r="D177" s="2"/>
      <c r="E177" s="2"/>
      <c r="F177" s="1"/>
      <c r="G177" s="1">
        <f>MAX(0,tblGoals[[#This Row],[Target Amount]]-tblGoals[[#This Row],[Current Saved Amount]])</f>
      </c>
      <c r="H177" s="2"/>
      <c r="I177" s="4"/>
      <c r="J177" s="2"/>
      <c r="K177" s="2"/>
      <c r="L177" s="2"/>
    </row>
    <row r="178">
      <c r="A178" s="1"/>
      <c r="B178" s="2"/>
      <c r="C178" s="2"/>
      <c r="D178" s="2"/>
      <c r="E178" s="2"/>
      <c r="F178" s="1"/>
      <c r="G178" s="1">
        <f>MAX(0,tblGoals[[#This Row],[Target Amount]]-tblGoals[[#This Row],[Current Saved Amount]])</f>
      </c>
      <c r="H178" s="2"/>
      <c r="I178" s="4"/>
      <c r="J178" s="2"/>
      <c r="K178" s="2"/>
      <c r="L178" s="2"/>
    </row>
    <row r="179">
      <c r="A179" s="1"/>
      <c r="B179" s="2"/>
      <c r="C179" s="2"/>
      <c r="D179" s="2"/>
      <c r="E179" s="2"/>
      <c r="F179" s="1"/>
      <c r="G179" s="1">
        <f>MAX(0,tblGoals[[#This Row],[Target Amount]]-tblGoals[[#This Row],[Current Saved Amount]])</f>
      </c>
      <c r="H179" s="2"/>
      <c r="I179" s="4"/>
      <c r="J179" s="2"/>
      <c r="K179" s="2"/>
      <c r="L179" s="2"/>
    </row>
    <row r="180">
      <c r="A180" s="1"/>
      <c r="B180" s="2"/>
      <c r="C180" s="2"/>
      <c r="D180" s="2"/>
      <c r="E180" s="2"/>
      <c r="F180" s="1"/>
      <c r="G180" s="1">
        <f>MAX(0,tblGoals[[#This Row],[Target Amount]]-tblGoals[[#This Row],[Current Saved Amount]])</f>
      </c>
      <c r="H180" s="2"/>
      <c r="I180" s="4"/>
      <c r="J180" s="2"/>
      <c r="K180" s="2"/>
      <c r="L180" s="2"/>
    </row>
    <row r="181">
      <c r="A181" s="1"/>
      <c r="B181" s="2"/>
      <c r="C181" s="2"/>
      <c r="D181" s="2"/>
      <c r="E181" s="2"/>
      <c r="F181" s="1"/>
      <c r="G181" s="1">
        <f>MAX(0,tblGoals[[#This Row],[Target Amount]]-tblGoals[[#This Row],[Current Saved Amount]])</f>
      </c>
      <c r="H181" s="2"/>
      <c r="I181" s="4"/>
      <c r="J181" s="2"/>
      <c r="K181" s="2"/>
      <c r="L181" s="2"/>
    </row>
    <row r="182">
      <c r="A182" s="1"/>
      <c r="B182" s="2"/>
      <c r="C182" s="2"/>
      <c r="D182" s="2"/>
      <c r="E182" s="2"/>
      <c r="F182" s="1"/>
      <c r="G182" s="1">
        <f>MAX(0,tblGoals[[#This Row],[Target Amount]]-tblGoals[[#This Row],[Current Saved Amount]])</f>
      </c>
      <c r="H182" s="2"/>
      <c r="I182" s="4"/>
      <c r="J182" s="2"/>
      <c r="K182" s="2"/>
      <c r="L182" s="2"/>
    </row>
    <row r="183">
      <c r="A183" s="1"/>
      <c r="B183" s="2"/>
      <c r="C183" s="2"/>
      <c r="D183" s="2"/>
      <c r="E183" s="2"/>
      <c r="F183" s="1"/>
      <c r="G183" s="1">
        <f>MAX(0,tblGoals[[#This Row],[Target Amount]]-tblGoals[[#This Row],[Current Saved Amount]])</f>
      </c>
      <c r="H183" s="2"/>
      <c r="I183" s="4"/>
      <c r="J183" s="2"/>
      <c r="K183" s="2"/>
      <c r="L183" s="2"/>
    </row>
    <row r="184">
      <c r="A184" s="1"/>
      <c r="B184" s="2"/>
      <c r="C184" s="2"/>
      <c r="D184" s="2"/>
      <c r="E184" s="2"/>
      <c r="F184" s="1"/>
      <c r="G184" s="1">
        <f>MAX(0,tblGoals[[#This Row],[Target Amount]]-tblGoals[[#This Row],[Current Saved Amount]])</f>
      </c>
      <c r="H184" s="2"/>
      <c r="I184" s="4"/>
      <c r="J184" s="2"/>
      <c r="K184" s="2"/>
      <c r="L184" s="2"/>
    </row>
    <row r="185">
      <c r="A185" s="1"/>
      <c r="B185" s="2"/>
      <c r="C185" s="2"/>
      <c r="D185" s="2"/>
      <c r="E185" s="2"/>
      <c r="F185" s="1"/>
      <c r="G185" s="1">
        <f>MAX(0,tblGoals[[#This Row],[Target Amount]]-tblGoals[[#This Row],[Current Saved Amount]])</f>
      </c>
      <c r="H185" s="2"/>
      <c r="I185" s="4"/>
      <c r="J185" s="2"/>
      <c r="K185" s="2"/>
      <c r="L185" s="2"/>
    </row>
    <row r="186">
      <c r="A186" s="1"/>
      <c r="B186" s="2"/>
      <c r="C186" s="2"/>
      <c r="D186" s="2"/>
      <c r="E186" s="2"/>
      <c r="F186" s="1"/>
      <c r="G186" s="1">
        <f>MAX(0,tblGoals[[#This Row],[Target Amount]]-tblGoals[[#This Row],[Current Saved Amount]])</f>
      </c>
      <c r="H186" s="2"/>
      <c r="I186" s="4"/>
      <c r="J186" s="2"/>
      <c r="K186" s="2"/>
      <c r="L186" s="2"/>
    </row>
    <row r="187">
      <c r="A187" s="1"/>
      <c r="B187" s="2"/>
      <c r="C187" s="2"/>
      <c r="D187" s="2"/>
      <c r="E187" s="2"/>
      <c r="F187" s="1"/>
      <c r="G187" s="1">
        <f>MAX(0,tblGoals[[#This Row],[Target Amount]]-tblGoals[[#This Row],[Current Saved Amount]])</f>
      </c>
      <c r="H187" s="2"/>
      <c r="I187" s="4"/>
      <c r="J187" s="2"/>
      <c r="K187" s="2"/>
      <c r="L187" s="2"/>
    </row>
    <row r="188">
      <c r="A188" s="1"/>
      <c r="B188" s="2"/>
      <c r="C188" s="2"/>
      <c r="D188" s="2"/>
      <c r="E188" s="2"/>
      <c r="F188" s="1"/>
      <c r="G188" s="1">
        <f>MAX(0,tblGoals[[#This Row],[Target Amount]]-tblGoals[[#This Row],[Current Saved Amount]])</f>
      </c>
      <c r="H188" s="2"/>
      <c r="I188" s="4"/>
      <c r="J188" s="2"/>
      <c r="K188" s="2"/>
      <c r="L188" s="2"/>
    </row>
    <row r="189">
      <c r="A189" s="1"/>
      <c r="B189" s="2"/>
      <c r="C189" s="2"/>
      <c r="D189" s="2"/>
      <c r="E189" s="2"/>
      <c r="F189" s="1"/>
      <c r="G189" s="1">
        <f>MAX(0,tblGoals[[#This Row],[Target Amount]]-tblGoals[[#This Row],[Current Saved Amount]])</f>
      </c>
      <c r="H189" s="2"/>
      <c r="I189" s="4"/>
      <c r="J189" s="2"/>
      <c r="K189" s="2"/>
      <c r="L189" s="2"/>
    </row>
    <row r="190">
      <c r="A190" s="1"/>
      <c r="B190" s="2"/>
      <c r="C190" s="2"/>
      <c r="D190" s="2"/>
      <c r="E190" s="2"/>
      <c r="F190" s="1"/>
      <c r="G190" s="1">
        <f>MAX(0,tblGoals[[#This Row],[Target Amount]]-tblGoals[[#This Row],[Current Saved Amount]])</f>
      </c>
      <c r="H190" s="2"/>
      <c r="I190" s="4"/>
      <c r="J190" s="2"/>
      <c r="K190" s="2"/>
      <c r="L190" s="2"/>
    </row>
    <row r="191">
      <c r="A191" s="1"/>
      <c r="B191" s="2"/>
      <c r="C191" s="2"/>
      <c r="D191" s="2"/>
      <c r="E191" s="2"/>
      <c r="F191" s="1"/>
      <c r="G191" s="1">
        <f>MAX(0,tblGoals[[#This Row],[Target Amount]]-tblGoals[[#This Row],[Current Saved Amount]])</f>
      </c>
      <c r="H191" s="2"/>
      <c r="I191" s="4"/>
      <c r="J191" s="2"/>
      <c r="K191" s="2"/>
      <c r="L191" s="2"/>
    </row>
    <row r="192">
      <c r="A192" s="1"/>
      <c r="B192" s="2"/>
      <c r="C192" s="2"/>
      <c r="D192" s="2"/>
      <c r="E192" s="2"/>
      <c r="F192" s="1"/>
      <c r="G192" s="1">
        <f>MAX(0,tblGoals[[#This Row],[Target Amount]]-tblGoals[[#This Row],[Current Saved Amount]])</f>
      </c>
      <c r="H192" s="2"/>
      <c r="I192" s="4"/>
      <c r="J192" s="2"/>
      <c r="K192" s="2"/>
      <c r="L192" s="2"/>
    </row>
    <row r="193">
      <c r="A193" s="1"/>
      <c r="B193" s="2"/>
      <c r="C193" s="2"/>
      <c r="D193" s="2"/>
      <c r="E193" s="2"/>
      <c r="F193" s="1"/>
      <c r="G193" s="1">
        <f>MAX(0,tblGoals[[#This Row],[Target Amount]]-tblGoals[[#This Row],[Current Saved Amount]])</f>
      </c>
      <c r="H193" s="2"/>
      <c r="I193" s="4"/>
      <c r="J193" s="2"/>
      <c r="K193" s="2"/>
      <c r="L193" s="2"/>
    </row>
    <row r="194">
      <c r="A194" s="1"/>
      <c r="B194" s="2"/>
      <c r="C194" s="2"/>
      <c r="D194" s="2"/>
      <c r="E194" s="2"/>
      <c r="F194" s="1"/>
      <c r="G194" s="1">
        <f>MAX(0,tblGoals[[#This Row],[Target Amount]]-tblGoals[[#This Row],[Current Saved Amount]])</f>
      </c>
      <c r="H194" s="2"/>
      <c r="I194" s="4"/>
      <c r="J194" s="2"/>
      <c r="K194" s="2"/>
      <c r="L194" s="2"/>
    </row>
    <row r="195">
      <c r="A195" s="1"/>
      <c r="B195" s="2"/>
      <c r="C195" s="2"/>
      <c r="D195" s="2"/>
      <c r="E195" s="2"/>
      <c r="F195" s="1"/>
      <c r="G195" s="1">
        <f>MAX(0,tblGoals[[#This Row],[Target Amount]]-tblGoals[[#This Row],[Current Saved Amount]])</f>
      </c>
      <c r="H195" s="2"/>
      <c r="I195" s="4"/>
      <c r="J195" s="2"/>
      <c r="K195" s="2"/>
      <c r="L195" s="2"/>
    </row>
    <row r="196">
      <c r="A196" s="1"/>
      <c r="B196" s="2"/>
      <c r="C196" s="2"/>
      <c r="D196" s="2"/>
      <c r="E196" s="2"/>
      <c r="F196" s="1"/>
      <c r="G196" s="1">
        <f>MAX(0,tblGoals[[#This Row],[Target Amount]]-tblGoals[[#This Row],[Current Saved Amount]])</f>
      </c>
      <c r="H196" s="2"/>
      <c r="I196" s="4"/>
      <c r="J196" s="2"/>
      <c r="K196" s="2"/>
      <c r="L196" s="2"/>
    </row>
    <row r="197">
      <c r="A197" s="1"/>
      <c r="B197" s="2"/>
      <c r="C197" s="2"/>
      <c r="D197" s="2"/>
      <c r="E197" s="2"/>
      <c r="F197" s="1"/>
      <c r="G197" s="1">
        <f>MAX(0,tblGoals[[#This Row],[Target Amount]]-tblGoals[[#This Row],[Current Saved Amount]])</f>
      </c>
      <c r="H197" s="2"/>
      <c r="I197" s="4"/>
      <c r="J197" s="2"/>
      <c r="K197" s="2"/>
      <c r="L197" s="2"/>
    </row>
    <row r="198">
      <c r="A198" s="1"/>
      <c r="B198" s="2"/>
      <c r="C198" s="2"/>
      <c r="D198" s="2"/>
      <c r="E198" s="2"/>
      <c r="F198" s="1"/>
      <c r="G198" s="1">
        <f>MAX(0,tblGoals[[#This Row],[Target Amount]]-tblGoals[[#This Row],[Current Saved Amount]])</f>
      </c>
      <c r="H198" s="2"/>
      <c r="I198" s="4"/>
      <c r="J198" s="2"/>
      <c r="K198" s="2"/>
      <c r="L198" s="2"/>
    </row>
    <row r="199">
      <c r="A199" s="1"/>
      <c r="B199" s="2"/>
      <c r="C199" s="2"/>
      <c r="D199" s="2"/>
      <c r="E199" s="2"/>
      <c r="F199" s="1"/>
      <c r="G199" s="1">
        <f>MAX(0,tblGoals[[#This Row],[Target Amount]]-tblGoals[[#This Row],[Current Saved Amount]])</f>
      </c>
      <c r="H199" s="2"/>
      <c r="I199" s="4"/>
      <c r="J199" s="2"/>
      <c r="K199" s="2"/>
      <c r="L199" s="2"/>
    </row>
    <row r="200">
      <c r="A200" s="1"/>
      <c r="B200" s="2"/>
      <c r="C200" s="2"/>
      <c r="D200" s="2"/>
      <c r="E200" s="2"/>
      <c r="F200" s="1"/>
      <c r="G200" s="1">
        <f>MAX(0,tblGoals[[#This Row],[Target Amount]]-tblGoals[[#This Row],[Current Saved Amount]])</f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</cols>
  <sheetData>
    <row r="1">
      <c r="A1" s="1" t="s">
        <v>223</v>
      </c>
      <c r="B1" s="4">
        <v>46277</v>
      </c>
    </row>
    <row r="4">
      <c r="A4" s="1" t="s">
        <v>225</v>
      </c>
      <c r="B4" s="1">
        <f>IFERROR(SUMPRODUCT((tblAccounts[Status]="Active")*(tblAccounts[Opening Balance]))+SUMPRODUCT((tblTransactions[Transaction Type]="Income")*((tblTransactions[Transaction Status]="Completed")+(tblTransactions[Transaction Status]="Reconciled"))*(tblTransactions[Amount])*(COUNTIFS(tblAccounts[Account Name],tblTransactions[Source Account],tblAccounts[Status],"Active")&gt;0))-SUMPRODUCT((tblTransactions[Transaction Type]="Expense")*((tblTransactions[Transaction Status]="Completed")+(tblTransactions[Transaction Status]="Reconciled"))*(tblTransactions[Amount])*(COUNTIFS(tblAccounts[Account Name],tblTransactions[Source Account],tblAccounts[Status],"Active")&gt;0))+SUMPRODUCT((tblTransactions[Transaction Type]="Transfer")*(tblTransactions[Destination Type]="Account")*((tblTransactions[Transaction Status]="Completed")+(tblTransactions[Transaction Status]="Reconciled"))*(tblTransactions[Amount])*(COUNTIFS(tblAccounts[Account Name],tblTransactions[Destination Name],tblAccounts[Status],"Active")&gt;0))-SUMPRODUCT((tblTransactions[Transaction Type]="Transfer")*((tblTransactions[Transaction Status]="Completed")+(tblTransactions[Transaction Status]="Reconciled"))*(tblTransactions[Amount])*(COUNTIFS(tblAccounts[Account Name],tblTransactions[Source Account],tblAccounts[Status],"Active")&gt;0))+SUMPRODUCT((tblTransactions[Transaction Type]="Adjustment")*((tblTransactions[Transaction Status]="Completed")+(tblTransactions[Transaction Status]="Reconciled"))*(tblTransactions[Amount])*(COUNTIFS(tblAccounts[Account Name],tblTransactions[Source Account],tblAccounts[Status],"Active")&gt;0)),0)</f>
      </c>
    </row>
    <row r="5">
      <c r="A5" s="1" t="s">
        <v>226</v>
      </c>
      <c r="B5" s="1">
        <f>COUNTIFS(tblAccounts[Status],"Active")</f>
      </c>
    </row>
    <row r="6">
      <c r="A6" s="1" t="s">
        <v>227</v>
      </c>
      <c r="B6" s="1">
        <f>IFERROR(SUMPRODUCT((tblAccounts[Status]="Active")*(tblAccounts[Account Type]="Cash")*(tblAccounts[Opening Balance]))+SUMPRODUCT((tblTransactions[Transaction Type]="Income")*((tblTransactions[Transaction Status]="Completed")+(tblTransactions[Transaction Status]="Reconciled"))*(tblTransactions[Amount])*(COUNTIFS(tblAccounts[Account Name],tblTransactions[Source Account],tblAccounts[Status],"Active",tblAccounts[Account Type],"Cash")&gt;0))-SUMPRODUCT((tblTransactions[Transaction Type]="Expense")*((tblTransactions[Transaction Status]="Completed")+(tblTransactions[Transaction Status]="Reconciled"))*(tblTransactions[Amount])*(COUNTIFS(tblAccounts[Account Name],tblTransactions[Source Account],tblAccounts[Status],"Active",tblAccounts[Account Type],"Cash")&gt;0))+SUMPRODUCT((tblTransactions[Transaction Type]="Transfer")*(tblTransactions[Destination Type]="Account")*((tblTransactions[Transaction Status]="Completed")+(tblTransactions[Transaction Status]="Reconciled"))*(tblTransactions[Amount])*(COUNTIFS(tblAccounts[Account Name],tblTransactions[Destination Name],tblAccounts[Status],"Active",tblAccounts[Account Type],"Cash")&gt;0))-SUMPRODUCT((tblTransactions[Transaction Type]="Transfer")*((tblTransactions[Transaction Status]="Completed")+(tblTransactions[Transaction Status]="Reconciled"))*(tblTransactions[Amount])*(COUNTIFS(tblAccounts[Account Name],tblTransactions[Source Account],tblAccounts[Status],"Active",tblAccounts[Account Type],"Cash")&gt;0))+SUMPRODUCT((tblTransactions[Transaction Type]="Adjustment")*((tblTransactions[Transaction Status]="Completed")+(tblTransactions[Transaction Status]="Reconciled"))*(tblTransactions[Amount])*(COUNTIFS(tblAccounts[Account Name],tblTransactions[Source Account],tblAccounts[Status],"Active",tblAccounts[Account Type],"Cash")&gt;0)),0)</f>
      </c>
    </row>
    <row r="7">
      <c r="A7" s="1" t="s">
        <v>228</v>
      </c>
      <c r="B7" s="1">
        <f>IFERROR(SUMPRODUCT((tblAccounts[Status]="Active")*(tblAccounts[Account Type]="Savings Bank")*(tblAccounts[Opening Balance]))+SUMPRODUCT((tblTransactions[Transaction Type]="Income")*((tblTransactions[Transaction Status]="Completed")+(tblTransactions[Transaction Status]="Reconciled"))*(tblTransactions[Amount])*(COUNTIFS(tblAccounts[Account Name],tblTransactions[Source Account],tblAccounts[Status],"Active",tblAccounts[Account Type],"Savings Bank")&gt;0))-SUMPRODUCT((tblTransactions[Transaction Type]="Expense")*((tblTransactions[Transaction Status]="Completed")+(tblTransactions[Transaction Status]="Reconciled"))*(tblTransactions[Amount])*(COUNTIFS(tblAccounts[Account Name],tblTransactions[Source Account],tblAccounts[Status],"Active",tblAccounts[Account Type],"Savings Bank")&gt;0))+SUMPRODUCT((tblTransactions[Transaction Type]="Transfer")*(tblTransactions[Destination Type]="Account")*((tblTransactions[Transaction Status]="Completed")+(tblTransactions[Transaction Status]="Reconciled"))*(tblTransactions[Amount])*(COUNTIFS(tblAccounts[Account Name],tblTransactions[Destination Name],tblAccounts[Status],"Active",tblAccounts[Account Type],"Savings Bank")&gt;0))-SUMPRODUCT((tblTransactions[Transaction Type]="Transfer")*((tblTransactions[Transaction Status]="Completed")+(tblTransactions[Transaction Status]="Reconciled"))*(tblTransactions[Amount])*(COUNTIFS(tblAccounts[Account Name],tblTransactions[Source Account],tblAccounts[Status],"Active",tblAccounts[Account Type],"Savings Bank")&gt;0))+SUMPRODUCT((tblTransactions[Transaction Type]="Adjustment")*((tblTransactions[Transaction Status]="Completed")+(tblTransactions[Transaction Status]="Reconciled"))*(tblTransactions[Amount])*(COUNTIFS(tblAccounts[Account Name],tblTransactions[Source Account],tblAccounts[Status],"Active",tblAccounts[Account Type],"Savings Bank")&gt;0)),0)</f>
      </c>
    </row>
    <row r="8">
      <c r="A8" s="1" t="s">
        <v>229</v>
      </c>
      <c r="B8" s="1">
        <f>IFERROR(SUMPRODUCT((tblAccounts[Status]="Active")*(tblAccounts[Account Type]="Investment Account")*(tblAccounts[Opening Balance]))+SUMPRODUCT((tblTransactions[Transaction Type]="Income")*((tblTransactions[Transaction Status]="Completed")+(tblTransactions[Transaction Status]="Reconciled"))*(tblTransactions[Amount])*(COUNTIFS(tblAccounts[Account Name],tblTransactions[Source Account],tblAccounts[Status],"Active",tblAccounts[Account Type],"Investment Account")&gt;0))-SUMPRODUCT((tblTransactions[Transaction Type]="Expense")*((tblTransactions[Transaction Status]="Completed")+(tblTransactions[Transaction Status]="Reconciled"))*(tblTransactions[Amount])*(COUNTIFS(tblAccounts[Account Name],tblTransactions[Source Account],tblAccounts[Status],"Active",tblAccounts[Account Type],"Investment Account")&gt;0))+SUMPRODUCT((tblTransactions[Transaction Type]="Transfer")*(tblTransactions[Destination Type]="Account")*((tblTransactions[Transaction Status]="Completed")+(tblTransactions[Transaction Status]="Reconciled"))*(tblTransactions[Amount])*(COUNTIFS(tblAccounts[Account Name],tblTransactions[Destination Name],tblAccounts[Status],"Active",tblAccounts[Account Type],"Investment Account")&gt;0))-SUMPRODUCT((tblTransactions[Transaction Type]="Transfer")*((tblTransactions[Transaction Status]="Completed")+(tblTransactions[Transaction Status]="Reconciled"))*(tblTransactions[Amount])*(COUNTIFS(tblAccounts[Account Name],tblTransactions[Source Account],tblAccounts[Status],"Active",tblAccounts[Account Type],"Investment Account")&gt;0))+SUMPRODUCT((tblTransactions[Transaction Type]="Adjustment")*((tblTransactions[Transaction Status]="Completed")+(tblTransactions[Transaction Status]="Reconciled"))*(tblTransactions[Amount])*(COUNTIFS(tblAccounts[Account Name],tblTransactions[Source Account],tblAccounts[Status],"Active",tblAccounts[Account Type],"Investment Account")&gt;0)),0)</f>
      </c>
    </row>
    <row r="9">
      <c r="A9" s="1" t="s">
        <v>230</v>
      </c>
      <c r="B9" s="1">
        <f>IFERROR(SUMPRODUCT((tblAccounts[Status]="Active")*(tblAccounts[Account Type]="Credit Card")*(tblAccounts[Opening Balance]))+SUMPRODUCT((tblTransactions[Transaction Type]="Income")*((tblTransactions[Transaction Status]="Completed")+(tblTransactions[Transaction Status]="Reconciled"))*(tblTransactions[Amount])*(COUNTIFS(tblAccounts[Account Name],tblTransactions[Source Account],tblAccounts[Status],"Active",tblAccounts[Account Type],"Credit Card")&gt;0))-SUMPRODUCT((tblTransactions[Transaction Type]="Expense")*((tblTransactions[Transaction Status]="Completed")+(tblTransactions[Transaction Status]="Reconciled"))*(tblTransactions[Amount])*(COUNTIFS(tblAccounts[Account Name],tblTransactions[Source Account],tblAccounts[Status],"Active",tblAccounts[Account Type],"Credit Card")&gt;0))+SUMPRODUCT((tblTransactions[Transaction Type]="Transfer")*(tblTransactions[Destination Type]="Account")*((tblTransactions[Transaction Status]="Completed")+(tblTransactions[Transaction Status]="Reconciled"))*(tblTransactions[Amount])*(COUNTIFS(tblAccounts[Account Name],tblTransactions[Destination Name],tblAccounts[Status],"Active",tblAccounts[Account Type],"Credit Card")&gt;0))-SUMPRODUCT((tblTransactions[Transaction Type]="Transfer")*((tblTransactions[Transaction Status]="Completed")+(tblTransactions[Transaction Status]="Reconciled"))*(tblTransactions[Amount])*(COUNTIFS(tblAccounts[Account Name],tblTransactions[Source Account],tblAccounts[Status],"Active",tblAccounts[Account Type],"Credit Card")&gt;0))+SUMPRODUCT((tblTransactions[Transaction Type]="Adjustment")*((tblTransactions[Transaction Status]="Completed")+(tblTransactions[Transaction Status]="Reconciled"))*(tblTransactions[Amount])*(COUNTIFS(tblAccounts[Account Name],tblTransactions[Source Account],tblAccounts[Status],"Active",tblAccounts[Account Type],"Credit Card")&gt;0)),0)</f>
      </c>
    </row>
    <row r="11">
      <c r="A11" s="1" t="s">
        <v>231</v>
      </c>
    </row>
    <row r="12">
      <c r="A12" s="1" t="s">
        <v>232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Name],0)),"")="Salary")),0)</f>
      </c>
    </row>
    <row r="13">
      <c r="A13" s="1" t="s">
        <v>233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Name],0)),"")="Business Income")),0)</f>
      </c>
    </row>
    <row r="14">
      <c r="A14" s="1" t="s">
        <v>234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Name],0)),"")="Freelance")),0)</f>
      </c>
    </row>
    <row r="15">
      <c r="A15" s="1" t="s">
        <v>235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Name],0)),"")="Investment")),0)</f>
      </c>
    </row>
    <row r="16">
      <c r="A16" s="1" t="s">
        <v>236</v>
      </c>
      <c r="B16" s="1">
        <f>IFERROR(SUMIFS(tblTransactions[Amount],tblTransactions[Transaction Type],"Income",tblTransactions[Transaction Date],"&gt;="&amp;DATE(YEAR($B$1),MONTH($B$1),1),tblTransactions[Transaction Date],"&lt;"&amp;DATE(YEAR($B$1),MONTH($B$1)+1,1)),0)</f>
      </c>
    </row>
    <row r="17">
      <c r="A17" s="1" t="s">
        <v>237</v>
      </c>
      <c r="B17" s="1">
        <f>MAX(0,$B$16-($B$12+$B$13+$B$14+$B$15))</f>
      </c>
    </row>
    <row r="18">
      <c r="A18" s="1" t="s">
        <v>238</v>
      </c>
      <c r="B18" s="1">
        <f>IFERROR(SUMIFS(tblTransactions[Amount],tblTransactions[Transaction Type],"Income",tblTransactions[Transaction Date],"&gt;="&amp;DATE(YEAR($B$1),1,1),tblTransactions[Transaction Date],"&lt;"&amp;DATE(YEAR($B$1)+1,1,1)),0)</f>
      </c>
    </row>
    <row r="19">
      <c r="A19" s="1" t="s">
        <v>239</v>
      </c>
      <c r="B19" s="1">
        <f>COUNTIFS(tblIncomeSources[Status],"Active")</f>
      </c>
    </row>
    <row r="21">
      <c r="A21" s="1" t="s">
        <v>240</v>
      </c>
    </row>
    <row r="22">
      <c r="A22" s="1" t="s">
        <v>241</v>
      </c>
      <c r="B22" s="1">
        <f>IFERROR(SUMIFS(tblTransactions[Amount],tblTransactions[Transaction Type],"Expense",tblTransactions[Transaction Date],"&gt;="&amp;DATE(YEAR($B$1),MONTH($B$1),1),tblTransactions[Transaction Date],"&lt;"&amp;DATE(YEAR($B$1),MONTH($B$1)+1,1)),0)</f>
      </c>
    </row>
    <row r="23">
      <c r="A23" s="1" t="s">
        <v>242</v>
      </c>
      <c r="B23" s="1">
        <f>IFERROR(SUMIFS(tblTransactions[Amount],tblTransactions[Transaction Type],"Expense",tblTransactions[Transaction Date],"&gt;="&amp;DATE(YEAR($B$1),MONTH($B$1)-1,1),tblTransactions[Transaction Date],"&lt;"&amp;DATE(YEAR($B$1),MONTH($B$1),1)),0)</f>
      </c>
    </row>
    <row r="24">
      <c r="A24" s="1" t="s">
        <v>243</v>
      </c>
      <c r="B24" s="1">
        <f>IFERROR(SUMIFS(tblTransactions[Amount],tblTransactions[Transaction Type],"Expense",tblTransactions[Transaction Date],"&gt;="&amp;DATE(YEAR($B$1),1,1),tblTransactions[Transaction Date],"&lt;="&amp;$B$1),0)</f>
      </c>
    </row>
    <row r="25">
      <c r="A25" s="1" t="s">
        <v>244</v>
      </c>
      <c r="B25" s="1">
        <f>COUNTIFS(tblTransactions[Transaction Type],"Expense",tblTransactions[Transaction Date],"&gt;="&amp;DATE(YEAR($B$1),MONTH($B$1),1),tblTransactions[Transaction Date],"&lt;"&amp;DATE(YEAR($B$1),MONTH($B$1)+1,1))</f>
      </c>
    </row>
    <row r="27">
      <c r="A27" s="1" t="s">
        <v>245</v>
      </c>
    </row>
    <row r="28">
      <c r="A28" s="1" t="s">
        <v>246</v>
      </c>
      <c r="B28" s="1">
        <f>$B$16</f>
      </c>
    </row>
    <row r="29">
      <c r="A29" s="1" t="s">
        <v>247</v>
      </c>
      <c r="B29" s="1">
        <f>$B$28-$B$22</f>
      </c>
    </row>
    <row r="30">
      <c r="A30" s="1" t="s">
        <v>248</v>
      </c>
      <c r="B30" s="1">
        <f>IFERROR($B$29/$B$28,0)</f>
      </c>
    </row>
    <row r="31">
      <c r="A31" s="1" t="s">
        <v>249</v>
      </c>
      <c r="B31" s="1">
        <f>IFERROR(($B$18-$B$24)/MAX(1,MONTH($B$1)),0)</f>
      </c>
    </row>
    <row r="33">
      <c r="A33" s="1" t="s">
        <v>250</v>
      </c>
    </row>
    <row r="34">
      <c r="A34" s="1" t="s">
        <v>251</v>
      </c>
      <c r="B34" s="1">
        <f>IFERROR(SUMIFS(tblAssets[Purchase Value],tblAssets[Status],"Active"),0)</f>
      </c>
    </row>
    <row r="35">
      <c r="A35" s="1" t="s">
        <v>252</v>
      </c>
      <c r="B35" s="1">
        <f>IFERROR(SUMIFS(tblAssets[Current Value],tblAssets[Status],"Active"),0)</f>
      </c>
    </row>
    <row r="36">
      <c r="A36" s="1" t="s">
        <v>253</v>
      </c>
      <c r="B36" s="1">
        <f>IFERROR(SUMIFS(tblAssets[Appreciation Amount],tblAssets[Status],"Active"),0)</f>
      </c>
    </row>
    <row r="37">
      <c r="A37" s="1" t="s">
        <v>254</v>
      </c>
      <c r="B37" s="1">
        <f>IFERROR($B$36/$B$34,0)</f>
      </c>
    </row>
    <row r="38">
      <c r="A38" s="1" t="s">
        <v>255</v>
      </c>
      <c r="B38" s="1">
        <f>COUNTIFS(tblAssets[Status],"Active")</f>
      </c>
    </row>
    <row r="40">
      <c r="A40" s="1" t="s">
        <v>256</v>
      </c>
    </row>
    <row r="41">
      <c r="A41" s="1" t="s">
        <v>257</v>
      </c>
      <c r="B41" s="1">
        <f>IFERROR(SUMIFS(tblLiabilities[Original Amount],tblLiabilities[Status],"Active"),0)</f>
      </c>
    </row>
    <row r="42">
      <c r="A42" s="1" t="s">
        <v>258</v>
      </c>
      <c r="B42" s="1">
        <f>IFERROR(SUMIFS(tblLiabilities[Outstanding Balance],tblLiabilities[Status],"Active"),0)</f>
      </c>
    </row>
    <row r="43">
      <c r="A43" s="1" t="s">
        <v>259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</c>
    </row>
    <row r="44">
      <c r="A44" s="1" t="s">
        <v>260</v>
      </c>
      <c r="B44" s="1">
        <f>IFERROR(SUMPRODUCT((tblLiabilities[Status]="Active")*(tblLiabilities[Outstanding Balance])*(tblLiabilities[Interest Rate]))/$B$42,0)</f>
      </c>
    </row>
    <row r="45">
      <c r="A45" s="1" t="s">
        <v>261</v>
      </c>
      <c r="B45" s="1">
        <f>COUNTIFS(tblLiabilities[Status],"Active")</f>
      </c>
    </row>
    <row r="47">
      <c r="A47" s="1" t="s">
        <v>262</v>
      </c>
    </row>
    <row r="48">
      <c r="A48" s="1" t="s">
        <v>263</v>
      </c>
      <c r="B48" s="1">
        <f>$B$4+$B$35-$B$42</f>
      </c>
    </row>
    <row r="49">
      <c r="A49" s="1" t="s">
        <v>264</v>
      </c>
      <c r="B49" s="1">
        <f>0</f>
      </c>
    </row>
    <row r="50">
      <c r="A50" s="1" t="s">
        <v>265</v>
      </c>
      <c r="B50" s="1">
        <f>$B$35</f>
      </c>
    </row>
    <row r="52">
      <c r="A52" s="1" t="s">
        <v>266</v>
      </c>
    </row>
    <row r="53">
      <c r="A53" s="1" t="s">
        <v>267</v>
      </c>
      <c r="B53" s="1">
        <f>IFERROR(SUMIFS(tblGoals[Target Amount],tblGoals[Goal Status],"Active")+SUMIFS(tblGoals[Target Amount],tblGoals[Goal Status],"Completed"),0)</f>
      </c>
    </row>
    <row r="54">
      <c r="A54" s="1" t="s">
        <v>268</v>
      </c>
      <c r="B54" s="1">
        <f>IFERROR(SUMIFS(tblGoals[Current Saved Amount],tblGoals[Goal Status],"Active")+SUMIFS(tblGoals[Current Saved Amount],tblGoals[Goal Status],"Completed"),0)</f>
      </c>
    </row>
    <row r="55">
      <c r="A55" s="1" t="s">
        <v>269</v>
      </c>
      <c r="B55" s="1">
        <f>IFERROR(SUMIFS(tblGoals[Remaining Amount],tblGoals[Goal Status],"Active"),0)</f>
      </c>
    </row>
    <row r="56">
      <c r="A56" s="1" t="s">
        <v>270</v>
      </c>
      <c r="B56" s="1">
        <f>COUNTIFS(tblGoals[Goal Status],"Active")</f>
      </c>
    </row>
    <row r="57">
      <c r="A57" s="1" t="s">
        <v>271</v>
      </c>
      <c r="B57" s="1">
        <f>COUNTIFS(tblGoals[Goal Status],"Completed")</f>
      </c>
    </row>
    <row r="58">
      <c r="A58" s="1" t="s">
        <v>272</v>
      </c>
      <c r="B58" s="1">
        <f>IFERROR($B$54/$B$53,0)</f>
      </c>
    </row>
    <row r="60">
      <c r="A60" s="1" t="s">
        <v>273</v>
      </c>
    </row>
    <row r="61">
      <c r="A61" s="1" t="s">
        <v>95</v>
      </c>
      <c r="B61" s="1">
        <f>$B$16</f>
      </c>
    </row>
    <row r="62">
      <c r="A62" s="1" t="s">
        <v>274</v>
      </c>
      <c r="B62" s="1">
        <f>$B$22</f>
      </c>
    </row>
    <row r="63">
      <c r="A63" s="1" t="s">
        <v>275</v>
      </c>
      <c r="B63" s="1">
        <f>$B$29</f>
      </c>
    </row>
    <row r="64">
      <c r="A64" s="1" t="s">
        <v>276</v>
      </c>
      <c r="B64" s="1">
        <f>$B$30</f>
      </c>
    </row>
    <row r="65">
      <c r="A65" s="1" t="s">
        <v>263</v>
      </c>
      <c r="B65" s="1">
        <f>$B$48</f>
      </c>
    </row>
    <row r="66">
      <c r="A66" s="1" t="s">
        <v>277</v>
      </c>
      <c r="B66" s="1">
        <f>IFERROR($B$43/$B$16,0)</f>
      </c>
    </row>
    <row r="67">
      <c r="A67" s="1" t="s">
        <v>278</v>
      </c>
      <c r="B67" s="1">
        <f>IFERROR($B$35/$B$48,0)</f>
      </c>
    </row>
    <row r="68">
      <c r="A68" s="1" t="s">
        <v>279</v>
      </c>
      <c r="B68" s="1">
        <f>IFERROR($B$42/($B$42+$B$35),0)</f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4"/>
  <sheetViews>
    <sheetView workbookViewId="0"/>
  </sheetViews>
  <sheetFormatPr defaultRowHeight="14.4" x14ac:dyDescent="0.3"/>
  <cols>
    <col min="1" max="1" width="42" customWidth="1"/>
    <col min="2" max="2" width="18" customWidth="1"/>
    <col min="3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>
      <c r="A1" s="3" t="s">
        <v>177</v>
      </c>
      <c r="Z1" s="1" t="s">
        <v>280</v>
      </c>
      <c r="AA1" s="1">
        <f>DATE(YEAR('Business Engine'!$B$1),MONTH('Business Engine'!$B$1),1)</f>
      </c>
    </row>
    <row r="2">
      <c r="A2" s="1" t="s">
        <v>223</v>
      </c>
      <c r="B2" s="4">
        <f>'Business Engine'!$B$1</f>
      </c>
      <c r="Z2" s="1" t="s">
        <v>281</v>
      </c>
      <c r="AA2" s="1">
        <f>DATE(YEAR('Business Engine'!$B$1),MONTH('Business Engine'!$B$1)+1,1)</f>
      </c>
    </row>
    <row r="3">
      <c r="Z3" s="1" t="s">
        <v>282</v>
      </c>
      <c r="AA3" s="1">
        <f>DATE(YEAR('Business Engine'!$B$1),MONTH('Business Engine'!$B$1)-1,1)</f>
      </c>
    </row>
    <row r="4">
      <c r="A4" s="1" t="s">
        <v>286</v>
      </c>
      <c r="Z4" s="1" t="s">
        <v>283</v>
      </c>
      <c r="AA4" s="1">
        <f>DATE(YEAR('Business Engine'!$B$1),1,1)</f>
      </c>
    </row>
    <row r="5">
      <c r="A5" s="1" t="s">
        <v>287</v>
      </c>
      <c r="B5" s="1" t="s">
        <v>288</v>
      </c>
      <c r="C5" s="1" t="s">
        <v>289</v>
      </c>
      <c r="D5" s="1" t="s">
        <v>290</v>
      </c>
      <c r="Z5" s="1" t="s">
        <v>284</v>
      </c>
      <c r="AA5" s="4">
        <f>'Business Engine'!$B$1</f>
      </c>
    </row>
    <row r="6">
      <c r="A6" s="1" t="s">
        <v>291</v>
      </c>
      <c r="B6" s="1">
        <f>'Business Engine'!$B$16</f>
      </c>
      <c r="C6" s="1">
        <f>IFERROR(SUMIFS(tblTransactions[Amount],tblTransactions[Transaction Type],"Income",tblTransactions[Transaction Date],"&gt;="&amp;$AA$3,tblTransactions[Transaction Date],"&lt;"&amp;$AA$1),0)</f>
      </c>
      <c r="D6" s="1">
        <f>IFERROR(SUMIFS(tblTransactions[Amount],tblTransactions[Transaction Type],"Income",tblTransactions[Transaction Date],"&gt;="&amp;$AA$4,tblTransactions[Transaction Date],"&lt;="&amp;$AA$5),0)</f>
      </c>
      <c r="Z6" s="1" t="s">
        <v>285</v>
      </c>
      <c r="AA6" s="1">
        <f>DATE(YEAR('Business Engine'!$B$1)+1,1,1)</f>
      </c>
    </row>
    <row r="7">
      <c r="A7" s="1" t="s">
        <v>214</v>
      </c>
      <c r="B7" s="1">
        <f>'Business Engine'!$B$12</f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</c>
    </row>
    <row r="8">
      <c r="A8" s="1" t="s">
        <v>221</v>
      </c>
      <c r="B8" s="1">
        <f>'Business Engine'!$B$13</f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</c>
    </row>
    <row r="9">
      <c r="A9" s="1" t="s">
        <v>215</v>
      </c>
      <c r="B9" s="1">
        <f>'Business Engine'!$B$14</f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</c>
    </row>
    <row r="10">
      <c r="A10" s="1" t="s">
        <v>222</v>
      </c>
      <c r="B10" s="1">
        <f>'Business Engine'!$B$15</f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</c>
    </row>
    <row r="11">
      <c r="A11" s="1" t="s">
        <v>292</v>
      </c>
      <c r="B11" s="1">
        <f>'Business Engine'!$B$17</f>
      </c>
      <c r="C11" s="1">
        <f>IFERROR(MAX(0,$C$6-($C$7+$C$8+$C$9+$C$10)),0)</f>
      </c>
      <c r="D11" s="1">
        <f>IFERROR(MAX(0,$D$6-($D$7+$D$8+$D$9+$D$10)),0)</f>
      </c>
    </row>
    <row r="13">
      <c r="A13" s="1" t="s">
        <v>293</v>
      </c>
      <c r="B13" s="1" t="s">
        <v>288</v>
      </c>
      <c r="C13" s="1" t="s">
        <v>289</v>
      </c>
      <c r="D13" s="1" t="s">
        <v>290</v>
      </c>
    </row>
    <row r="14">
      <c r="A14" s="1" t="s">
        <v>294</v>
      </c>
      <c r="B14" s="1">
        <f>'Business Engine'!$B$22</f>
      </c>
      <c r="C14" s="1">
        <f>IFERROR(SUMIFS(tblTransactions[Amount],tblTransactions[Transaction Type],"Expense",tblTransactions[Transaction Date],"&gt;="&amp;$AA$3,tblTransactions[Transaction Date],"&lt;"&amp;$AA$1),0)</f>
      </c>
      <c r="D14" s="1">
        <f>'Business Engine'!$B$24</f>
      </c>
    </row>
    <row r="16">
      <c r="A16" s="1" t="s">
        <v>63</v>
      </c>
      <c r="B16" s="1" t="s">
        <v>288</v>
      </c>
      <c r="C16" s="1" t="s">
        <v>289</v>
      </c>
      <c r="D16" s="1" t="s">
        <v>295</v>
      </c>
      <c r="E16" s="1" t="s">
        <v>296</v>
      </c>
      <c r="F16" s="1" t="s">
        <v>297</v>
      </c>
    </row>
    <row r="17">
      <c r="A17" s="1">
        <f>IFERROR(INDEX(tblCategories[Category Name],1),"")</f>
      </c>
      <c r="B17" s="1">
        <f>IFERROR(SUMIFS(tblTransactions[Amount],tblTransactions[Transaction Type],"Expense",tblTransactions[Category],A17,tblTransactions[Transaction Date],"&gt;="&amp;$AA$1,tblTransactions[Transaction Date],"&lt;"&amp;$AA$2),0)</f>
      </c>
      <c r="C17" s="1">
        <f>IFERROR(SUMIFS(tblTransactions[Amount],tblTransactions[Transaction Type],"Expense",tblTransactions[Category],A17,tblTransactions[Transaction Date],"&gt;="&amp;$AA$3,tblTransactions[Transaction Date],"&lt;"&amp;$AA$1),0)</f>
      </c>
      <c r="D17" s="1">
        <f>IFERROR(SUMIFS(tblTransactions[Amount],tblTransactions[Transaction Type],"Expense",tblTransactions[Category],A17,tblTransactions[Transaction Date],"&gt;="&amp;$AA$4,tblTransactions[Transaction Date],"&lt;="&amp;$AA$5),0)</f>
      </c>
      <c r="E17" s="1">
        <f>IFERROR(B17/$B$14,0)</f>
      </c>
      <c r="F17" s="1">
        <f>IF(A17="" ,"",1+COUNTIFS($B$17:$B$26,"&gt;"&amp;B17))</f>
      </c>
    </row>
    <row r="18">
      <c r="A18" s="1">
        <f>IFERROR(INDEX(tblCategories[Category Name],2),"")</f>
      </c>
      <c r="B18" s="1">
        <f>IFERROR(SUMIFS(tblTransactions[Amount],tblTransactions[Transaction Type],"Expense",tblTransactions[Category],A18,tblTransactions[Transaction Date],"&gt;="&amp;$AA$1,tblTransactions[Transaction Date],"&lt;"&amp;$AA$2),0)</f>
      </c>
      <c r="C18" s="1">
        <f>IFERROR(SUMIFS(tblTransactions[Amount],tblTransactions[Transaction Type],"Expense",tblTransactions[Category],A18,tblTransactions[Transaction Date],"&gt;="&amp;$AA$3,tblTransactions[Transaction Date],"&lt;"&amp;$AA$1),0)</f>
      </c>
      <c r="D18" s="1">
        <f>IFERROR(SUMIFS(tblTransactions[Amount],tblTransactions[Transaction Type],"Expense",tblTransactions[Category],A18,tblTransactions[Transaction Date],"&gt;="&amp;$AA$4,tblTransactions[Transaction Date],"&lt;="&amp;$AA$5),0)</f>
      </c>
      <c r="E18" s="1">
        <f>IFERROR(B18/$B$14,0)</f>
      </c>
      <c r="F18" s="1">
        <f>IF(A18="" ,"",1+COUNTIFS($B$17:$B$26,"&gt;"&amp;B18))</f>
      </c>
    </row>
    <row r="19">
      <c r="A19" s="1">
        <f>IFERROR(INDEX(tblCategories[Category Name],3),"")</f>
      </c>
      <c r="B19" s="1">
        <f>IFERROR(SUMIFS(tblTransactions[Amount],tblTransactions[Transaction Type],"Expense",tblTransactions[Category],A19,tblTransactions[Transaction Date],"&gt;="&amp;$AA$1,tblTransactions[Transaction Date],"&lt;"&amp;$AA$2),0)</f>
      </c>
      <c r="C19" s="1">
        <f>IFERROR(SUMIFS(tblTransactions[Amount],tblTransactions[Transaction Type],"Expense",tblTransactions[Category],A19,tblTransactions[Transaction Date],"&gt;="&amp;$AA$3,tblTransactions[Transaction Date],"&lt;"&amp;$AA$1),0)</f>
      </c>
      <c r="D19" s="1">
        <f>IFERROR(SUMIFS(tblTransactions[Amount],tblTransactions[Transaction Type],"Expense",tblTransactions[Category],A19,tblTransactions[Transaction Date],"&gt;="&amp;$AA$4,tblTransactions[Transaction Date],"&lt;="&amp;$AA$5),0)</f>
      </c>
      <c r="E19" s="1">
        <f>IFERROR(B19/$B$14,0)</f>
      </c>
      <c r="F19" s="1">
        <f>IF(A19="" ,"",1+COUNTIFS($B$17:$B$26,"&gt;"&amp;B19))</f>
      </c>
    </row>
    <row r="20">
      <c r="A20" s="1">
        <f>IFERROR(INDEX(tblCategories[Category Name],4),"")</f>
      </c>
      <c r="B20" s="1">
        <f>IFERROR(SUMIFS(tblTransactions[Amount],tblTransactions[Transaction Type],"Expense",tblTransactions[Category],A20,tblTransactions[Transaction Date],"&gt;="&amp;$AA$1,tblTransactions[Transaction Date],"&lt;"&amp;$AA$2),0)</f>
      </c>
      <c r="C20" s="1">
        <f>IFERROR(SUMIFS(tblTransactions[Amount],tblTransactions[Transaction Type],"Expense",tblTransactions[Category],A20,tblTransactions[Transaction Date],"&gt;="&amp;$AA$3,tblTransactions[Transaction Date],"&lt;"&amp;$AA$1),0)</f>
      </c>
      <c r="D20" s="1">
        <f>IFERROR(SUMIFS(tblTransactions[Amount],tblTransactions[Transaction Type],"Expense",tblTransactions[Category],A20,tblTransactions[Transaction Date],"&gt;="&amp;$AA$4,tblTransactions[Transaction Date],"&lt;="&amp;$AA$5),0)</f>
      </c>
      <c r="E20" s="1">
        <f>IFERROR(B20/$B$14,0)</f>
      </c>
      <c r="F20" s="1">
        <f>IF(A20="" ,"",1+COUNTIFS($B$17:$B$26,"&gt;"&amp;B20))</f>
      </c>
    </row>
    <row r="21">
      <c r="A21" s="1">
        <f>IFERROR(INDEX(tblCategories[Category Name],5),"")</f>
      </c>
      <c r="B21" s="1">
        <f>IFERROR(SUMIFS(tblTransactions[Amount],tblTransactions[Transaction Type],"Expense",tblTransactions[Category],A21,tblTransactions[Transaction Date],"&gt;="&amp;$AA$1,tblTransactions[Transaction Date],"&lt;"&amp;$AA$2),0)</f>
      </c>
      <c r="C21" s="1">
        <f>IFERROR(SUMIFS(tblTransactions[Amount],tblTransactions[Transaction Type],"Expense",tblTransactions[Category],A21,tblTransactions[Transaction Date],"&gt;="&amp;$AA$3,tblTransactions[Transaction Date],"&lt;"&amp;$AA$1),0)</f>
      </c>
      <c r="D21" s="1">
        <f>IFERROR(SUMIFS(tblTransactions[Amount],tblTransactions[Transaction Type],"Expense",tblTransactions[Category],A21,tblTransactions[Transaction Date],"&gt;="&amp;$AA$4,tblTransactions[Transaction Date],"&lt;="&amp;$AA$5),0)</f>
      </c>
      <c r="E21" s="1">
        <f>IFERROR(B21/$B$14,0)</f>
      </c>
      <c r="F21" s="1">
        <f>IF(A21="" ,"",1+COUNTIFS($B$17:$B$26,"&gt;"&amp;B21))</f>
      </c>
    </row>
    <row r="22">
      <c r="A22" s="1">
        <f>IFERROR(INDEX(tblCategories[Category Name],6),"")</f>
      </c>
      <c r="B22" s="1">
        <f>IFERROR(SUMIFS(tblTransactions[Amount],tblTransactions[Transaction Type],"Expense",tblTransactions[Category],A22,tblTransactions[Transaction Date],"&gt;="&amp;$AA$1,tblTransactions[Transaction Date],"&lt;"&amp;$AA$2),0)</f>
      </c>
      <c r="C22" s="1">
        <f>IFERROR(SUMIFS(tblTransactions[Amount],tblTransactions[Transaction Type],"Expense",tblTransactions[Category],A22,tblTransactions[Transaction Date],"&gt;="&amp;$AA$3,tblTransactions[Transaction Date],"&lt;"&amp;$AA$1),0)</f>
      </c>
      <c r="D22" s="1">
        <f>IFERROR(SUMIFS(tblTransactions[Amount],tblTransactions[Transaction Type],"Expense",tblTransactions[Category],A22,tblTransactions[Transaction Date],"&gt;="&amp;$AA$4,tblTransactions[Transaction Date],"&lt;="&amp;$AA$5),0)</f>
      </c>
      <c r="E22" s="1">
        <f>IFERROR(B22/$B$14,0)</f>
      </c>
      <c r="F22" s="1">
        <f>IF(A22="" ,"",1+COUNTIFS($B$17:$B$26,"&gt;"&amp;B22))</f>
      </c>
    </row>
    <row r="23">
      <c r="A23" s="1">
        <f>IFERROR(INDEX(tblCategories[Category Name],7),"")</f>
      </c>
      <c r="B23" s="1">
        <f>IFERROR(SUMIFS(tblTransactions[Amount],tblTransactions[Transaction Type],"Expense",tblTransactions[Category],A23,tblTransactions[Transaction Date],"&gt;="&amp;$AA$1,tblTransactions[Transaction Date],"&lt;"&amp;$AA$2),0)</f>
      </c>
      <c r="C23" s="1">
        <f>IFERROR(SUMIFS(tblTransactions[Amount],tblTransactions[Transaction Type],"Expense",tblTransactions[Category],A23,tblTransactions[Transaction Date],"&gt;="&amp;$AA$3,tblTransactions[Transaction Date],"&lt;"&amp;$AA$1),0)</f>
      </c>
      <c r="D23" s="1">
        <f>IFERROR(SUMIFS(tblTransactions[Amount],tblTransactions[Transaction Type],"Expense",tblTransactions[Category],A23,tblTransactions[Transaction Date],"&gt;="&amp;$AA$4,tblTransactions[Transaction Date],"&lt;="&amp;$AA$5),0)</f>
      </c>
      <c r="E23" s="1">
        <f>IFERROR(B23/$B$14,0)</f>
      </c>
      <c r="F23" s="1">
        <f>IF(A23="" ,"",1+COUNTIFS($B$17:$B$26,"&gt;"&amp;B23))</f>
      </c>
    </row>
    <row r="24">
      <c r="A24" s="1">
        <f>IFERROR(INDEX(tblCategories[Category Name],8),"")</f>
      </c>
      <c r="B24" s="1">
        <f>IFERROR(SUMIFS(tblTransactions[Amount],tblTransactions[Transaction Type],"Expense",tblTransactions[Category],A24,tblTransactions[Transaction Date],"&gt;="&amp;$AA$1,tblTransactions[Transaction Date],"&lt;"&amp;$AA$2),0)</f>
      </c>
      <c r="C24" s="1">
        <f>IFERROR(SUMIFS(tblTransactions[Amount],tblTransactions[Transaction Type],"Expense",tblTransactions[Category],A24,tblTransactions[Transaction Date],"&gt;="&amp;$AA$3,tblTransactions[Transaction Date],"&lt;"&amp;$AA$1),0)</f>
      </c>
      <c r="D24" s="1">
        <f>IFERROR(SUMIFS(tblTransactions[Amount],tblTransactions[Transaction Type],"Expense",tblTransactions[Category],A24,tblTransactions[Transaction Date],"&gt;="&amp;$AA$4,tblTransactions[Transaction Date],"&lt;="&amp;$AA$5),0)</f>
      </c>
      <c r="E24" s="1">
        <f>IFERROR(B24/$B$14,0)</f>
      </c>
      <c r="F24" s="1">
        <f>IF(A24="" ,"",1+COUNTIFS($B$17:$B$26,"&gt;"&amp;B24))</f>
      </c>
    </row>
    <row r="25">
      <c r="A25" s="1">
        <f>IFERROR(INDEX(tblCategories[Category Name],9),"")</f>
      </c>
      <c r="B25" s="1">
        <f>IFERROR(SUMIFS(tblTransactions[Amount],tblTransactions[Transaction Type],"Expense",tblTransactions[Category],A25,tblTransactions[Transaction Date],"&gt;="&amp;$AA$1,tblTransactions[Transaction Date],"&lt;"&amp;$AA$2),0)</f>
      </c>
      <c r="C25" s="1">
        <f>IFERROR(SUMIFS(tblTransactions[Amount],tblTransactions[Transaction Type],"Expense",tblTransactions[Category],A25,tblTransactions[Transaction Date],"&gt;="&amp;$AA$3,tblTransactions[Transaction Date],"&lt;"&amp;$AA$1),0)</f>
      </c>
      <c r="D25" s="1">
        <f>IFERROR(SUMIFS(tblTransactions[Amount],tblTransactions[Transaction Type],"Expense",tblTransactions[Category],A25,tblTransactions[Transaction Date],"&gt;="&amp;$AA$4,tblTransactions[Transaction Date],"&lt;="&amp;$AA$5),0)</f>
      </c>
      <c r="E25" s="1">
        <f>IFERROR(B25/$B$14,0)</f>
      </c>
      <c r="F25" s="1">
        <f>IF(A25="" ,"",1+COUNTIFS($B$17:$B$26,"&gt;"&amp;B25))</f>
      </c>
    </row>
    <row r="26">
      <c r="A26" s="1">
        <f>IFERROR(INDEX(tblCategories[Category Name],10),"")</f>
      </c>
      <c r="B26" s="1">
        <f>IFERROR(SUMIFS(tblTransactions[Amount],tblTransactions[Transaction Type],"Expense",tblTransactions[Category],A26,tblTransactions[Transaction Date],"&gt;="&amp;$AA$1,tblTransactions[Transaction Date],"&lt;"&amp;$AA$2),0)</f>
      </c>
      <c r="C26" s="1">
        <f>IFERROR(SUMIFS(tblTransactions[Amount],tblTransactions[Transaction Type],"Expense",tblTransactions[Category],A26,tblTransactions[Transaction Date],"&gt;="&amp;$AA$3,tblTransactions[Transaction Date],"&lt;"&amp;$AA$1),0)</f>
      </c>
      <c r="D26" s="1">
        <f>IFERROR(SUMIFS(tblTransactions[Amount],tblTransactions[Transaction Type],"Expense",tblTransactions[Category],A26,tblTransactions[Transaction Date],"&gt;="&amp;$AA$4,tblTransactions[Transaction Date],"&lt;="&amp;$AA$5),0)</f>
      </c>
      <c r="E26" s="1">
        <f>IFERROR(B26/$B$14,0)</f>
      </c>
      <c r="F26" s="1">
        <f>IF(A26="" ,"",1+COUNTIFS($B$17:$B$26,"&gt;"&amp;B26))</f>
      </c>
    </row>
    <row r="28">
      <c r="A28" s="1" t="s">
        <v>298</v>
      </c>
    </row>
    <row r="29">
      <c r="A29" s="1" t="s">
        <v>299</v>
      </c>
      <c r="B29" s="1" t="s">
        <v>95</v>
      </c>
      <c r="C29" s="1" t="s">
        <v>274</v>
      </c>
      <c r="D29" s="1" t="s">
        <v>275</v>
      </c>
      <c r="E29" s="1" t="s">
        <v>276</v>
      </c>
    </row>
    <row r="30">
      <c r="A30" s="4">
        <f>DATE(YEAR($AA$5),1,1)</f>
      </c>
      <c r="B30" s="1">
        <f>IFERROR(SUMIFS(tblTransactions[Amount],tblTransactions[Transaction Type],"Income",tblTransactions[Transaction Date],"&gt;="&amp;A30,tblTransactions[Transaction Date],"&lt;"&amp;DATE(YEAR($AA$5),1+1,1)),0)</f>
      </c>
      <c r="C30" s="1">
        <f>IFERROR(SUMIFS(tblTransactions[Amount],tblTransactions[Transaction Type],"Expense",tblTransactions[Transaction Date],"&gt;="&amp;A30,tblTransactions[Transaction Date],"&lt;"&amp;DATE(YEAR($AA$5),1+1,1)),0)</f>
      </c>
      <c r="D30" s="1">
        <f>B30-C30</f>
      </c>
      <c r="E30" s="1">
        <f>IFERROR(D30/B30,0)</f>
      </c>
    </row>
    <row r="31">
      <c r="A31" s="4">
        <f>DATE(YEAR($AA$5),2,1)</f>
      </c>
      <c r="B31" s="1">
        <f>IFERROR(SUMIFS(tblTransactions[Amount],tblTransactions[Transaction Type],"Income",tblTransactions[Transaction Date],"&gt;="&amp;A31,tblTransactions[Transaction Date],"&lt;"&amp;DATE(YEAR($AA$5),2+1,1)),0)</f>
      </c>
      <c r="C31" s="1">
        <f>IFERROR(SUMIFS(tblTransactions[Amount],tblTransactions[Transaction Type],"Expense",tblTransactions[Transaction Date],"&gt;="&amp;A31,tblTransactions[Transaction Date],"&lt;"&amp;DATE(YEAR($AA$5),2+1,1)),0)</f>
      </c>
      <c r="D31" s="1">
        <f>B31-C31</f>
      </c>
      <c r="E31" s="1">
        <f>IFERROR(D31/B31,0)</f>
      </c>
    </row>
    <row r="32">
      <c r="A32" s="4">
        <f>DATE(YEAR($AA$5),3,1)</f>
      </c>
      <c r="B32" s="1">
        <f>IFERROR(SUMIFS(tblTransactions[Amount],tblTransactions[Transaction Type],"Income",tblTransactions[Transaction Date],"&gt;="&amp;A32,tblTransactions[Transaction Date],"&lt;"&amp;DATE(YEAR($AA$5),3+1,1)),0)</f>
      </c>
      <c r="C32" s="1">
        <f>IFERROR(SUMIFS(tblTransactions[Amount],tblTransactions[Transaction Type],"Expense",tblTransactions[Transaction Date],"&gt;="&amp;A32,tblTransactions[Transaction Date],"&lt;"&amp;DATE(YEAR($AA$5),3+1,1)),0)</f>
      </c>
      <c r="D32" s="1">
        <f>B32-C32</f>
      </c>
      <c r="E32" s="1">
        <f>IFERROR(D32/B32,0)</f>
      </c>
    </row>
    <row r="33">
      <c r="A33" s="4">
        <f>DATE(YEAR($AA$5),4,1)</f>
      </c>
      <c r="B33" s="1">
        <f>IFERROR(SUMIFS(tblTransactions[Amount],tblTransactions[Transaction Type],"Income",tblTransactions[Transaction Date],"&gt;="&amp;A33,tblTransactions[Transaction Date],"&lt;"&amp;DATE(YEAR($AA$5),4+1,1)),0)</f>
      </c>
      <c r="C33" s="1">
        <f>IFERROR(SUMIFS(tblTransactions[Amount],tblTransactions[Transaction Type],"Expense",tblTransactions[Transaction Date],"&gt;="&amp;A33,tblTransactions[Transaction Date],"&lt;"&amp;DATE(YEAR($AA$5),4+1,1)),0)</f>
      </c>
      <c r="D33" s="1">
        <f>B33-C33</f>
      </c>
      <c r="E33" s="1">
        <f>IFERROR(D33/B33,0)</f>
      </c>
    </row>
    <row r="34">
      <c r="A34" s="4">
        <f>DATE(YEAR($AA$5),5,1)</f>
      </c>
      <c r="B34" s="1">
        <f>IFERROR(SUMIFS(tblTransactions[Amount],tblTransactions[Transaction Type],"Income",tblTransactions[Transaction Date],"&gt;="&amp;A34,tblTransactions[Transaction Date],"&lt;"&amp;DATE(YEAR($AA$5),5+1,1)),0)</f>
      </c>
      <c r="C34" s="1">
        <f>IFERROR(SUMIFS(tblTransactions[Amount],tblTransactions[Transaction Type],"Expense",tblTransactions[Transaction Date],"&gt;="&amp;A34,tblTransactions[Transaction Date],"&lt;"&amp;DATE(YEAR($AA$5),5+1,1)),0)</f>
      </c>
      <c r="D34" s="1">
        <f>B34-C34</f>
      </c>
      <c r="E34" s="1">
        <f>IFERROR(D34/B34,0)</f>
      </c>
    </row>
    <row r="35">
      <c r="A35" s="4">
        <f>DATE(YEAR($AA$5),6,1)</f>
      </c>
      <c r="B35" s="1">
        <f>IFERROR(SUMIFS(tblTransactions[Amount],tblTransactions[Transaction Type],"Income",tblTransactions[Transaction Date],"&gt;="&amp;A35,tblTransactions[Transaction Date],"&lt;"&amp;DATE(YEAR($AA$5),6+1,1)),0)</f>
      </c>
      <c r="C35" s="1">
        <f>IFERROR(SUMIFS(tblTransactions[Amount],tblTransactions[Transaction Type],"Expense",tblTransactions[Transaction Date],"&gt;="&amp;A35,tblTransactions[Transaction Date],"&lt;"&amp;DATE(YEAR($AA$5),6+1,1)),0)</f>
      </c>
      <c r="D35" s="1">
        <f>B35-C35</f>
      </c>
      <c r="E35" s="1">
        <f>IFERROR(D35/B35,0)</f>
      </c>
    </row>
    <row r="36">
      <c r="A36" s="4">
        <f>DATE(YEAR($AA$5),7,1)</f>
      </c>
      <c r="B36" s="1">
        <f>IFERROR(SUMIFS(tblTransactions[Amount],tblTransactions[Transaction Type],"Income",tblTransactions[Transaction Date],"&gt;="&amp;A36,tblTransactions[Transaction Date],"&lt;"&amp;DATE(YEAR($AA$5),7+1,1)),0)</f>
      </c>
      <c r="C36" s="1">
        <f>IFERROR(SUMIFS(tblTransactions[Amount],tblTransactions[Transaction Type],"Expense",tblTransactions[Transaction Date],"&gt;="&amp;A36,tblTransactions[Transaction Date],"&lt;"&amp;DATE(YEAR($AA$5),7+1,1)),0)</f>
      </c>
      <c r="D36" s="1">
        <f>B36-C36</f>
      </c>
      <c r="E36" s="1">
        <f>IFERROR(D36/B36,0)</f>
      </c>
    </row>
    <row r="37">
      <c r="A37" s="4">
        <f>DATE(YEAR($AA$5),8,1)</f>
      </c>
      <c r="B37" s="1">
        <f>IFERROR(SUMIFS(tblTransactions[Amount],tblTransactions[Transaction Type],"Income",tblTransactions[Transaction Date],"&gt;="&amp;A37,tblTransactions[Transaction Date],"&lt;"&amp;DATE(YEAR($AA$5),8+1,1)),0)</f>
      </c>
      <c r="C37" s="1">
        <f>IFERROR(SUMIFS(tblTransactions[Amount],tblTransactions[Transaction Type],"Expense",tblTransactions[Transaction Date],"&gt;="&amp;A37,tblTransactions[Transaction Date],"&lt;"&amp;DATE(YEAR($AA$5),8+1,1)),0)</f>
      </c>
      <c r="D37" s="1">
        <f>B37-C37</f>
      </c>
      <c r="E37" s="1">
        <f>IFERROR(D37/B37,0)</f>
      </c>
    </row>
    <row r="38">
      <c r="A38" s="4">
        <f>DATE(YEAR($AA$5),9,1)</f>
      </c>
      <c r="B38" s="1">
        <f>IFERROR(SUMIFS(tblTransactions[Amount],tblTransactions[Transaction Type],"Income",tblTransactions[Transaction Date],"&gt;="&amp;A38,tblTransactions[Transaction Date],"&lt;"&amp;DATE(YEAR($AA$5),9+1,1)),0)</f>
      </c>
      <c r="C38" s="1">
        <f>IFERROR(SUMIFS(tblTransactions[Amount],tblTransactions[Transaction Type],"Expense",tblTransactions[Transaction Date],"&gt;="&amp;A38,tblTransactions[Transaction Date],"&lt;"&amp;DATE(YEAR($AA$5),9+1,1)),0)</f>
      </c>
      <c r="D38" s="1">
        <f>B38-C38</f>
      </c>
      <c r="E38" s="1">
        <f>IFERROR(D38/B38,0)</f>
      </c>
    </row>
    <row r="39">
      <c r="A39" s="4">
        <f>DATE(YEAR($AA$5),10,1)</f>
      </c>
      <c r="B39" s="1">
        <f>IFERROR(SUMIFS(tblTransactions[Amount],tblTransactions[Transaction Type],"Income",tblTransactions[Transaction Date],"&gt;="&amp;A39,tblTransactions[Transaction Date],"&lt;"&amp;DATE(YEAR($AA$5),10+1,1)),0)</f>
      </c>
      <c r="C39" s="1">
        <f>IFERROR(SUMIFS(tblTransactions[Amount],tblTransactions[Transaction Type],"Expense",tblTransactions[Transaction Date],"&gt;="&amp;A39,tblTransactions[Transaction Date],"&lt;"&amp;DATE(YEAR($AA$5),10+1,1)),0)</f>
      </c>
      <c r="D39" s="1">
        <f>B39-C39</f>
      </c>
      <c r="E39" s="1">
        <f>IFERROR(D39/B39,0)</f>
      </c>
    </row>
    <row r="40">
      <c r="A40" s="4">
        <f>DATE(YEAR($AA$5),11,1)</f>
      </c>
      <c r="B40" s="1">
        <f>IFERROR(SUMIFS(tblTransactions[Amount],tblTransactions[Transaction Type],"Income",tblTransactions[Transaction Date],"&gt;="&amp;A40,tblTransactions[Transaction Date],"&lt;"&amp;DATE(YEAR($AA$5),11+1,1)),0)</f>
      </c>
      <c r="C40" s="1">
        <f>IFERROR(SUMIFS(tblTransactions[Amount],tblTransactions[Transaction Type],"Expense",tblTransactions[Transaction Date],"&gt;="&amp;A40,tblTransactions[Transaction Date],"&lt;"&amp;DATE(YEAR($AA$5),11+1,1)),0)</f>
      </c>
      <c r="D40" s="1">
        <f>B40-C40</f>
      </c>
      <c r="E40" s="1">
        <f>IFERROR(D40/B40,0)</f>
      </c>
    </row>
    <row r="41">
      <c r="A41" s="4">
        <f>DATE(YEAR($AA$5),12,1)</f>
      </c>
      <c r="B41" s="1">
        <f>IFERROR(SUMIFS(tblTransactions[Amount],tblTransactions[Transaction Type],"Income",tblTransactions[Transaction Date],"&gt;="&amp;A41,tblTransactions[Transaction Date],"&lt;"&amp;DATE(YEAR($AA$5),12+1,1)),0)</f>
      </c>
      <c r="C41" s="1">
        <f>IFERROR(SUMIFS(tblTransactions[Amount],tblTransactions[Transaction Type],"Expense",tblTransactions[Transaction Date],"&gt;="&amp;A41,tblTransactions[Transaction Date],"&lt;"&amp;DATE(YEAR($AA$5),12+1,1)),0)</f>
      </c>
      <c r="D41" s="1">
        <f>B41-C41</f>
      </c>
      <c r="E41" s="1">
        <f>IFERROR(D41/B41,0)</f>
      </c>
    </row>
    <row r="43">
      <c r="A43" s="1" t="s">
        <v>300</v>
      </c>
    </row>
    <row r="44">
      <c r="A44" s="1" t="s">
        <v>95</v>
      </c>
      <c r="B44" s="1">
        <f>'Business Engine'!$B$16</f>
      </c>
    </row>
    <row r="45">
      <c r="A45" s="1" t="s">
        <v>274</v>
      </c>
      <c r="B45" s="1">
        <f>'Business Engine'!$B$22</f>
      </c>
    </row>
    <row r="46">
      <c r="A46" s="1" t="s">
        <v>275</v>
      </c>
      <c r="B46" s="1">
        <f>'Business Engine'!$B$29</f>
      </c>
    </row>
    <row r="47">
      <c r="A47" s="1" t="s">
        <v>276</v>
      </c>
      <c r="B47" s="1">
        <f>'Business Engine'!$B$30</f>
      </c>
    </row>
    <row r="48">
      <c r="A48" s="1" t="s">
        <v>242</v>
      </c>
      <c r="B48" s="1">
        <f>'Business Engine'!$B$23</f>
      </c>
    </row>
    <row r="49">
      <c r="A49" s="1" t="s">
        <v>301</v>
      </c>
      <c r="B49" s="1">
        <f>IFERROR($B$45-$B$48,0)</f>
      </c>
    </row>
    <row r="50">
      <c r="A50" s="1" t="s">
        <v>302</v>
      </c>
      <c r="B50" s="1">
        <f>IFERROR(($B$45-$B$48)/$B$48,0)</f>
      </c>
    </row>
    <row r="51">
      <c r="A51" s="1" t="s">
        <v>303</v>
      </c>
      <c r="B51" s="1" t="s">
        <v>304</v>
      </c>
    </row>
    <row r="53">
      <c r="A53" s="1" t="s">
        <v>305</v>
      </c>
    </row>
    <row r="54">
      <c r="A54" s="1" t="s">
        <v>251</v>
      </c>
      <c r="B54" s="1">
        <f>'Business Engine'!$B$34</f>
      </c>
    </row>
    <row r="55">
      <c r="A55" s="1" t="s">
        <v>252</v>
      </c>
      <c r="B55" s="1">
        <f>'Business Engine'!$B$35</f>
      </c>
    </row>
    <row r="56">
      <c r="A56" s="1" t="s">
        <v>306</v>
      </c>
      <c r="B56" s="1">
        <f>'Business Engine'!$B$36</f>
      </c>
    </row>
    <row r="57">
      <c r="A57" s="1" t="s">
        <v>32</v>
      </c>
      <c r="B57" s="1">
        <f>'Business Engine'!$B$37</f>
      </c>
    </row>
    <row r="58">
      <c r="A58" s="1" t="s">
        <v>255</v>
      </c>
      <c r="B58" s="1">
        <f>'Business Engine'!$B$38</f>
      </c>
    </row>
    <row r="60">
      <c r="A60" s="1" t="s">
        <v>307</v>
      </c>
    </row>
    <row r="61">
      <c r="A61" s="1" t="s">
        <v>26</v>
      </c>
      <c r="B61" s="1" t="s">
        <v>30</v>
      </c>
      <c r="C61" s="1" t="s">
        <v>308</v>
      </c>
    </row>
    <row r="62">
      <c r="A62" s="1">
        <f>IFERROR(INDEX(lkpAssetType[Asset Type],1),"")</f>
      </c>
      <c r="B62" s="1">
        <f>IFERROR(SUMIFS(tblAssets[Current Value],tblAssets[Asset Type],A62,tblAssets[Status],"Active"),0)</f>
      </c>
      <c r="C62" s="1">
        <f>IFERROR(B62/$B$55,0)</f>
      </c>
    </row>
    <row r="63">
      <c r="A63" s="1">
        <f>IFERROR(INDEX(lkpAssetType[Asset Type],2),"")</f>
      </c>
      <c r="B63" s="1">
        <f>IFERROR(SUMIFS(tblAssets[Current Value],tblAssets[Asset Type],A63,tblAssets[Status],"Active"),0)</f>
      </c>
      <c r="C63" s="1">
        <f>IFERROR(B63/$B$55,0)</f>
      </c>
    </row>
    <row r="64">
      <c r="A64" s="1">
        <f>IFERROR(INDEX(lkpAssetType[Asset Type],3),"")</f>
      </c>
      <c r="B64" s="1">
        <f>IFERROR(SUMIFS(tblAssets[Current Value],tblAssets[Asset Type],A64,tblAssets[Status],"Active"),0)</f>
      </c>
      <c r="C64" s="1">
        <f>IFERROR(B64/$B$55,0)</f>
      </c>
    </row>
    <row r="65">
      <c r="A65" s="1">
        <f>IFERROR(INDEX(lkpAssetType[Asset Type],4),"")</f>
      </c>
      <c r="B65" s="1">
        <f>IFERROR(SUMIFS(tblAssets[Current Value],tblAssets[Asset Type],A65,tblAssets[Status],"Active"),0)</f>
      </c>
      <c r="C65" s="1">
        <f>IFERROR(B65/$B$55,0)</f>
      </c>
    </row>
    <row r="66">
      <c r="A66" s="1">
        <f>IFERROR(INDEX(lkpAssetType[Asset Type],5),"")</f>
      </c>
      <c r="B66" s="1">
        <f>IFERROR(SUMIFS(tblAssets[Current Value],tblAssets[Asset Type],A66,tblAssets[Status],"Active"),0)</f>
      </c>
      <c r="C66" s="1">
        <f>IFERROR(B66/$B$55,0)</f>
      </c>
    </row>
    <row r="67">
      <c r="A67" s="1">
        <f>IFERROR(INDEX(lkpAssetType[Asset Type],6),"")</f>
      </c>
      <c r="B67" s="1">
        <f>IFERROR(SUMIFS(tblAssets[Current Value],tblAssets[Asset Type],A67,tblAssets[Status],"Active"),0)</f>
      </c>
      <c r="C67" s="1">
        <f>IFERROR(B67/$B$55,0)</f>
      </c>
    </row>
    <row r="68">
      <c r="A68" s="1">
        <f>IFERROR(INDEX(lkpAssetType[Asset Type],7),"")</f>
      </c>
      <c r="B68" s="1">
        <f>IFERROR(SUMIFS(tblAssets[Current Value],tblAssets[Asset Type],A68,tblAssets[Status],"Active"),0)</f>
      </c>
      <c r="C68" s="1">
        <f>IFERROR(B68/$B$55,0)</f>
      </c>
    </row>
    <row r="69">
      <c r="A69" s="1">
        <f>IFERROR(INDEX(lkpAssetType[Asset Type],8),"")</f>
      </c>
      <c r="B69" s="1">
        <f>IFERROR(SUMIFS(tblAssets[Current Value],tblAssets[Asset Type],A69,tblAssets[Status],"Active"),0)</f>
      </c>
      <c r="C69" s="1">
        <f>IFERROR(B69/$B$55,0)</f>
      </c>
    </row>
    <row r="70">
      <c r="A70" s="1">
        <f>IFERROR(INDEX(lkpAssetType[Asset Type],9),"")</f>
      </c>
      <c r="B70" s="1">
        <f>IFERROR(SUMIFS(tblAssets[Current Value],tblAssets[Asset Type],A70,tblAssets[Status],"Active"),0)</f>
      </c>
      <c r="C70" s="1">
        <f>IFERROR(B70/$B$55,0)</f>
      </c>
    </row>
    <row r="71">
      <c r="A71" s="1">
        <f>IFERROR(INDEX(lkpAssetType[Asset Type],10),"")</f>
      </c>
      <c r="B71" s="1">
        <f>IFERROR(SUMIFS(tblAssets[Current Value],tblAssets[Asset Type],A71,tblAssets[Status],"Active"),0)</f>
      </c>
      <c r="C71" s="1">
        <f>IFERROR(B71/$B$55,0)</f>
      </c>
    </row>
    <row r="73">
      <c r="A73" s="1" t="s">
        <v>309</v>
      </c>
    </row>
    <row r="74">
      <c r="A74" s="1" t="s">
        <v>257</v>
      </c>
      <c r="B74" s="1">
        <f>'Business Engine'!$B$41</f>
      </c>
    </row>
    <row r="75">
      <c r="A75" s="1" t="s">
        <v>38</v>
      </c>
      <c r="B75" s="1">
        <f>'Business Engine'!$B$42</f>
      </c>
    </row>
    <row r="76">
      <c r="A76" s="1" t="s">
        <v>259</v>
      </c>
      <c r="B76" s="1">
        <f>'Business Engine'!$B$43</f>
      </c>
    </row>
    <row r="77">
      <c r="A77" s="1" t="s">
        <v>260</v>
      </c>
      <c r="B77" s="1">
        <f>'Business Engine'!$B$44</f>
      </c>
    </row>
    <row r="78">
      <c r="A78" s="1" t="s">
        <v>310</v>
      </c>
      <c r="B78" s="1">
        <f>IFERROR($B$75*$B$77/12,0)</f>
      </c>
    </row>
    <row r="79">
      <c r="A79" s="1" t="s">
        <v>261</v>
      </c>
      <c r="B79" s="1">
        <f>'Business Engine'!$B$45</f>
      </c>
    </row>
    <row r="80">
      <c r="A80" s="1" t="s">
        <v>311</v>
      </c>
      <c r="B80" s="1">
        <f>'Business Engine'!$B$66</f>
      </c>
    </row>
    <row r="81">
      <c r="A81" s="1" t="s">
        <v>312</v>
      </c>
      <c r="B81" s="1">
        <f>'Business Engine'!$B$68</f>
      </c>
    </row>
    <row r="83">
      <c r="A83" s="1" t="s">
        <v>313</v>
      </c>
    </row>
    <row r="84">
      <c r="A84" s="1" t="s">
        <v>36</v>
      </c>
      <c r="B84" s="1" t="s">
        <v>314</v>
      </c>
      <c r="C84" s="1" t="s">
        <v>315</v>
      </c>
    </row>
    <row r="85">
      <c r="A85" s="1">
        <f>IFERROR(INDEX(lkpLiabilityType[Liability Type],1),"")</f>
      </c>
      <c r="B85" s="1">
        <f>IFERROR(SUMIFS(tblLiabilities[Outstanding Balance],tblLiabilities[Liability Type],A85,tblLiabilities[Status],"Active"),0)</f>
      </c>
      <c r="C85" s="1">
        <f>IFERROR(B85/$B$75,0)</f>
      </c>
    </row>
    <row r="86">
      <c r="A86" s="1">
        <f>IFERROR(INDEX(lkpLiabilityType[Liability Type],2),"")</f>
      </c>
      <c r="B86" s="1">
        <f>IFERROR(SUMIFS(tblLiabilities[Outstanding Balance],tblLiabilities[Liability Type],A86,tblLiabilities[Status],"Active"),0)</f>
      </c>
      <c r="C86" s="1">
        <f>IFERROR(B86/$B$75,0)</f>
      </c>
    </row>
    <row r="87">
      <c r="A87" s="1">
        <f>IFERROR(INDEX(lkpLiabilityType[Liability Type],3),"")</f>
      </c>
      <c r="B87" s="1">
        <f>IFERROR(SUMIFS(tblLiabilities[Outstanding Balance],tblLiabilities[Liability Type],A87,tblLiabilities[Status],"Active"),0)</f>
      </c>
      <c r="C87" s="1">
        <f>IFERROR(B87/$B$75,0)</f>
      </c>
    </row>
    <row r="88">
      <c r="A88" s="1">
        <f>IFERROR(INDEX(lkpLiabilityType[Liability Type],4),"")</f>
      </c>
      <c r="B88" s="1">
        <f>IFERROR(SUMIFS(tblLiabilities[Outstanding Balance],tblLiabilities[Liability Type],A88,tblLiabilities[Status],"Active"),0)</f>
      </c>
      <c r="C88" s="1">
        <f>IFERROR(B88/$B$75,0)</f>
      </c>
    </row>
    <row r="89">
      <c r="A89" s="1">
        <f>IFERROR(INDEX(lkpLiabilityType[Liability Type],5),"")</f>
      </c>
      <c r="B89" s="1">
        <f>IFERROR(SUMIFS(tblLiabilities[Outstanding Balance],tblLiabilities[Liability Type],A89,tblLiabilities[Status],"Active"),0)</f>
      </c>
      <c r="C89" s="1">
        <f>IFERROR(B89/$B$75,0)</f>
      </c>
    </row>
    <row r="90">
      <c r="A90" s="1">
        <f>IFERROR(INDEX(lkpLiabilityType[Liability Type],6),"")</f>
      </c>
      <c r="B90" s="1">
        <f>IFERROR(SUMIFS(tblLiabilities[Outstanding Balance],tblLiabilities[Liability Type],A90,tblLiabilities[Status],"Active"),0)</f>
      </c>
      <c r="C90" s="1">
        <f>IFERROR(B90/$B$75,0)</f>
      </c>
    </row>
    <row r="91">
      <c r="A91" s="1">
        <f>IFERROR(INDEX(lkpLiabilityType[Liability Type],7),"")</f>
      </c>
      <c r="B91" s="1">
        <f>IFERROR(SUMIFS(tblLiabilities[Outstanding Balance],tblLiabilities[Liability Type],A91,tblLiabilities[Status],"Active"),0)</f>
      </c>
      <c r="C91" s="1">
        <f>IFERROR(B91/$B$75,0)</f>
      </c>
    </row>
    <row r="92">
      <c r="A92" s="1">
        <f>IFERROR(INDEX(lkpLiabilityType[Liability Type],8),"")</f>
      </c>
      <c r="B92" s="1">
        <f>IFERROR(SUMIFS(tblLiabilities[Outstanding Balance],tblLiabilities[Liability Type],A92,tblLiabilities[Status],"Active"),0)</f>
      </c>
      <c r="C92" s="1">
        <f>IFERROR(B92/$B$75,0)</f>
      </c>
    </row>
    <row r="93">
      <c r="A93" s="1">
        <f>IFERROR(INDEX(lkpLiabilityType[Liability Type],9),"")</f>
      </c>
      <c r="B93" s="1">
        <f>IFERROR(SUMIFS(tblLiabilities[Outstanding Balance],tblLiabilities[Liability Type],A93,tblLiabilities[Status],"Active"),0)</f>
      </c>
      <c r="C93" s="1">
        <f>IFERROR(B93/$B$75,0)</f>
      </c>
    </row>
    <row r="94">
      <c r="A94" s="1">
        <f>IFERROR(INDEX(lkpLiabilityType[Liability Type],10),"")</f>
      </c>
      <c r="B94" s="1">
        <f>IFERROR(SUMIFS(tblLiabilities[Outstanding Balance],tblLiabilities[Liability Type],A94,tblLiabilities[Status],"Active"),0)</f>
      </c>
      <c r="C94" s="1">
        <f>IFERROR(B94/$B$75,0)</f>
      </c>
    </row>
    <row r="96">
      <c r="A96" s="1" t="s">
        <v>316</v>
      </c>
    </row>
    <row r="97">
      <c r="A97" s="1" t="s">
        <v>101</v>
      </c>
      <c r="B97" s="1" t="s">
        <v>317</v>
      </c>
      <c r="C97" s="1" t="s">
        <v>318</v>
      </c>
      <c r="D97" s="1" t="s">
        <v>319</v>
      </c>
      <c r="E97" s="1" t="s">
        <v>320</v>
      </c>
    </row>
    <row r="98">
      <c r="A98" s="1">
        <f>IFERROR(INDEX(tblGoals[Goal Name],1),"")</f>
      </c>
      <c r="B98" s="1">
        <f>IFERROR(INDEX(tblGoals[Current Saved Amount],1)/INDEX(tblGoals[Target Amount],1),0)</f>
      </c>
      <c r="C98" s="1">
        <f>IFERROR(INDEX(tblGoals[Remaining Amount],1),0)</f>
      </c>
      <c r="D98" s="1">
        <f>IFERROR(INDEX(tblGoals[Remaining Amount],1)/MAX(1,(YEAR(INDEX(tblGoals[Target Date],1))-YEAR($AA$5))*12+MONTH(INDEX(tblGoals[Target Date],1))-MONTH($AA$5)),0)</f>
      </c>
      <c r="E98" s="1">
        <f>IF((IFERROR(INDEX(tblGoals[Goal Status],1),"")="Active")*(IFERROR(INDEX(tblGoals[Target Date],1),0)&lt;$AA$5)*(IFERROR(INDEX(tblGoals[Remaining Amount],1),0)&gt;0),1,0)</f>
      </c>
    </row>
    <row r="99">
      <c r="A99" s="1">
        <f>IFERROR(INDEX(tblGoals[Goal Name],2),"")</f>
      </c>
      <c r="B99" s="1">
        <f>IFERROR(INDEX(tblGoals[Current Saved Amount],2)/INDEX(tblGoals[Target Amount],2),0)</f>
      </c>
      <c r="C99" s="1">
        <f>IFERROR(INDEX(tblGoals[Remaining Amount],2),0)</f>
      </c>
      <c r="D99" s="1">
        <f>IFERROR(INDEX(tblGoals[Remaining Amount],2)/MAX(1,(YEAR(INDEX(tblGoals[Target Date],2))-YEAR($AA$5))*12+MONTH(INDEX(tblGoals[Target Date],2))-MONTH($AA$5)),0)</f>
      </c>
      <c r="E99" s="1">
        <f>IF((IFERROR(INDEX(tblGoals[Goal Status],2),"")="Active")*(IFERROR(INDEX(tblGoals[Target Date],2),0)&lt;$AA$5)*(IFERROR(INDEX(tblGoals[Remaining Amount],2),0)&gt;0),1,0)</f>
      </c>
    </row>
    <row r="100">
      <c r="A100" s="1">
        <f>IFERROR(INDEX(tblGoals[Goal Name],3),"")</f>
      </c>
      <c r="B100" s="1">
        <f>IFERROR(INDEX(tblGoals[Current Saved Amount],3)/INDEX(tblGoals[Target Amount],3),0)</f>
      </c>
      <c r="C100" s="1">
        <f>IFERROR(INDEX(tblGoals[Remaining Amount],3),0)</f>
      </c>
      <c r="D100" s="1">
        <f>IFERROR(INDEX(tblGoals[Remaining Amount],3)/MAX(1,(YEAR(INDEX(tblGoals[Target Date],3))-YEAR($AA$5))*12+MONTH(INDEX(tblGoals[Target Date],3))-MONTH($AA$5)),0)</f>
      </c>
      <c r="E100" s="1">
        <f>IF((IFERROR(INDEX(tblGoals[Goal Status],3),"")="Active")*(IFERROR(INDEX(tblGoals[Target Date],3),0)&lt;$AA$5)*(IFERROR(INDEX(tblGoals[Remaining Amount],3),0)&gt;0),1,0)</f>
      </c>
    </row>
    <row r="101">
      <c r="A101" s="1">
        <f>IFERROR(INDEX(tblGoals[Goal Name],4),"")</f>
      </c>
      <c r="B101" s="1">
        <f>IFERROR(INDEX(tblGoals[Current Saved Amount],4)/INDEX(tblGoals[Target Amount],4),0)</f>
      </c>
      <c r="C101" s="1">
        <f>IFERROR(INDEX(tblGoals[Remaining Amount],4),0)</f>
      </c>
      <c r="D101" s="1">
        <f>IFERROR(INDEX(tblGoals[Remaining Amount],4)/MAX(1,(YEAR(INDEX(tblGoals[Target Date],4))-YEAR($AA$5))*12+MONTH(INDEX(tblGoals[Target Date],4))-MONTH($AA$5)),0)</f>
      </c>
      <c r="E101" s="1">
        <f>IF((IFERROR(INDEX(tblGoals[Goal Status],4),"")="Active")*(IFERROR(INDEX(tblGoals[Target Date],4),0)&lt;$AA$5)*(IFERROR(INDEX(tblGoals[Remaining Amount],4),0)&gt;0),1,0)</f>
      </c>
    </row>
    <row r="102">
      <c r="A102" s="1">
        <f>IFERROR(INDEX(tblGoals[Goal Name],5),"")</f>
      </c>
      <c r="B102" s="1">
        <f>IFERROR(INDEX(tblGoals[Current Saved Amount],5)/INDEX(tblGoals[Target Amount],5),0)</f>
      </c>
      <c r="C102" s="1">
        <f>IFERROR(INDEX(tblGoals[Remaining Amount],5),0)</f>
      </c>
      <c r="D102" s="1">
        <f>IFERROR(INDEX(tblGoals[Remaining Amount],5)/MAX(1,(YEAR(INDEX(tblGoals[Target Date],5))-YEAR($AA$5))*12+MONTH(INDEX(tblGoals[Target Date],5))-MONTH($AA$5)),0)</f>
      </c>
      <c r="E102" s="1">
        <f>IF((IFERROR(INDEX(tblGoals[Goal Status],5),"")="Active")*(IFERROR(INDEX(tblGoals[Target Date],5),0)&lt;$AA$5)*(IFERROR(INDEX(tblGoals[Remaining Amount],5),0)&gt;0),1,0)</f>
      </c>
    </row>
    <row r="103">
      <c r="A103" s="1">
        <f>IFERROR(INDEX(tblGoals[Goal Name],6),"")</f>
      </c>
      <c r="B103" s="1">
        <f>IFERROR(INDEX(tblGoals[Current Saved Amount],6)/INDEX(tblGoals[Target Amount],6),0)</f>
      </c>
      <c r="C103" s="1">
        <f>IFERROR(INDEX(tblGoals[Remaining Amount],6),0)</f>
      </c>
      <c r="D103" s="1">
        <f>IFERROR(INDEX(tblGoals[Remaining Amount],6)/MAX(1,(YEAR(INDEX(tblGoals[Target Date],6))-YEAR($AA$5))*12+MONTH(INDEX(tblGoals[Target Date],6))-MONTH($AA$5)),0)</f>
      </c>
      <c r="E103" s="1">
        <f>IF((IFERROR(INDEX(tblGoals[Goal Status],6),"")="Active")*(IFERROR(INDEX(tblGoals[Target Date],6),0)&lt;$AA$5)*(IFERROR(INDEX(tblGoals[Remaining Amount],6),0)&gt;0),1,0)</f>
      </c>
    </row>
    <row r="104">
      <c r="A104" s="1">
        <f>IFERROR(INDEX(tblGoals[Goal Name],7),"")</f>
      </c>
      <c r="B104" s="1">
        <f>IFERROR(INDEX(tblGoals[Current Saved Amount],7)/INDEX(tblGoals[Target Amount],7),0)</f>
      </c>
      <c r="C104" s="1">
        <f>IFERROR(INDEX(tblGoals[Remaining Amount],7),0)</f>
      </c>
      <c r="D104" s="1">
        <f>IFERROR(INDEX(tblGoals[Remaining Amount],7)/MAX(1,(YEAR(INDEX(tblGoals[Target Date],7))-YEAR($AA$5))*12+MONTH(INDEX(tblGoals[Target Date],7))-MONTH($AA$5)),0)</f>
      </c>
      <c r="E104" s="1">
        <f>IF((IFERROR(INDEX(tblGoals[Goal Status],7),"")="Active")*(IFERROR(INDEX(tblGoals[Target Date],7),0)&lt;$AA$5)*(IFERROR(INDEX(tblGoals[Remaining Amount],7),0)&gt;0),1,0)</f>
      </c>
    </row>
    <row r="105">
      <c r="A105" s="1">
        <f>IFERROR(INDEX(tblGoals[Goal Name],8),"")</f>
      </c>
      <c r="B105" s="1">
        <f>IFERROR(INDEX(tblGoals[Current Saved Amount],8)/INDEX(tblGoals[Target Amount],8),0)</f>
      </c>
      <c r="C105" s="1">
        <f>IFERROR(INDEX(tblGoals[Remaining Amount],8),0)</f>
      </c>
      <c r="D105" s="1">
        <f>IFERROR(INDEX(tblGoals[Remaining Amount],8)/MAX(1,(YEAR(INDEX(tblGoals[Target Date],8))-YEAR($AA$5))*12+MONTH(INDEX(tblGoals[Target Date],8))-MONTH($AA$5)),0)</f>
      </c>
      <c r="E105" s="1">
        <f>IF((IFERROR(INDEX(tblGoals[Goal Status],8),"")="Active")*(IFERROR(INDEX(tblGoals[Target Date],8),0)&lt;$AA$5)*(IFERROR(INDEX(tblGoals[Remaining Amount],8),0)&gt;0),1,0)</f>
      </c>
    </row>
    <row r="107">
      <c r="A107" s="1" t="s">
        <v>321</v>
      </c>
      <c r="B107" s="1">
        <f>SUM($E$98:$E$105)</f>
      </c>
    </row>
    <row r="108">
      <c r="A108" s="1" t="s">
        <v>322</v>
      </c>
      <c r="B108" s="1">
        <f>'Business Engine'!$B$58</f>
      </c>
    </row>
    <row r="109">
      <c r="A109" s="1" t="s">
        <v>323</v>
      </c>
      <c r="B109" s="1">
        <f>'Business Engine'!$B$56</f>
      </c>
    </row>
    <row r="111">
      <c r="A111" s="1" t="s">
        <v>324</v>
      </c>
    </row>
    <row r="112">
      <c r="A112" s="1" t="s">
        <v>325</v>
      </c>
    </row>
    <row r="113">
      <c r="A113" s="1" t="s">
        <v>21</v>
      </c>
      <c r="B113" s="1" t="s">
        <v>53</v>
      </c>
      <c r="C113" s="1" t="s">
        <v>297</v>
      </c>
    </row>
    <row r="114">
      <c r="A114" s="1" t="s">
        <v>214</v>
      </c>
      <c r="B114" s="1">
        <f>$B$7</f>
      </c>
      <c r="C114" s="1">
        <f>1+COUNTIFS($B$114:$B$118,"&gt;"&amp;B114)</f>
      </c>
    </row>
    <row r="115">
      <c r="A115" s="1" t="s">
        <v>215</v>
      </c>
      <c r="B115" s="1">
        <f>$B$9</f>
      </c>
      <c r="C115" s="1">
        <f>1+COUNTIFS($B$114:$B$118,"&gt;"&amp;B115)</f>
      </c>
    </row>
    <row r="116">
      <c r="A116" s="1" t="s">
        <v>221</v>
      </c>
      <c r="B116" s="1">
        <f>$B$8</f>
      </c>
      <c r="C116" s="1">
        <f>1+COUNTIFS($B$114:$B$118,"&gt;"&amp;B116)</f>
      </c>
    </row>
    <row r="117">
      <c r="A117" s="1" t="s">
        <v>222</v>
      </c>
      <c r="B117" s="1">
        <f>$B$10</f>
      </c>
      <c r="C117" s="1">
        <f>1+COUNTIFS($B$114:$B$118,"&gt;"&amp;B117)</f>
      </c>
    </row>
    <row r="118">
      <c r="A118" s="1" t="s">
        <v>292</v>
      </c>
      <c r="B118" s="1">
        <f>$B$11</f>
      </c>
      <c r="C118" s="1">
        <f>1+COUNTIFS($B$114:$B$118,"&gt;"&amp;B118)</f>
      </c>
    </row>
    <row r="120">
      <c r="A120" s="1" t="s">
        <v>326</v>
      </c>
    </row>
    <row r="121">
      <c r="A121" s="1" t="s">
        <v>327</v>
      </c>
      <c r="B121" s="1">
        <f>IFERROR(INDEX($A$17:$A$26,MATCH(MAX($B$17:$B$26),$B$17:$B$26,0)),"")</f>
      </c>
    </row>
    <row r="122">
      <c r="A122" s="1" t="s">
        <v>328</v>
      </c>
      <c r="B122" s="1">
        <f>MAX($B$17:$B$26)</f>
      </c>
    </row>
    <row r="124">
      <c r="A124" s="1" t="s">
        <v>329</v>
      </c>
    </row>
    <row r="125">
      <c r="A125" s="1" t="s">
        <v>330</v>
      </c>
      <c r="B125" s="1">
        <f>'Business Engine'!$B$5</f>
      </c>
    </row>
    <row r="126">
      <c r="A126" s="1" t="s">
        <v>331</v>
      </c>
      <c r="B126" s="1">
        <f>IFERROR(SUMIFS(tblAccounts[Opening Balance],tblAccounts[Status],"Active"),0)</f>
      </c>
    </row>
    <row r="127">
      <c r="A127" s="1" t="s">
        <v>332</v>
      </c>
      <c r="B127" s="1">
        <f>'Business Engine'!$B$4</f>
      </c>
    </row>
    <row r="128">
      <c r="A128" s="1" t="s">
        <v>333</v>
      </c>
      <c r="B128" s="1">
        <f>'Business Engine'!$B$6</f>
      </c>
    </row>
    <row r="129">
      <c r="A129" s="1" t="s">
        <v>334</v>
      </c>
      <c r="B129" s="1">
        <f>'Business Engine'!$B$7</f>
      </c>
    </row>
    <row r="130">
      <c r="A130" s="1" t="s">
        <v>335</v>
      </c>
      <c r="B130" s="1">
        <f>'Business Engine'!$B$8</f>
      </c>
    </row>
    <row r="131">
      <c r="A131" s="1" t="s">
        <v>336</v>
      </c>
      <c r="B131" s="1">
        <f>'Business Engine'!$B$9</f>
      </c>
    </row>
    <row r="132">
      <c r="A132" s="1" t="s">
        <v>337</v>
      </c>
      <c r="B132" s="1" t="s">
        <v>338</v>
      </c>
    </row>
    <row r="134">
      <c r="A134" s="1" t="s">
        <v>339</v>
      </c>
    </row>
    <row r="135">
      <c r="A135" s="1" t="s">
        <v>340</v>
      </c>
      <c r="B135" s="1" t="s">
        <v>341</v>
      </c>
    </row>
    <row r="136">
      <c r="A136" s="1" t="s">
        <v>223</v>
      </c>
      <c r="B136" s="4">
        <f>$B$2</f>
      </c>
    </row>
    <row r="137">
      <c r="A137" s="1" t="s">
        <v>342</v>
      </c>
      <c r="B137" s="1">
        <f>$B$44</f>
      </c>
    </row>
    <row r="138">
      <c r="A138" s="1" t="s">
        <v>343</v>
      </c>
      <c r="B138" s="1">
        <f>$B$45</f>
      </c>
    </row>
    <row r="139">
      <c r="A139" s="1" t="s">
        <v>344</v>
      </c>
      <c r="B139" s="1">
        <f>$B$46</f>
      </c>
    </row>
    <row r="140">
      <c r="A140" s="1" t="s">
        <v>276</v>
      </c>
      <c r="B140" s="1">
        <f>$B$47</f>
      </c>
    </row>
    <row r="141">
      <c r="A141" s="1" t="s">
        <v>263</v>
      </c>
      <c r="B141" s="1">
        <f>'Business Engine'!$B$48</f>
      </c>
    </row>
    <row r="142">
      <c r="A142" s="1" t="s">
        <v>345</v>
      </c>
      <c r="B142" s="1">
        <f>'Business Engine'!$B$49</f>
      </c>
    </row>
    <row r="143">
      <c r="A143" s="1" t="s">
        <v>265</v>
      </c>
      <c r="B143" s="1">
        <f>'Business Engine'!$B$50</f>
      </c>
    </row>
    <row r="144">
      <c r="A144" s="1" t="s">
        <v>277</v>
      </c>
      <c r="B144" s="1">
        <f>$B$80</f>
      </c>
    </row>
    <row r="145">
      <c r="A145" s="1" t="s">
        <v>279</v>
      </c>
      <c r="B145" s="1">
        <f>$B$81</f>
      </c>
    </row>
    <row r="146">
      <c r="A146" s="1" t="s">
        <v>272</v>
      </c>
      <c r="B146" s="1">
        <f>$B$108</f>
      </c>
    </row>
    <row r="147">
      <c r="A147" s="1" t="s">
        <v>321</v>
      </c>
      <c r="B147" s="1">
        <f>$B$107</f>
      </c>
    </row>
    <row r="148">
      <c r="A148" s="1" t="s">
        <v>330</v>
      </c>
      <c r="B148" s="1">
        <f>$B$125</f>
      </c>
    </row>
    <row r="149">
      <c r="A149" s="1" t="s">
        <v>346</v>
      </c>
      <c r="B149" s="1">
        <f>$B$55</f>
      </c>
    </row>
    <row r="150">
      <c r="A150" s="1" t="s">
        <v>347</v>
      </c>
      <c r="B150" s="1">
        <f>$B$75</f>
      </c>
    </row>
    <row r="151">
      <c r="A151" s="1" t="s">
        <v>310</v>
      </c>
      <c r="B151" s="1">
        <f>$B$78</f>
      </c>
    </row>
    <row r="152">
      <c r="A152" s="1" t="s">
        <v>301</v>
      </c>
      <c r="B152" s="1">
        <f>$B$49</f>
      </c>
    </row>
    <row r="153">
      <c r="A153" s="1" t="s">
        <v>327</v>
      </c>
      <c r="B153" s="1">
        <f>$B$121</f>
      </c>
    </row>
    <row r="154">
      <c r="A154" s="1" t="s">
        <v>348</v>
      </c>
      <c r="B154" s="1">
        <f>IFERROR($B$127/$B$45,0)</f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