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31E5D09F-E879-402D-A866-07917EEC67F6}" xr6:coauthVersionLast="47" xr6:coauthVersionMax="47" xr10:uidLastSave="{00000000-0000-0000-0000-000000000000}"/>
  <bookViews>
    <workbookView xWindow="0" yWindow="0" windowWidth="16384" windowHeight="8192" tabRatio="500" firstSheet="5" activeTab="5" xr2:uid="{00000000-000D-0000-FFFF-FFFF00000000}"/>
  </bookViews>
  <sheets>
    <sheet name="Setup" sheetId="1" r:id="rId1"/>
    <sheet name="Dashboard" sheetId="2" r:id="rId2"/>
    <sheet name="Insights" sheetId="3" r:id="rId3"/>
    <sheet name="Accounts" sheetId="4" r:id="rId4"/>
    <sheet name="Income Sources" sheetId="5" r:id="rId5"/>
    <sheet name="Assets" sheetId="6" r:id="rId6"/>
    <sheet name="Liabilities" sheetId="7" r:id="rId7"/>
    <sheet name="Recurring Commitments" sheetId="8" r:id="rId8"/>
    <sheet name="Transactions" sheetId="9" r:id="rId9"/>
    <sheet name="Goals" sheetId="10" r:id="rId10"/>
    <sheet name="Categories" sheetId="11" r:id="rId11"/>
    <sheet name="Lookup Data" sheetId="12" r:id="rId12"/>
    <sheet name="Helpers" sheetId="13" r:id="rId13"/>
    <sheet name="Business Engine" sheetId="14" r:id="rId14"/>
    <sheet name="Analysis Engine" sheetId="15" r:id="rId15"/>
    <sheet name="Settings" sheetId="16" r:id="rId16"/>
  </sheets>
  <definedNames>
    <definedName name="lstAccountNames">tblAccounts[Account Name]</definedName>
    <definedName name="lstAccountTypes">_xlfn.ANCHORARRAY(Helpers!$B$44)</definedName>
    <definedName name="lstAssetTypes">_xlfn.ANCHORARRAY(Helpers!$H$44)</definedName>
    <definedName name="lstBoolean">_xlfn.ANCHORARRAY(Helpers!$J$44)</definedName>
    <definedName name="lstCategoryNames">Categories!$B$2:$B$3</definedName>
    <definedName name="lstCategoryTypes">_xlfn.ANCHORARRAY(Helpers!$I$44)</definedName>
    <definedName name="lstCommitmentTypes">_xlfn.ANCHORARRAY(Helpers!$E$44)</definedName>
    <definedName name="lstDestinationTypes">_xlfn.ANCHORARRAY(Helpers!$G$44)</definedName>
    <definedName name="lstFrequencies">_xlfn.ANCHORARRAY(Helpers!$F$44)</definedName>
    <definedName name="lstGoalTypes">_xlfn.ANCHORARRAY(Helpers!$C$44)</definedName>
    <definedName name="lstLiabilityIDs">Liabilities!$A$2:$A$4</definedName>
    <definedName name="lstLiabilityNames">tblLiabilities[Liability Name]</definedName>
    <definedName name="lstLiabilityTypes">_xlfn.ANCHORARRAY(Helpers!$D$44)</definedName>
    <definedName name="lstTransactionTypes">'Lookup Data'!$C$2:$C$4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3" l="1" a="1"/>
  <c r="H5" i="13"/>
  <c r="G5" i="13" a="1"/>
  <c r="G5" i="13"/>
  <c r="E13" i="12"/>
  <c r="T90" i="13" a="1"/>
  <c r="T90" i="13"/>
  <c r="S90" i="13" a="1"/>
  <c r="S90" i="13"/>
  <c r="Q90" i="13" a="1"/>
  <c r="Q90" i="13"/>
  <c r="P90" i="13" a="1"/>
  <c r="P90" i="13"/>
  <c r="N90" i="13" a="1"/>
  <c r="N90" i="13"/>
  <c r="M90" i="13" a="1"/>
  <c r="M90" i="13"/>
  <c r="K90" i="13" a="1"/>
  <c r="K90" i="13"/>
  <c r="J90" i="13" a="1"/>
  <c r="J90" i="13"/>
  <c r="H90" i="13" a="1"/>
  <c r="H90" i="13"/>
  <c r="G90" i="13" a="1"/>
  <c r="G90" i="13"/>
  <c r="E90" i="13" a="1"/>
  <c r="E90" i="13"/>
  <c r="D90" i="13" a="1"/>
  <c r="D90" i="13"/>
  <c r="B90" i="13" a="1"/>
  <c r="B90" i="13"/>
  <c r="A90" i="13" a="1"/>
  <c r="A90" i="13"/>
  <c r="F5" i="13" a="1"/>
  <c r="F5" i="13"/>
  <c r="E5" i="13" a="1"/>
  <c r="E5" i="13"/>
  <c r="D5" i="13" a="1"/>
  <c r="D5" i="13"/>
  <c r="A25" i="14"/>
  <c r="A24" i="14"/>
  <c r="A23" i="14"/>
  <c r="A21" i="14"/>
  <c r="A20" i="14"/>
  <c r="A18" i="14"/>
  <c r="A17" i="14"/>
  <c r="A12" i="14"/>
  <c r="A11" i="14"/>
  <c r="B9" i="14"/>
  <c r="B8" i="14"/>
  <c r="B7" i="14"/>
  <c r="B6" i="14"/>
  <c r="B5" i="14"/>
  <c r="B4" i="14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5" i="12"/>
  <c r="E34" i="12"/>
  <c r="E33" i="12"/>
  <c r="E32" i="12"/>
  <c r="C32" i="12"/>
  <c r="E31" i="12"/>
  <c r="C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2" i="12"/>
  <c r="E11" i="12"/>
  <c r="E10" i="12"/>
  <c r="E9" i="12"/>
  <c r="E8" i="12"/>
  <c r="E7" i="12"/>
  <c r="E6" i="12"/>
  <c r="E5" i="12"/>
  <c r="E4" i="12"/>
  <c r="E3" i="12"/>
  <c r="E2" i="12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H3" i="10"/>
  <c r="H2" i="10"/>
  <c r="J4" i="8"/>
  <c r="J3" i="8"/>
  <c r="J2" i="8"/>
  <c r="I3" i="7"/>
  <c r="I2" i="7"/>
  <c r="G3" i="6"/>
  <c r="G2" i="6"/>
  <c r="G2" i="5"/>
  <c r="G7" i="4"/>
  <c r="F7" i="4"/>
  <c r="G6" i="4"/>
  <c r="F6" i="4"/>
  <c r="G5" i="4"/>
  <c r="F5" i="4"/>
  <c r="G4" i="4"/>
  <c r="F4" i="4"/>
  <c r="G3" i="4"/>
  <c r="F3" i="4"/>
  <c r="G2" i="4"/>
  <c r="F2" i="4"/>
  <c r="C5" i="13" a="1"/>
  <c r="C5" i="13"/>
  <c r="B5" i="13" a="1"/>
  <c r="B5" i="13"/>
  <c r="A5" i="13" a="1"/>
  <c r="A5" i="13"/>
  <c r="J44" i="13" l="1" a="1"/>
  <c r="J44" i="13" s="1"/>
  <c r="I44" i="13" a="1"/>
  <c r="I44" i="13" s="1"/>
  <c r="H44" i="13" a="1"/>
  <c r="H44" i="13" s="1"/>
  <c r="G44" i="13" a="1"/>
  <c r="G44" i="13" s="1"/>
  <c r="F44" i="13" a="1"/>
  <c r="F44" i="13" s="1"/>
  <c r="E44" i="13" a="1"/>
  <c r="E44" i="13" s="1"/>
  <c r="D44" i="13" a="1"/>
  <c r="D44" i="13" s="1"/>
  <c r="C44" i="13" a="1"/>
  <c r="C44" i="13" s="1"/>
  <c r="B44" i="13" a="1"/>
  <c r="B44" i="13" s="1"/>
  <c r="A44" i="13" a="1"/>
  <c r="A44" i="13" s="1"/>
  <c r="E4" i="14"/>
  <c r="D4" i="14"/>
  <c r="F4" i="14" s="1"/>
  <c r="E5" i="14"/>
  <c r="D5" i="14"/>
  <c r="F5" i="14" s="1"/>
  <c r="E6" i="14"/>
  <c r="D6" i="14"/>
  <c r="F6" i="14" s="1"/>
  <c r="E7" i="14"/>
  <c r="D7" i="14"/>
  <c r="F7" i="14" s="1"/>
  <c r="E8" i="14"/>
  <c r="D8" i="14"/>
  <c r="F8" i="14" s="1"/>
  <c r="E9" i="14"/>
  <c r="D9" i="14"/>
  <c r="F9" i="14" s="1"/>
  <c r="E11" i="14"/>
  <c r="D11" i="14"/>
  <c r="C11" i="14"/>
  <c r="B11" i="14"/>
  <c r="E12" i="14"/>
  <c r="D12" i="14"/>
  <c r="C12" i="14"/>
  <c r="B12" i="14"/>
  <c r="E17" i="14"/>
  <c r="D17" i="14"/>
  <c r="C17" i="14"/>
  <c r="F17" i="14" s="1"/>
  <c r="B17" i="14"/>
  <c r="E18" i="14"/>
  <c r="D18" i="14"/>
  <c r="C18" i="14"/>
  <c r="F18" i="14" s="1"/>
  <c r="B18" i="14"/>
  <c r="G23" i="14"/>
  <c r="F23" i="14"/>
  <c r="D23" i="14"/>
  <c r="C23" i="14"/>
  <c r="B23" i="14"/>
  <c r="G24" i="14"/>
  <c r="F24" i="14"/>
  <c r="D24" i="14"/>
  <c r="C24" i="14"/>
  <c r="B24" i="14"/>
  <c r="G25" i="14"/>
  <c r="F25" i="14"/>
  <c r="D25" i="14"/>
  <c r="C25" i="14"/>
  <c r="B25" i="14"/>
  <c r="E25" i="14" l="1"/>
  <c r="E24" i="14"/>
  <c r="E23" i="14"/>
  <c r="G18" i="14"/>
  <c r="G17" i="14"/>
  <c r="G12" i="14"/>
  <c r="F12" i="14"/>
  <c r="H12" i="14" s="1"/>
  <c r="G11" i="14"/>
  <c r="F11" i="14"/>
  <c r="H11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<sst xmlns="http://schemas.openxmlformats.org/spreadsheetml/2006/main" count="700" uniqueCount="437">
  <si>
    <t>Account ID</t>
  </si>
  <si>
    <t>Account Name</t>
  </si>
  <si>
    <t>Account Type</t>
  </si>
  <si>
    <t>Institution</t>
  </si>
  <si>
    <t>Opening Balance</t>
  </si>
  <si>
    <t>Include in Net Worth</t>
  </si>
  <si>
    <t>Active</t>
  </si>
  <si>
    <t>Description</t>
  </si>
  <si>
    <t>ACC001</t>
  </si>
  <si>
    <t>SBI Savings</t>
  </si>
  <si>
    <t>Savings Account</t>
  </si>
  <si>
    <t>State Bank of India</t>
  </si>
  <si>
    <t>Primary salary account</t>
  </si>
  <si>
    <t>ACC002</t>
  </si>
  <si>
    <t>Cash</t>
  </si>
  <si>
    <t>Daily cash</t>
  </si>
  <si>
    <t>ACC003</t>
  </si>
  <si>
    <t>HDFC Credit Card</t>
  </si>
  <si>
    <t>Credit Card</t>
  </si>
  <si>
    <t>HDFC Bank</t>
  </si>
  <si>
    <t>Primary spending credit card</t>
  </si>
  <si>
    <t>ACC004</t>
  </si>
  <si>
    <t>Emergency Fund Savings</t>
  </si>
  <si>
    <t>Emergency fund savings account</t>
  </si>
  <si>
    <t>ACC005</t>
  </si>
  <si>
    <t>Vacation Savings</t>
  </si>
  <si>
    <t>Vacation savings account</t>
  </si>
  <si>
    <t>ACC006</t>
  </si>
  <si>
    <t>Federal Bank Savings</t>
  </si>
  <si>
    <t>Federal Bank</t>
  </si>
  <si>
    <t>Secondary account</t>
  </si>
  <si>
    <t>Income Source ID</t>
  </si>
  <si>
    <t>Income Source Name</t>
  </si>
  <si>
    <t>Category</t>
  </si>
  <si>
    <t>Default Account</t>
  </si>
  <si>
    <t>Expected Amount</t>
  </si>
  <si>
    <t>Frequency</t>
  </si>
  <si>
    <t>INC001</t>
  </si>
  <si>
    <t>Monthly Salary</t>
  </si>
  <si>
    <t>Salary</t>
  </si>
  <si>
    <t>Monthly</t>
  </si>
  <si>
    <t>Monthly salary</t>
  </si>
  <si>
    <t>INC002</t>
  </si>
  <si>
    <t>Credit Card Cashback</t>
  </si>
  <si>
    <t>Cashback</t>
  </si>
  <si>
    <t>Cashback received from credit card rewards</t>
  </si>
  <si>
    <t>INC003</t>
  </si>
  <si>
    <t>Savings Interest</t>
  </si>
  <si>
    <t>Interest</t>
  </si>
  <si>
    <t>Interest earned on savings</t>
  </si>
  <si>
    <t>INC004</t>
  </si>
  <si>
    <t>Refund Received</t>
  </si>
  <si>
    <t>Refund</t>
  </si>
  <si>
    <t>Money refunded from a previous purchase or payment</t>
  </si>
  <si>
    <t>Asset ID</t>
  </si>
  <si>
    <t>Asset Name</t>
  </si>
  <si>
    <t>Asset Type</t>
  </si>
  <si>
    <t>Purchase Date</t>
  </si>
  <si>
    <t>Purchase Value</t>
  </si>
  <si>
    <t>Current Value</t>
  </si>
  <si>
    <t>AST001</t>
  </si>
  <si>
    <t>Gold</t>
  </si>
  <si>
    <t>Gold investment</t>
  </si>
  <si>
    <t>AST002</t>
  </si>
  <si>
    <t>Laptop</t>
  </si>
  <si>
    <t>Electronics</t>
  </si>
  <si>
    <t>Personal laptop</t>
  </si>
  <si>
    <t>Liability ID</t>
  </si>
  <si>
    <t>Liability Name</t>
  </si>
  <si>
    <t>Liability Type</t>
  </si>
  <si>
    <t>Original Amount</t>
  </si>
  <si>
    <t>Outstanding Balance</t>
  </si>
  <si>
    <t>Interest Rate (%)</t>
  </si>
  <si>
    <t>Start Date</t>
  </si>
  <si>
    <t>End Date</t>
  </si>
  <si>
    <t>LIA001</t>
  </si>
  <si>
    <t>Home Loan</t>
  </si>
  <si>
    <t>Housing loan</t>
  </si>
  <si>
    <t>LIA002</t>
  </si>
  <si>
    <t>Outstanding card balance</t>
  </si>
  <si>
    <t>Commitment ID</t>
  </si>
  <si>
    <t>Commitment Name</t>
  </si>
  <si>
    <t>Commitment Type</t>
  </si>
  <si>
    <t>Linked Liability</t>
  </si>
  <si>
    <t>Payment Account</t>
  </si>
  <si>
    <t>Payment Amount</t>
  </si>
  <si>
    <t>Due Day</t>
  </si>
  <si>
    <t>COM001</t>
  </si>
  <si>
    <t>Home Loan EMI</t>
  </si>
  <si>
    <t>Loan Repayment</t>
  </si>
  <si>
    <t>Monthly EMI</t>
  </si>
  <si>
    <t>COM002</t>
  </si>
  <si>
    <t>Netflix</t>
  </si>
  <si>
    <t>Subscription</t>
  </si>
  <si>
    <t>Netflix subscription</t>
  </si>
  <si>
    <t>COM003</t>
  </si>
  <si>
    <t>Mobile Bill</t>
  </si>
  <si>
    <t>Internet &amp; Mobile</t>
  </si>
  <si>
    <t>Yearly</t>
  </si>
  <si>
    <t>Mobile plan</t>
  </si>
  <si>
    <t>COM004</t>
  </si>
  <si>
    <t>Electricity Bill</t>
  </si>
  <si>
    <t>Utility Bill</t>
  </si>
  <si>
    <t>Monthly electricity bill</t>
  </si>
  <si>
    <t>Transaction ID</t>
  </si>
  <si>
    <t>Transaction Date</t>
  </si>
  <si>
    <t>Transaction Type</t>
  </si>
  <si>
    <t>Account</t>
  </si>
  <si>
    <t>Destination Type</t>
  </si>
  <si>
    <t>Destination</t>
  </si>
  <si>
    <t>Category ID</t>
  </si>
  <si>
    <t>Goal ID</t>
  </si>
  <si>
    <t>Recurring Commitment ID</t>
  </si>
  <si>
    <t>Amount</t>
  </si>
  <si>
    <t>Notes</t>
  </si>
  <si>
    <t>TXN0001</t>
  </si>
  <si>
    <t>Income</t>
  </si>
  <si>
    <t>TXN0002</t>
  </si>
  <si>
    <t>Expense</t>
  </si>
  <si>
    <t>EXP002</t>
  </si>
  <si>
    <t>Grocery shopping</t>
  </si>
  <si>
    <t>TXN0003</t>
  </si>
  <si>
    <t>EXP007</t>
  </si>
  <si>
    <t>Mobile recharge</t>
  </si>
  <si>
    <t>TXN0004</t>
  </si>
  <si>
    <t>EXP014</t>
  </si>
  <si>
    <t>Amazon purchase using credit card</t>
  </si>
  <si>
    <t>TXN0005</t>
  </si>
  <si>
    <t>Transfer</t>
  </si>
  <si>
    <t>GOAL001</t>
  </si>
  <si>
    <t>Emergency fund contribution</t>
  </si>
  <si>
    <t>TXN0006</t>
  </si>
  <si>
    <t>GOAL002</t>
  </si>
  <si>
    <t>Vacation savings</t>
  </si>
  <si>
    <t>TXN0007</t>
  </si>
  <si>
    <t>Cash withdrawn</t>
  </si>
  <si>
    <t>TXN0008</t>
  </si>
  <si>
    <t>EXP012</t>
  </si>
  <si>
    <t>Books purchase</t>
  </si>
  <si>
    <t>TXN0009</t>
  </si>
  <si>
    <t>EXP013</t>
  </si>
  <si>
    <t>TXN0010</t>
  </si>
  <si>
    <t>EXP006</t>
  </si>
  <si>
    <t>Electricity bill</t>
  </si>
  <si>
    <t>TXN0011</t>
  </si>
  <si>
    <t>EXP005</t>
  </si>
  <si>
    <t>Fuel</t>
  </si>
  <si>
    <t>TXN0012</t>
  </si>
  <si>
    <t>EXP003</t>
  </si>
  <si>
    <t>Restaurant</t>
  </si>
  <si>
    <t>TXN0013</t>
  </si>
  <si>
    <t>EXP010</t>
  </si>
  <si>
    <t>Haircut and grooming</t>
  </si>
  <si>
    <t>TXN0014</t>
  </si>
  <si>
    <t>Liability</t>
  </si>
  <si>
    <t>Home loan EMI</t>
  </si>
  <si>
    <t>TXN0015</t>
  </si>
  <si>
    <t>Credit card cashback</t>
  </si>
  <si>
    <t>TXN0016</t>
  </si>
  <si>
    <t>Savings interest</t>
  </si>
  <si>
    <t>TXN0017</t>
  </si>
  <si>
    <t>Credit card payment</t>
  </si>
  <si>
    <t>TXN0018</t>
  </si>
  <si>
    <t>EXP015</t>
  </si>
  <si>
    <t>Flight booking</t>
  </si>
  <si>
    <t>TXN0019</t>
  </si>
  <si>
    <t>EXP011</t>
  </si>
  <si>
    <t>Household items</t>
  </si>
  <si>
    <t>TXN0020</t>
  </si>
  <si>
    <t>Product refund</t>
  </si>
  <si>
    <t>Goal Name</t>
  </si>
  <si>
    <t>Goal Type</t>
  </si>
  <si>
    <t>Target Amount</t>
  </si>
  <si>
    <t>Current Savings</t>
  </si>
  <si>
    <t>Target Date</t>
  </si>
  <si>
    <t>Linked Account</t>
  </si>
  <si>
    <t>Emergency Fund</t>
  </si>
  <si>
    <t>Six-month emergency fund</t>
  </si>
  <si>
    <t>Japan Trip</t>
  </si>
  <si>
    <t>Vacation</t>
  </si>
  <si>
    <t>Category Name</t>
  </si>
  <si>
    <t>Category Type</t>
  </si>
  <si>
    <t>Display Order</t>
  </si>
  <si>
    <t>Primary salary income</t>
  </si>
  <si>
    <t>Bonus</t>
  </si>
  <si>
    <t>Bonus income</t>
  </si>
  <si>
    <t>Freelance</t>
  </si>
  <si>
    <t>Freelance work</t>
  </si>
  <si>
    <t>Business Income</t>
  </si>
  <si>
    <t>Business earnings</t>
  </si>
  <si>
    <t>INC005</t>
  </si>
  <si>
    <t>Rental Income</t>
  </si>
  <si>
    <t>Rental income</t>
  </si>
  <si>
    <t>INC006</t>
  </si>
  <si>
    <t>Interest earned</t>
  </si>
  <si>
    <t>INC007</t>
  </si>
  <si>
    <t>Cashback received</t>
  </si>
  <si>
    <t>INC008</t>
  </si>
  <si>
    <t>Money refunded</t>
  </si>
  <si>
    <t>INC009</t>
  </si>
  <si>
    <t>Other Income</t>
  </si>
  <si>
    <t>Miscellaneous income</t>
  </si>
  <si>
    <t>EXP001</t>
  </si>
  <si>
    <t>Housing</t>
  </si>
  <si>
    <t>Rent or housing costs</t>
  </si>
  <si>
    <t>Groceries</t>
  </si>
  <si>
    <t>Food &amp; Dining</t>
  </si>
  <si>
    <t>Restaurants and dining</t>
  </si>
  <si>
    <t>EXP004</t>
  </si>
  <si>
    <t>Transportation</t>
  </si>
  <si>
    <t>Public transport</t>
  </si>
  <si>
    <t>Vehicle fuel</t>
  </si>
  <si>
    <t>Utilities</t>
  </si>
  <si>
    <t>Electricity, water, gas</t>
  </si>
  <si>
    <t>Phone and internet</t>
  </si>
  <si>
    <t>EXP008</t>
  </si>
  <si>
    <t>Healthcare</t>
  </si>
  <si>
    <t>Medical expenses</t>
  </si>
  <si>
    <t>EXP009</t>
  </si>
  <si>
    <t>Insurance</t>
  </si>
  <si>
    <t>Insurance payments</t>
  </si>
  <si>
    <t>Personal Care</t>
  </si>
  <si>
    <t>Grooming and personal care</t>
  </si>
  <si>
    <t>Household</t>
  </si>
  <si>
    <t>Education</t>
  </si>
  <si>
    <t>Education expenses</t>
  </si>
  <si>
    <t>Entertainment</t>
  </si>
  <si>
    <t>Movies, games, hobbies</t>
  </si>
  <si>
    <t>Shopping</t>
  </si>
  <si>
    <t>General shopping</t>
  </si>
  <si>
    <t>Travel</t>
  </si>
  <si>
    <t>Travel expenses</t>
  </si>
  <si>
    <t>EXP016</t>
  </si>
  <si>
    <t>Borrowing Costs</t>
  </si>
  <si>
    <t>Loan and debt payments</t>
  </si>
  <si>
    <t>EXP017</t>
  </si>
  <si>
    <t>Gifts &amp; Donations</t>
  </si>
  <si>
    <t>Gifts and charity</t>
  </si>
  <si>
    <t>EXP018</t>
  </si>
  <si>
    <t>Taxes</t>
  </si>
  <si>
    <t>Tax payments</t>
  </si>
  <si>
    <t>EXP019</t>
  </si>
  <si>
    <t>Miscellaneous</t>
  </si>
  <si>
    <t>Other expenses</t>
  </si>
  <si>
    <t>Lookup Type</t>
  </si>
  <si>
    <t>Lookup Code</t>
  </si>
  <si>
    <t>Display Name</t>
  </si>
  <si>
    <t>TT001</t>
  </si>
  <si>
    <t>Money received</t>
  </si>
  <si>
    <t>TT002</t>
  </si>
  <si>
    <t>Money spent</t>
  </si>
  <si>
    <t>TT003</t>
  </si>
  <si>
    <t>Money moved between accounts</t>
  </si>
  <si>
    <t>AT001</t>
  </si>
  <si>
    <t>Standard savings account</t>
  </si>
  <si>
    <t>AT002</t>
  </si>
  <si>
    <t>Current Account</t>
  </si>
  <si>
    <t>Current/checking account</t>
  </si>
  <si>
    <t>AT003</t>
  </si>
  <si>
    <t>Physical cash</t>
  </si>
  <si>
    <t>AT005</t>
  </si>
  <si>
    <t>Credit card account</t>
  </si>
  <si>
    <t>GT001</t>
  </si>
  <si>
    <t>Build emergency savings</t>
  </si>
  <si>
    <t>GT002</t>
  </si>
  <si>
    <t>Vehicle</t>
  </si>
  <si>
    <t>Purchase a vehicle</t>
  </si>
  <si>
    <t>GT003</t>
  </si>
  <si>
    <t>Home</t>
  </si>
  <si>
    <t>Purchase a home</t>
  </si>
  <si>
    <t>GT004</t>
  </si>
  <si>
    <t>Travel savings goal</t>
  </si>
  <si>
    <t>GT005</t>
  </si>
  <si>
    <t>Education funding</t>
  </si>
  <si>
    <t>GT006</t>
  </si>
  <si>
    <t>Retirement</t>
  </si>
  <si>
    <t>Retirement savings</t>
  </si>
  <si>
    <t>GT007</t>
  </si>
  <si>
    <t>Other</t>
  </si>
  <si>
    <t>Custom goal</t>
  </si>
  <si>
    <t>LT001</t>
  </si>
  <si>
    <t>LT002</t>
  </si>
  <si>
    <t>Personal Loan</t>
  </si>
  <si>
    <t>Personal borrowing</t>
  </si>
  <si>
    <t>LT003</t>
  </si>
  <si>
    <t>Vehicle Loan</t>
  </si>
  <si>
    <t>Vehicle financing</t>
  </si>
  <si>
    <t>LT004</t>
  </si>
  <si>
    <t>Credit card debt</t>
  </si>
  <si>
    <t>LT005</t>
  </si>
  <si>
    <t>Chit</t>
  </si>
  <si>
    <t>Chit fund obligation</t>
  </si>
  <si>
    <t>LT006</t>
  </si>
  <si>
    <t>Personal Borrowing</t>
  </si>
  <si>
    <t>Informal borrowing</t>
  </si>
  <si>
    <t>LT007</t>
  </si>
  <si>
    <t>Other liabilities</t>
  </si>
  <si>
    <t>Recurring Commitment Type</t>
  </si>
  <si>
    <t>RCT001</t>
  </si>
  <si>
    <t>Insurance premium</t>
  </si>
  <si>
    <t>RCT002</t>
  </si>
  <si>
    <t>Digital subscription</t>
  </si>
  <si>
    <t>RCT003</t>
  </si>
  <si>
    <t>RCT004</t>
  </si>
  <si>
    <t>Internet and mobile services</t>
  </si>
  <si>
    <t>RCT005</t>
  </si>
  <si>
    <t>Membership</t>
  </si>
  <si>
    <t>Club or gym membership</t>
  </si>
  <si>
    <t>RCT006</t>
  </si>
  <si>
    <t>Rent</t>
  </si>
  <si>
    <t>Monthly rent</t>
  </si>
  <si>
    <t>RCT007</t>
  </si>
  <si>
    <t>Scheduled repayment of a loan or borrowing</t>
  </si>
  <si>
    <t>RCT008</t>
  </si>
  <si>
    <t>Other recurring commitment</t>
  </si>
  <si>
    <t>Boolean</t>
  </si>
  <si>
    <t>BOOL001</t>
  </si>
  <si>
    <t>Yes / Enabled</t>
  </si>
  <si>
    <t>BOOL002</t>
  </si>
  <si>
    <t>No / Disabled</t>
  </si>
  <si>
    <t>FR001</t>
  </si>
  <si>
    <t>Weekly</t>
  </si>
  <si>
    <t>Occurs every week</t>
  </si>
  <si>
    <t>FR002</t>
  </si>
  <si>
    <t>Fortnightly</t>
  </si>
  <si>
    <t>Occurs every two weeks</t>
  </si>
  <si>
    <t>FR003</t>
  </si>
  <si>
    <t>Occurs every month</t>
  </si>
  <si>
    <t>FR007</t>
  </si>
  <si>
    <t>Every 2 Months</t>
  </si>
  <si>
    <t>Occurs every two months</t>
  </si>
  <si>
    <t>FR004</t>
  </si>
  <si>
    <t>Quarterly</t>
  </si>
  <si>
    <t>Occurs every three months</t>
  </si>
  <si>
    <t>FR005</t>
  </si>
  <si>
    <t>Half-Yearly</t>
  </si>
  <si>
    <t>Occurs every six months</t>
  </si>
  <si>
    <t>FR006</t>
  </si>
  <si>
    <t>Occurs once every year</t>
  </si>
  <si>
    <t>DT001</t>
  </si>
  <si>
    <t>Money transferred to another account</t>
  </si>
  <si>
    <t>DT002</t>
  </si>
  <si>
    <t>Money used to pay a liability</t>
  </si>
  <si>
    <t>ATS001</t>
  </si>
  <si>
    <t>Precious metals</t>
  </si>
  <si>
    <t>ATS002</t>
  </si>
  <si>
    <t>Cars, bikes, etc.</t>
  </si>
  <si>
    <t>ATS003</t>
  </si>
  <si>
    <t>Laptop, phone, TV</t>
  </si>
  <si>
    <t>ATS004</t>
  </si>
  <si>
    <t>Property</t>
  </si>
  <si>
    <t>Land or buildings</t>
  </si>
  <si>
    <t>ATS005</t>
  </si>
  <si>
    <t>Investment Asset</t>
  </si>
  <si>
    <t>Physical investment assets</t>
  </si>
  <si>
    <t>ATS006</t>
  </si>
  <si>
    <t>Furniture</t>
  </si>
  <si>
    <t>Household furniture</t>
  </si>
  <si>
    <t>ATS007</t>
  </si>
  <si>
    <t>Other physical assets</t>
  </si>
  <si>
    <t>CT001</t>
  </si>
  <si>
    <t>Income category</t>
  </si>
  <si>
    <t>CT002</t>
  </si>
  <si>
    <t>Expense category</t>
  </si>
  <si>
    <t>FINANCEOS HELPERS ENGINE</t>
  </si>
  <si>
    <t>SECTION 1 - DYNAMIC VALIDATION LISTS</t>
  </si>
  <si>
    <t>Account Validation</t>
  </si>
  <si>
    <t>Liability Validation</t>
  </si>
  <si>
    <t>Goal Validation</t>
  </si>
  <si>
    <t>Income Source Validation</t>
  </si>
  <si>
    <t>Expense Category Validation</t>
  </si>
  <si>
    <t>Income Category Validation</t>
  </si>
  <si>
    <t>Asset Validation</t>
  </si>
  <si>
    <t>Commitment Validation</t>
  </si>
  <si>
    <t>SECTION 2 - SYSTEM DATASETS</t>
  </si>
  <si>
    <t>Transaction Types</t>
  </si>
  <si>
    <t>Account Types</t>
  </si>
  <si>
    <t>Goal Types</t>
  </si>
  <si>
    <t>Liability Types</t>
  </si>
  <si>
    <t>Commitment Types</t>
  </si>
  <si>
    <t>Frequencies</t>
  </si>
  <si>
    <t>Destination Types</t>
  </si>
  <si>
    <t>Asset Types</t>
  </si>
  <si>
    <t>Category Types</t>
  </si>
  <si>
    <t>SECTION 3 - LOOKUP MAPS</t>
  </si>
  <si>
    <t>Account Name → Account ID</t>
  </si>
  <si>
    <t>Liability Name → Liability ID</t>
  </si>
  <si>
    <t>Goal Name → Goal ID</t>
  </si>
  <si>
    <t>Income Source Name → Income Source ID</t>
  </si>
  <si>
    <t>Asset Name → Asset ID</t>
  </si>
  <si>
    <t>Commitment Name → Commitment ID</t>
  </si>
  <si>
    <t>Category Name → Category ID</t>
  </si>
  <si>
    <t>SECTION 4 - TEMPORARY CALCULATION AREA</t>
  </si>
  <si>
    <t>Account Balance Engine</t>
  </si>
  <si>
    <t>Money In</t>
  </si>
  <si>
    <t>Money Out</t>
  </si>
  <si>
    <t>Current Balance</t>
  </si>
  <si>
    <t>Status</t>
  </si>
  <si>
    <t>Starting Outstanding</t>
  </si>
  <si>
    <t>Payments Since FinanceOS</t>
  </si>
  <si>
    <t>Current Outstanding</t>
  </si>
  <si>
    <t>Progress %</t>
  </si>
  <si>
    <t>Saved Since FinanceOS</t>
  </si>
  <si>
    <t>Current Saved</t>
  </si>
  <si>
    <t>Progress</t>
  </si>
  <si>
    <t>Current Amount</t>
  </si>
  <si>
    <t>Monthly Equivalent</t>
  </si>
  <si>
    <t>Linked Liability ID</t>
  </si>
  <si>
    <t>Setting ID</t>
  </si>
  <si>
    <t>Setting Name</t>
  </si>
  <si>
    <t>Value</t>
  </si>
  <si>
    <t>USER_NAME</t>
  </si>
  <si>
    <t>User Name</t>
  </si>
  <si>
    <t>Muhammed</t>
  </si>
  <si>
    <t>Display name of the user</t>
  </si>
  <si>
    <t>CURRENCY</t>
  </si>
  <si>
    <t>Currency</t>
  </si>
  <si>
    <t>INR</t>
  </si>
  <si>
    <t>Primary currency used throughout FinanceOS</t>
  </si>
  <si>
    <t>FY_START_MONTH</t>
  </si>
  <si>
    <t>Financial Year Start Month</t>
  </si>
  <si>
    <t>April</t>
  </si>
  <si>
    <t>First month of the financial year</t>
  </si>
  <si>
    <t>SALARY_FREQUENCY</t>
  </si>
  <si>
    <t>Salary Frequency</t>
  </si>
  <si>
    <t>Frequency of primary salary income</t>
  </si>
  <si>
    <t>TRACKING_START</t>
  </si>
  <si>
    <t>Tracking Start Month</t>
  </si>
  <si>
    <t>Month from which FinanceOS begins tracking</t>
  </si>
  <si>
    <t>WORKBOOK_VERSION</t>
  </si>
  <si>
    <t>Workbook Version</t>
  </si>
  <si>
    <t>1.0.0</t>
  </si>
  <si>
    <t>Current FinanceOS workbook version</t>
  </si>
  <si>
    <t>PRODUCT_NAME</t>
  </si>
  <si>
    <t>Product Name</t>
  </si>
  <si>
    <t>FinanceOS</t>
  </si>
  <si>
    <t>Internal product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</si>
</sst>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theme="1"/>
      <name val="Calibri"/>
      <charset val="1"/>
    </font>
    <font>
      <sz val="10"/>
      <color theme="1"/>
      <name val="Arial Unicode M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64" fontId="0" fillId="0" borderId="0" xfId="0" applyNumberFormat="1"/>
    <xf numFmtId="0" fontId="7" fillId="0" borderId="0" xfId="0" applyFont="1" applyAlignment="1">
      <alignment vertical="center" wrapText="1"/>
    </xf>
    <xf numFmtId="17" fontId="0" fillId="0" borderId="0" xfId="0" applyNumberFormat="1" applyAlignment="1">
      <alignment horizontal="left"/>
    </xf>
    <xf numFmtId="0" fontId="0" fillId="0" borderId="0" xfId="0"/>
    <xf numFmtId="15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ccounts" displayName="tblAccounts" ref="A1:H30" totalsRowShown="0">
  <autoFilter ref="A1:H30" xr:uid="{00000000-0009-0000-0100-000001000000}"/>
  <tableColumns count="8">
    <tableColumn id="1" xr3:uid="{00000000-0010-0000-0000-000001000000}" name="Account ID"/>
    <tableColumn id="2" xr3:uid="{00000000-0010-0000-0000-000002000000}" name="Account Name"/>
    <tableColumn id="3" xr3:uid="{00000000-0010-0000-0000-000003000000}" name="Account Type"/>
    <tableColumn id="4" xr3:uid="{00000000-0010-0000-0000-000004000000}" name="Institution"/>
    <tableColumn id="5" xr3:uid="{00000000-0010-0000-0000-000005000000}" name="Opening Balance"/>
    <tableColumn id="6" xr3:uid="{00000000-0010-0000-0000-000006000000}" name="Include in Net Worth"/>
    <tableColumn id="7" xr3:uid="{00000000-0010-0000-0000-000007000000}" name="Active"/>
    <tableColumn id="8" xr3:uid="{00000000-0010-0000-0000-000008000000}" name="Descript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comeSources" displayName="tblIncomeSources" ref="A1:H9" totalsRowShown="0">
  <autoFilter ref="A1:H9" xr:uid="{00000000-0009-0000-0100-000002000000}"/>
  <tableColumns count="8">
    <tableColumn id="1" xr3:uid="{00000000-0010-0000-0100-000001000000}" name="Income Source ID"/>
    <tableColumn id="2" xr3:uid="{00000000-0010-0000-0100-000002000000}" name="Income Source Name"/>
    <tableColumn id="3" xr3:uid="{00000000-0010-0000-0100-000003000000}" name="Category"/>
    <tableColumn id="4" xr3:uid="{00000000-0010-0000-0100-000004000000}" name="Default Account"/>
    <tableColumn id="5" xr3:uid="{00000000-0010-0000-0100-000005000000}" name="Expected Amount"/>
    <tableColumn id="6" xr3:uid="{00000000-0010-0000-0100-000006000000}" name="Frequency"/>
    <tableColumn id="7" xr3:uid="{00000000-0010-0000-0100-000007000000}" name="Active"/>
    <tableColumn id="8" xr3:uid="{00000000-0010-0000-0100-000008000000}" name="Descrip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ssets" displayName="tblAssets" ref="A1:H4" totalsRowShown="0">
  <autoFilter ref="A1:H4" xr:uid="{00000000-0009-0000-0100-000003000000}"/>
  <tableColumns count="8">
    <tableColumn id="1" xr3:uid="{00000000-0010-0000-0200-000001000000}" name="Asset ID"/>
    <tableColumn id="2" xr3:uid="{00000000-0010-0000-0200-000002000000}" name="Asset Name"/>
    <tableColumn id="3" xr3:uid="{00000000-0010-0000-0200-000003000000}" name="Asset Type"/>
    <tableColumn id="4" xr3:uid="{00000000-0010-0000-0200-000004000000}" name="Purchase Date"/>
    <tableColumn id="5" xr3:uid="{00000000-0010-0000-0200-000005000000}" name="Purchase Value"/>
    <tableColumn id="6" xr3:uid="{00000000-0010-0000-0200-000006000000}" name="Current Value"/>
    <tableColumn id="7" xr3:uid="{00000000-0010-0000-0200-000007000000}" name="Active"/>
    <tableColumn id="8" xr3:uid="{00000000-0010-0000-0200-000008000000}" name="Descript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Liabilities" displayName="tblLiabilities" ref="A1:J4" totalsRowShown="0">
  <autoFilter ref="A1:J4" xr:uid="{00000000-0009-0000-0100-000004000000}"/>
  <tableColumns count="10">
    <tableColumn id="1" xr3:uid="{00000000-0010-0000-0300-000001000000}" name="Liability ID"/>
    <tableColumn id="2" xr3:uid="{00000000-0010-0000-0300-000002000000}" name="Liability Name"/>
    <tableColumn id="3" xr3:uid="{00000000-0010-0000-0300-000003000000}" name="Liability Type"/>
    <tableColumn id="4" xr3:uid="{00000000-0010-0000-0300-000004000000}" name="Original Amount"/>
    <tableColumn id="5" xr3:uid="{00000000-0010-0000-0300-000005000000}" name="Outstanding Balance"/>
    <tableColumn id="6" xr3:uid="{00000000-0010-0000-0300-000006000000}" name="Interest Rate (%)"/>
    <tableColumn id="7" xr3:uid="{00000000-0010-0000-0300-000007000000}" name="Start Date"/>
    <tableColumn id="8" xr3:uid="{00000000-0010-0000-0300-000008000000}" name="End Date"/>
    <tableColumn id="9" xr3:uid="{00000000-0010-0000-0300-000009000000}" name="Active"/>
    <tableColumn id="10" xr3:uid="{00000000-0010-0000-0300-00000A000000}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curringCommitments" displayName="tblRecurringCommitments" ref="A1:K6" totalsRowShown="0">
  <autoFilter ref="A1:K6" xr:uid="{00000000-0009-0000-0100-000005000000}"/>
  <tableColumns count="11">
    <tableColumn id="1" xr3:uid="{00000000-0010-0000-0400-000001000000}" name="Commitment ID"/>
    <tableColumn id="2" xr3:uid="{00000000-0010-0000-0400-000002000000}" name="Commitment Name"/>
    <tableColumn id="3" xr3:uid="{00000000-0010-0000-0400-000003000000}" name="Commitment Type"/>
    <tableColumn id="4" xr3:uid="{00000000-0010-0000-0400-000004000000}" name="Linked Liability"/>
    <tableColumn id="5" xr3:uid="{00000000-0010-0000-0400-000005000000}" name="Payment Account"/>
    <tableColumn id="6" xr3:uid="{00000000-0010-0000-0400-000006000000}" name="Payment Amount"/>
    <tableColumn id="7" xr3:uid="{00000000-0010-0000-0400-000007000000}" name="Frequency"/>
    <tableColumn id="8" xr3:uid="{00000000-0010-0000-0400-000008000000}" name="Due Day"/>
    <tableColumn id="9" xr3:uid="{00000000-0010-0000-0400-000009000000}" name="Start Date"/>
    <tableColumn id="10" xr3:uid="{00000000-0010-0000-0400-00000A000000}" name="Active"/>
    <tableColumn id="11" xr3:uid="{00000000-0010-0000-0400-00000B000000}" name="Descripti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ransactions" displayName="tblTransactions" ref="A1:M21" totalsRowShown="0">
  <autoFilter ref="A1:M21" xr:uid="{00000000-0009-0000-0100-000006000000}"/>
  <tableColumns count="13">
    <tableColumn id="1" xr3:uid="{00000000-0010-0000-0500-000001000000}" name="Transaction ID"/>
    <tableColumn id="2" xr3:uid="{00000000-0010-0000-0500-000002000000}" name="Transaction Date"/>
    <tableColumn id="3" xr3:uid="{00000000-0010-0000-0500-000003000000}" name="Transaction Type"/>
    <tableColumn id="4" xr3:uid="{00000000-0010-0000-0500-000004000000}" name="Account"/>
    <tableColumn id="5" xr3:uid="{00000000-0010-0000-0500-000005000000}" name="Destination Type"/>
    <tableColumn id="6" xr3:uid="{00000000-0010-0000-0500-000006000000}" name="Destination"/>
    <tableColumn id="7" xr3:uid="{00000000-0010-0000-0500-000007000000}" name="Income Source ID"/>
    <tableColumn id="8" xr3:uid="{00000000-0010-0000-0500-000008000000}" name="Category ID"/>
    <tableColumn id="9" xr3:uid="{00000000-0010-0000-0500-000009000000}" name="Liability ID"/>
    <tableColumn id="10" xr3:uid="{00000000-0010-0000-0500-00000A000000}" name="Goal ID"/>
    <tableColumn id="11" xr3:uid="{00000000-0010-0000-0500-00000B000000}" name="Recurring Commitment ID"/>
    <tableColumn id="12" xr3:uid="{00000000-0010-0000-0500-00000C000000}" name="Amount"/>
    <tableColumn id="13" xr3:uid="{00000000-0010-0000-0500-00000D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Goals" displayName="tblGoals" ref="A1:I4" totalsRowShown="0">
  <autoFilter ref="A1:I4" xr:uid="{00000000-0009-0000-0100-000007000000}"/>
  <tableColumns count="9">
    <tableColumn id="1" xr3:uid="{00000000-0010-0000-0600-000001000000}" name="Goal ID"/>
    <tableColumn id="2" xr3:uid="{00000000-0010-0000-0600-000002000000}" name="Goal Name"/>
    <tableColumn id="3" xr3:uid="{00000000-0010-0000-0600-000003000000}" name="Goal Type"/>
    <tableColumn id="4" xr3:uid="{00000000-0010-0000-0600-000004000000}" name="Target Amount"/>
    <tableColumn id="5" xr3:uid="{00000000-0010-0000-0600-000005000000}" name="Current Savings"/>
    <tableColumn id="6" xr3:uid="{00000000-0010-0000-0600-000006000000}" name="Target Date"/>
    <tableColumn id="7" xr3:uid="{00000000-0010-0000-0600-000007000000}" name="Linked Account"/>
    <tableColumn id="8" xr3:uid="{00000000-0010-0000-0600-000008000000}" name="Active"/>
    <tableColumn id="9" xr3:uid="{00000000-0010-0000-0600-000009000000}" name="Description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Categories" displayName="tblCategories" ref="A1:F33" totalsRowShown="0">
  <autoFilter ref="A1:F33" xr:uid="{00000000-0009-0000-0100-000008000000}"/>
  <tableColumns count="6">
    <tableColumn id="1" xr3:uid="{00000000-0010-0000-0700-000001000000}" name="Category ID"/>
    <tableColumn id="2" xr3:uid="{00000000-0010-0000-0700-000002000000}" name="Category Name"/>
    <tableColumn id="3" xr3:uid="{00000000-0010-0000-0700-000003000000}" name="Category Type"/>
    <tableColumn id="4" xr3:uid="{00000000-0010-0000-0700-000004000000}" name="Display Order"/>
    <tableColumn id="5" xr3:uid="{00000000-0010-0000-0700-000005000000}" name="Active"/>
    <tableColumn id="6" xr3:uid="{00000000-0010-0000-0700-000006000000}" name="Descript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LookupData" displayName="tblLookupData" ref="A1:F55" totalsRowShown="0">
  <autoFilter ref="A1:F55" xr:uid="{00000000-0009-0000-0100-000009000000}"/>
  <tableColumns count="6">
    <tableColumn id="1" xr3:uid="{00000000-0010-0000-0800-000001000000}" name="Lookup Type"/>
    <tableColumn id="2" xr3:uid="{00000000-0010-0000-0800-000002000000}" name="Lookup Code"/>
    <tableColumn id="3" xr3:uid="{00000000-0010-0000-0800-000003000000}" name="Display Name"/>
    <tableColumn id="4" xr3:uid="{00000000-0010-0000-0800-000004000000}" name="Display Order"/>
    <tableColumn id="5" xr3:uid="{00000000-0010-0000-0800-000005000000}" name="Active"/>
    <tableColumn id="6" xr3:uid="{00000000-0010-0000-0800-000006000000}" name="Description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BusinessAccounts" displayName="tblBusinessAccounts" ref="A3:G9" totalsRowShown="0">
  <autoFilter ref="A3:G9" xr:uid="{00000000-0009-0000-0100-00000A000000}"/>
  <tableColumns count="7">
    <tableColumn id="1" xr3:uid="{00000000-0010-0000-0900-000001000000}" name="Account ID"/>
    <tableColumn id="2" xr3:uid="{00000000-0010-0000-0900-000002000000}" name="Account Name"/>
    <tableColumn id="3" xr3:uid="{00000000-0010-0000-0900-000003000000}" name="Opening Balance"/>
    <tableColumn id="4" xr3:uid="{00000000-0010-0000-0900-000004000000}" name="Money In"/>
    <tableColumn id="5" xr3:uid="{00000000-0010-0000-0900-000005000000}" name="Money Out"/>
    <tableColumn id="6" xr3:uid="{00000000-0010-0000-0900-000006000000}" name="Current Balance"/>
    <tableColumn id="7" xr3:uid="{00000000-0010-0000-0900-000007000000}" name="Statu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BusinessGoals" displayName="tblBusinessGoals" ref="A16:G18" totalsRowShown="0">
  <autoFilter ref="A16:G18" xr:uid="{00000000-0009-0000-0100-00000B000000}"/>
  <tableColumns count="7">
    <tableColumn id="1" xr3:uid="{00000000-0010-0000-0A00-000001000000}" name="Goal ID"/>
    <tableColumn id="2" xr3:uid="{00000000-0010-0000-0A00-000002000000}" name="Goal Name"/>
    <tableColumn id="3" xr3:uid="{00000000-0010-0000-0A00-000003000000}" name="Target Amount"/>
    <tableColumn id="4" xr3:uid="{00000000-0010-0000-0A00-000004000000}" name="Saved Since FinanceOS"/>
    <tableColumn id="5" xr3:uid="{00000000-0010-0000-0A00-000005000000}" name="Current Saved"/>
    <tableColumn id="6" xr3:uid="{00000000-0010-0000-0A00-000006000000}" name="Progress"/>
    <tableColumn id="7" xr3:uid="{00000000-0010-0000-0A00-000007000000}" name="Statu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BusinessLiabilities" displayName="tblBusinessLiabilities" ref="A10:H12" totalsRowShown="0">
  <autoFilter ref="A10:H12" xr:uid="{00000000-0009-0000-0100-00000C000000}"/>
  <tableColumns count="8">
    <tableColumn id="1" xr3:uid="{00000000-0010-0000-0B00-000001000000}" name="Liability ID"/>
    <tableColumn id="2" xr3:uid="{00000000-0010-0000-0B00-000002000000}" name="Liability Name"/>
    <tableColumn id="3" xr3:uid="{00000000-0010-0000-0B00-000003000000}" name="Original Amount"/>
    <tableColumn id="4" xr3:uid="{00000000-0010-0000-0B00-000004000000}" name="Starting Outstanding"/>
    <tableColumn id="5" xr3:uid="{00000000-0010-0000-0B00-000005000000}" name="Payments Since FinanceOS"/>
    <tableColumn id="6" xr3:uid="{00000000-0010-0000-0B00-000006000000}" name="Current Outstanding"/>
    <tableColumn id="7" xr3:uid="{00000000-0010-0000-0B00-000007000000}" name="Progress %"/>
    <tableColumn id="8" xr3:uid="{00000000-0010-0000-0B00-000008000000}" name="Statu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BusinessRecurringCommitments" displayName="tblBusinessRecurringCommitments" ref="A22:G25" totalsRowShown="0">
  <autoFilter ref="A22:G25" xr:uid="{00000000-0009-0000-0100-00000D000000}"/>
  <tableColumns count="7">
    <tableColumn id="1" xr3:uid="{00000000-0010-0000-0C00-000001000000}" name="Commitment ID"/>
    <tableColumn id="2" xr3:uid="{00000000-0010-0000-0C00-000002000000}" name="Commitment Name"/>
    <tableColumn id="3" xr3:uid="{00000000-0010-0000-0C00-000003000000}" name="Current Amount"/>
    <tableColumn id="4" xr3:uid="{00000000-0010-0000-0C00-000004000000}" name="Frequency"/>
    <tableColumn id="5" xr3:uid="{00000000-0010-0000-0C00-000005000000}" name="Monthly Equivalent"/>
    <tableColumn id="6" xr3:uid="{00000000-0010-0000-0C00-000006000000}" name="Linked Liability ID"/>
    <tableColumn id="7" xr3:uid="{00000000-0010-0000-0C00-000007000000}" name="Status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Settings" displayName="tblSettings" ref="A1:D8" totalsRowShown="0">
  <autoFilter ref="A1:D8" xr:uid="{00000000-0009-0000-0100-00000E000000}"/>
  <tableColumns count="4">
    <tableColumn id="1" xr3:uid="{00000000-0010-0000-0D00-000001000000}" name="Setting ID"/>
    <tableColumn id="2" xr3:uid="{00000000-0010-0000-0D00-000002000000}" name="Setting Name"/>
    <tableColumn id="3" xr3:uid="{00000000-0010-0000-0D00-000003000000}" name="Value"/>
    <tableColumn id="4" xr3:uid="{00000000-0010-0000-0D00-000004000000}" name="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zoomScale="74" zoomScaleNormal="74" workbookViewId="0">
      <selection activeCell="G7" sqref="G7"/>
    </sheetView>
  </sheetViews>
  <sheetFormatPr defaultColWidth="8.7109375" defaultRowHeight="15"/>
  <cols>
    <col min="1" max="1" width="12.5703125" style="21" customWidth="1"/>
    <col min="2" max="2" width="29.7109375" style="21" customWidth="1"/>
    <col min="3" max="3" width="18.85546875" style="21" customWidth="1"/>
    <col min="4" max="5" width="18" style="21" customWidth="1"/>
    <col min="6" max="6" width="21.7109375" style="21" customWidth="1"/>
    <col min="8" max="8" width="30.7109375" style="21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1" t="s">
        <v>8</v>
      </c>
      <c r="B2" s="1" t="s">
        <v>9</v>
      </c>
      <c r="C2" s="1" t="s">
        <v>10</v>
      </c>
      <c r="D2" s="1" t="s">
        <v>11</v>
      </c>
      <c r="E2" s="2">
        <v>35000</v>
      </c>
      <c r="F2" s="1" t="b">
        <f>TRUE()</f>
        <v>1</v>
      </c>
      <c r="G2" s="1" t="b">
        <f>TRUE()</f>
        <v>1</v>
      </c>
      <c r="H2" s="1" t="s">
        <v>12</v>
      </c>
    </row>
    <row r="3" spans="1:8" ht="14.25" customHeight="1">
      <c r="A3" s="1" t="s">
        <v>13</v>
      </c>
      <c r="B3" s="1" t="s">
        <v>14</v>
      </c>
      <c r="C3" s="1" t="s">
        <v>14</v>
      </c>
      <c r="D3" s="1"/>
      <c r="E3" s="2">
        <v>2000</v>
      </c>
      <c r="F3" s="1" t="b">
        <f>TRUE()</f>
        <v>1</v>
      </c>
      <c r="G3" s="1" t="b">
        <f>TRUE()</f>
        <v>1</v>
      </c>
      <c r="H3" s="1" t="s">
        <v>15</v>
      </c>
    </row>
    <row r="4" spans="1:8" ht="14.25" customHeight="1">
      <c r="A4" s="1" t="s">
        <v>16</v>
      </c>
      <c r="B4" s="1" t="s">
        <v>17</v>
      </c>
      <c r="C4" s="1" t="s">
        <v>18</v>
      </c>
      <c r="D4" s="1" t="s">
        <v>19</v>
      </c>
      <c r="E4" s="2">
        <v>0</v>
      </c>
      <c r="F4" s="1" t="b">
        <f>FALSE()</f>
        <v>0</v>
      </c>
      <c r="G4" s="1" t="b">
        <f>TRUE()</f>
        <v>1</v>
      </c>
      <c r="H4" s="1" t="s">
        <v>20</v>
      </c>
    </row>
    <row r="5" spans="1:8" ht="14.25" customHeight="1">
      <c r="A5" s="1" t="s">
        <v>21</v>
      </c>
      <c r="B5" s="21" t="s">
        <v>22</v>
      </c>
      <c r="C5" s="21" t="s">
        <v>10</v>
      </c>
      <c r="D5" s="21" t="s">
        <v>11</v>
      </c>
      <c r="E5" s="21">
        <v>0</v>
      </c>
      <c r="F5" s="21" t="b">
        <f>TRUE()</f>
        <v>1</v>
      </c>
      <c r="G5" s="21" t="b">
        <f>TRUE()</f>
        <v>1</v>
      </c>
      <c r="H5" s="21" t="s">
        <v>23</v>
      </c>
    </row>
    <row r="6" spans="1:8" ht="14.25" customHeight="1">
      <c r="A6" s="1" t="s">
        <v>24</v>
      </c>
      <c r="B6" s="21" t="s">
        <v>25</v>
      </c>
      <c r="C6" s="21" t="s">
        <v>10</v>
      </c>
      <c r="D6" s="21" t="s">
        <v>11</v>
      </c>
      <c r="E6" s="21">
        <v>0</v>
      </c>
      <c r="F6" s="21" t="b">
        <f>TRUE()</f>
        <v>1</v>
      </c>
      <c r="G6" s="21" t="b">
        <f>TRUE()</f>
        <v>1</v>
      </c>
      <c r="H6" s="21" t="s">
        <v>26</v>
      </c>
    </row>
    <row r="7" spans="1:8" ht="14.25" customHeight="1">
      <c r="A7" s="1" t="s">
        <v>27</v>
      </c>
      <c r="B7" s="21" t="s">
        <v>28</v>
      </c>
      <c r="C7" s="21" t="s">
        <v>10</v>
      </c>
      <c r="D7" s="21" t="s">
        <v>29</v>
      </c>
      <c r="E7" s="21">
        <v>0</v>
      </c>
      <c r="F7" s="21" t="b">
        <f>TRUE()</f>
        <v>1</v>
      </c>
      <c r="G7" s="21" t="b">
        <f>TRUE()</f>
        <v>1</v>
      </c>
      <c r="H7" s="21" t="s">
        <v>30</v>
      </c>
    </row>
    <row r="8" spans="1:8" ht="14.25" customHeight="1">
      <c r="A8" s="1"/>
      <c r="B8" s="1"/>
      <c r="G8" s="21"/>
    </row>
    <row r="9" spans="1:8" ht="14.25" customHeight="1">
      <c r="A9" s="1"/>
      <c r="B9" s="1"/>
      <c r="G9" s="21"/>
    </row>
    <row r="10" spans="1:8" ht="14.25" customHeight="1">
      <c r="A10" s="1"/>
      <c r="B10" s="1"/>
      <c r="G10" s="21"/>
    </row>
    <row r="11" spans="1:8" ht="14.25" customHeight="1">
      <c r="A11" s="1"/>
      <c r="B11" s="1"/>
      <c r="G11" s="21"/>
    </row>
    <row r="12" spans="1:8" ht="14.25" customHeight="1">
      <c r="A12" s="3"/>
      <c r="B12" s="3"/>
      <c r="C12" s="4"/>
      <c r="D12" s="4"/>
      <c r="E12" s="5"/>
      <c r="F12" s="4"/>
      <c r="G12" s="4"/>
      <c r="H12" s="4"/>
    </row>
    <row r="13" spans="1:8" ht="14.25" customHeight="1">
      <c r="A13" s="1"/>
      <c r="B13" s="1"/>
      <c r="C13" s="1"/>
      <c r="D13" s="1"/>
      <c r="E13" s="2"/>
      <c r="F13" s="1"/>
      <c r="G13" s="1"/>
      <c r="H13" s="1"/>
    </row>
    <row r="14" spans="1:8" ht="14.25" customHeight="1">
      <c r="A14" s="1"/>
      <c r="B14" s="1"/>
      <c r="C14" s="1"/>
      <c r="D14" s="1"/>
      <c r="E14" s="2"/>
      <c r="F14" s="1"/>
      <c r="G14" s="1"/>
      <c r="H14" s="1"/>
    </row>
    <row r="15" spans="1:8" ht="14.25" customHeight="1">
      <c r="A15" s="1"/>
      <c r="B15" s="1"/>
      <c r="C15" s="1"/>
      <c r="D15" s="1"/>
      <c r="E15" s="2"/>
      <c r="F15" s="1"/>
      <c r="G15" s="1"/>
      <c r="H15" s="1"/>
    </row>
    <row r="16" spans="1:8" ht="14.25" customHeight="1">
      <c r="A16" s="1"/>
      <c r="B16" s="1"/>
      <c r="G16" s="21"/>
    </row>
    <row r="17" spans="1:15" ht="14.25" customHeight="1">
      <c r="A17" s="1"/>
      <c r="B17" s="1"/>
      <c r="G17" s="21"/>
      <c r="I17" s="21"/>
      <c r="J17" s="21"/>
      <c r="K17" s="21"/>
      <c r="L17" s="21"/>
      <c r="M17" s="21"/>
      <c r="N17" s="21"/>
      <c r="O17" s="21"/>
    </row>
    <row r="18" spans="1:15" ht="14.25" customHeight="1">
      <c r="A18" s="1"/>
      <c r="B18" s="1"/>
      <c r="G18" s="21"/>
      <c r="I18" s="21"/>
      <c r="J18" s="21"/>
      <c r="K18" s="21"/>
      <c r="L18" s="21"/>
      <c r="M18" s="21"/>
      <c r="N18" s="4"/>
      <c r="O18" s="4"/>
    </row>
    <row r="19" spans="1:15" ht="14.25" customHeight="1">
      <c r="A19" s="1"/>
      <c r="B19" s="1"/>
      <c r="G19" s="21"/>
      <c r="I19" s="21"/>
      <c r="J19" s="21"/>
      <c r="K19" s="21"/>
      <c r="L19" s="21"/>
      <c r="M19" s="21"/>
      <c r="N19" s="1"/>
      <c r="O19" s="1"/>
    </row>
    <row r="20" spans="1:15" ht="14.25" customHeight="1">
      <c r="A20" s="1"/>
      <c r="B20" s="1"/>
      <c r="G20" s="21"/>
      <c r="I20" s="21"/>
      <c r="J20" s="21"/>
      <c r="K20" s="21"/>
      <c r="L20" s="21"/>
      <c r="M20" s="21"/>
      <c r="N20" s="1"/>
      <c r="O20" s="1"/>
    </row>
    <row r="21" spans="1:15" ht="14.25" customHeight="1">
      <c r="A21" s="1"/>
      <c r="B21" s="1"/>
      <c r="G21" s="21"/>
      <c r="I21" s="21"/>
      <c r="J21" s="21"/>
      <c r="K21" s="21"/>
      <c r="L21" s="21"/>
      <c r="M21" s="21"/>
      <c r="N21" s="1"/>
      <c r="O21" s="1"/>
    </row>
    <row r="22" spans="1:15" ht="14.25" customHeight="1">
      <c r="A22" s="1"/>
      <c r="B22" s="1"/>
      <c r="G22" s="21"/>
      <c r="I22" s="21"/>
      <c r="J22" s="21"/>
      <c r="K22" s="21"/>
      <c r="L22" s="21"/>
      <c r="M22" s="21"/>
      <c r="N22" s="1"/>
      <c r="O22" s="1"/>
    </row>
    <row r="23" spans="1:15" ht="14.25" customHeight="1">
      <c r="A23" s="1"/>
      <c r="B23" s="1"/>
      <c r="G23" s="21"/>
      <c r="I23" s="21"/>
      <c r="J23" s="21"/>
      <c r="K23" s="21"/>
      <c r="L23" s="21"/>
      <c r="M23" s="21"/>
      <c r="N23" s="1"/>
      <c r="O23" s="1"/>
    </row>
    <row r="24" spans="1:15" ht="14.25" customHeight="1">
      <c r="A24" s="1"/>
      <c r="B24" s="1"/>
      <c r="G24" s="21"/>
      <c r="I24" s="21"/>
      <c r="J24" s="21"/>
      <c r="K24" s="21"/>
      <c r="L24" s="21"/>
      <c r="M24" s="21"/>
      <c r="N24" s="1"/>
      <c r="O24" s="1"/>
    </row>
    <row r="25" spans="1:15" ht="14.25" customHeight="1">
      <c r="A25" s="1"/>
      <c r="B25" s="1"/>
      <c r="G25" s="21"/>
      <c r="I25" s="21"/>
      <c r="J25" s="21"/>
      <c r="K25" s="21"/>
      <c r="L25" s="21"/>
      <c r="M25" s="21"/>
      <c r="N25" s="1"/>
      <c r="O25" s="1"/>
    </row>
    <row r="26" spans="1:15" ht="14.25" customHeight="1">
      <c r="A26" s="1"/>
      <c r="B26" s="1"/>
      <c r="G26" s="21"/>
      <c r="I26" s="21"/>
      <c r="J26" s="21"/>
      <c r="K26" s="21"/>
      <c r="L26" s="21"/>
      <c r="M26" s="21"/>
      <c r="N26" s="1"/>
      <c r="O26" s="1"/>
    </row>
    <row r="27" spans="1:15" ht="14.25" customHeight="1">
      <c r="A27" s="1"/>
      <c r="B27" s="1"/>
      <c r="G27" s="21"/>
      <c r="I27" s="21"/>
      <c r="J27" s="21"/>
      <c r="K27" s="21"/>
      <c r="L27" s="21"/>
      <c r="M27" s="21"/>
      <c r="N27" s="21"/>
      <c r="O27" s="21"/>
    </row>
    <row r="28" spans="1:15" ht="14.25" customHeight="1">
      <c r="A28" s="1"/>
      <c r="B28" s="1"/>
      <c r="G28" s="21"/>
      <c r="I28" s="21"/>
      <c r="J28" s="21"/>
      <c r="K28" s="21"/>
      <c r="L28" s="21"/>
      <c r="M28" s="21"/>
      <c r="N28" s="21"/>
      <c r="O28" s="21"/>
    </row>
    <row r="29" spans="1:15" ht="14.25" customHeight="1">
      <c r="A29" s="1"/>
      <c r="B29" s="1"/>
      <c r="G29" s="21"/>
      <c r="I29" s="21"/>
      <c r="J29" s="21"/>
      <c r="K29" s="21"/>
      <c r="L29" s="21"/>
      <c r="M29" s="21"/>
      <c r="N29" s="21"/>
      <c r="O29" s="21"/>
    </row>
    <row r="30" spans="1:15" ht="14.25" customHeight="1">
      <c r="A30" s="1"/>
      <c r="B30" s="1"/>
      <c r="G30" s="21"/>
      <c r="I30" s="21"/>
      <c r="J30" s="21"/>
      <c r="K30" s="21"/>
      <c r="L30" s="21"/>
      <c r="M30" s="21"/>
      <c r="N30" s="21"/>
      <c r="O30" s="21"/>
    </row>
  </sheetData>
  <dataValidations count="3">
    <dataValidation type="list" allowBlank="1" showInputMessage="1" showErrorMessage="1" sqref="C2:C30" xr:uid="{00000000-0002-0000-0300-000000000000}">
      <formula1>lstAccountTypes</formula1>
      <formula2>0</formula2>
    </dataValidation>
    <dataValidation type="list" allowBlank="1" showInputMessage="1" showErrorMessage="1" sqref="F2:G30" xr:uid="{00000000-0002-0000-0300-000001000000}">
      <formula1>lstBoolean</formula1>
      <formula2>0</formula2>
    </dataValidation>
    <dataValidation type="decimal" operator="greaterThanOrEqual" allowBlank="1" showInputMessage="1" showErrorMessage="1" sqref="E2:E30" xr:uid="{00000000-0002-0000-0300-000002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zoomScale="111" zoomScaleNormal="111" workbookViewId="0">
      <selection activeCell="F5" sqref="F5"/>
    </sheetView>
  </sheetViews>
  <sheetFormatPr defaultColWidth="8.7109375" defaultRowHeight="15"/>
  <cols>
    <col min="1" max="1" width="19.7109375" style="21" customWidth="1"/>
    <col min="2" max="2" width="23.28515625" style="21" customWidth="1"/>
    <col min="3" max="3" width="19.5703125" style="21" customWidth="1"/>
    <col min="4" max="4" width="18.28515625" style="21" customWidth="1"/>
    <col min="5" max="5" width="19.42578125" style="21" customWidth="1"/>
    <col min="6" max="6" width="13.140625" style="21" customWidth="1"/>
    <col min="8" max="8" width="49.7109375" style="21" customWidth="1"/>
  </cols>
  <sheetData>
    <row r="1" spans="1:14" ht="14.25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6</v>
      </c>
      <c r="H1" s="1" t="s">
        <v>7</v>
      </c>
      <c r="I1" s="21"/>
      <c r="J1" s="21"/>
      <c r="K1" s="21"/>
      <c r="L1" s="21"/>
      <c r="M1" s="21"/>
      <c r="N1" s="21"/>
    </row>
    <row r="2" spans="1:14" ht="14.25" customHeight="1">
      <c r="A2" s="1" t="s">
        <v>37</v>
      </c>
      <c r="B2" s="1" t="s">
        <v>38</v>
      </c>
      <c r="C2" s="1" t="s">
        <v>39</v>
      </c>
      <c r="D2" s="1" t="s">
        <v>9</v>
      </c>
      <c r="E2" s="2">
        <v>75000</v>
      </c>
      <c r="F2" s="1" t="s">
        <v>40</v>
      </c>
      <c r="G2" s="1" t="b">
        <f>TRUE()</f>
        <v>1</v>
      </c>
      <c r="H2" s="1" t="s">
        <v>41</v>
      </c>
      <c r="I2" s="21"/>
      <c r="J2" s="21"/>
      <c r="K2" s="21"/>
      <c r="L2" s="21"/>
      <c r="M2" s="21"/>
      <c r="N2" s="21"/>
    </row>
    <row r="3" spans="1:14" ht="14.25" customHeight="1">
      <c r="A3" s="21" t="s">
        <v>42</v>
      </c>
      <c r="B3" s="21" t="s">
        <v>43</v>
      </c>
      <c r="C3" s="1" t="s">
        <v>44</v>
      </c>
      <c r="D3" s="1"/>
      <c r="E3" s="2"/>
      <c r="F3" s="1"/>
      <c r="G3" s="1" t="b">
        <v>1</v>
      </c>
      <c r="H3" s="1" t="s">
        <v>45</v>
      </c>
      <c r="I3" s="21"/>
      <c r="J3" s="21"/>
      <c r="K3" s="21"/>
      <c r="L3" s="21"/>
      <c r="M3" s="21"/>
      <c r="N3" s="21"/>
    </row>
    <row r="4" spans="1:14" ht="14.25" customHeight="1">
      <c r="A4" s="21" t="s">
        <v>46</v>
      </c>
      <c r="B4" s="21" t="s">
        <v>47</v>
      </c>
      <c r="C4" s="1" t="s">
        <v>48</v>
      </c>
      <c r="D4" s="1" t="s">
        <v>9</v>
      </c>
      <c r="E4" s="2"/>
      <c r="F4" s="1"/>
      <c r="G4" s="1" t="b">
        <v>1</v>
      </c>
      <c r="H4" s="21" t="s">
        <v>49</v>
      </c>
      <c r="I4" s="21"/>
      <c r="J4" s="21"/>
      <c r="K4" s="21"/>
      <c r="L4" s="21"/>
      <c r="M4" s="21"/>
      <c r="N4" s="21"/>
    </row>
    <row r="5" spans="1:14" ht="14.25" customHeight="1">
      <c r="A5" s="21" t="s">
        <v>50</v>
      </c>
      <c r="B5" s="21" t="s">
        <v>51</v>
      </c>
      <c r="C5" s="1" t="s">
        <v>52</v>
      </c>
      <c r="D5" s="1" t="s">
        <v>9</v>
      </c>
      <c r="E5" s="2"/>
      <c r="F5" s="1"/>
      <c r="G5" s="1" t="b">
        <v>1</v>
      </c>
      <c r="H5" s="21" t="s">
        <v>53</v>
      </c>
      <c r="I5" s="21"/>
      <c r="J5" s="21"/>
      <c r="K5" s="21"/>
      <c r="L5" s="21"/>
      <c r="M5" s="21"/>
      <c r="N5" s="21"/>
    </row>
    <row r="8" spans="1:14" ht="14.25" customHeight="1">
      <c r="A8" s="4"/>
      <c r="B8" s="4"/>
      <c r="C8" s="4"/>
      <c r="D8" s="4"/>
      <c r="E8" s="5"/>
      <c r="F8" s="4"/>
      <c r="G8" s="4"/>
      <c r="H8" s="4"/>
      <c r="I8" s="21"/>
      <c r="J8" s="21"/>
      <c r="K8" s="21"/>
      <c r="L8" s="21"/>
      <c r="M8" s="21"/>
      <c r="N8" s="21"/>
    </row>
    <row r="9" spans="1:14" ht="14.25" customHeight="1">
      <c r="A9" s="1"/>
      <c r="B9" s="1"/>
      <c r="C9" s="1"/>
      <c r="D9" s="1"/>
      <c r="E9" s="2"/>
      <c r="F9" s="1"/>
      <c r="G9" s="1"/>
      <c r="H9" s="1"/>
      <c r="I9" s="21"/>
      <c r="J9" s="21"/>
      <c r="K9" s="21"/>
      <c r="L9" s="21"/>
      <c r="M9" s="21"/>
      <c r="N9" s="21"/>
    </row>
    <row r="13" spans="1:14" ht="14.25" customHeight="1">
      <c r="G13" s="21"/>
      <c r="I13" s="21"/>
      <c r="J13" s="21"/>
      <c r="K13" s="21"/>
      <c r="L13" s="21"/>
      <c r="M13" s="4"/>
      <c r="N13" s="4"/>
    </row>
    <row r="14" spans="1:14" ht="14.25" customHeight="1">
      <c r="G14" s="21"/>
      <c r="I14" s="21"/>
      <c r="J14" s="21"/>
      <c r="K14" s="21"/>
      <c r="L14" s="21"/>
      <c r="M14" s="1"/>
      <c r="N14" s="1"/>
    </row>
    <row r="15" spans="1:14" ht="14.25" customHeight="1">
      <c r="G15" s="21"/>
      <c r="I15" s="21"/>
      <c r="J15" s="21"/>
      <c r="K15" s="21"/>
      <c r="L15" s="21"/>
      <c r="M15" s="1"/>
      <c r="N15" s="1"/>
    </row>
    <row r="16" spans="1:14" ht="14.25" customHeight="1">
      <c r="G16" s="21"/>
      <c r="I16" s="21"/>
      <c r="J16" s="21"/>
      <c r="K16" s="21"/>
      <c r="L16" s="21"/>
      <c r="M16" s="1"/>
      <c r="N16" s="1"/>
    </row>
    <row r="17" spans="13:14" ht="14.25" customHeight="1">
      <c r="M17" s="1"/>
      <c r="N17" s="1"/>
    </row>
    <row r="18" spans="13:14" ht="14.25" customHeight="1">
      <c r="M18" s="1"/>
      <c r="N18" s="1"/>
    </row>
    <row r="19" spans="13:14" ht="14.25" customHeight="1">
      <c r="M19" s="1"/>
      <c r="N19" s="1"/>
    </row>
    <row r="20" spans="13:14" ht="14.25" customHeight="1">
      <c r="M20" s="1"/>
      <c r="N20" s="1"/>
    </row>
    <row r="21" spans="13:14" ht="14.25" customHeight="1">
      <c r="M21" s="1"/>
      <c r="N21" s="1"/>
    </row>
  </sheetData>
  <dataValidations count="6">
    <dataValidation type="list" allowBlank="1" showInputMessage="1" showErrorMessage="1" sqref="F2:F4 F6:F9" xr:uid="{00000000-0002-0000-0400-000000000000}">
      <formula1>lstFrequency</formula1>
      <formula2>0</formula2>
    </dataValidation>
    <dataValidation type="list" allowBlank="1" showInputMessage="1" showErrorMessage="1" sqref="G2:G9" xr:uid="{00000000-0002-0000-0400-000001000000}">
      <formula1>lstBoolean</formula1>
      <formula2>0</formula2>
    </dataValidation>
    <dataValidation type="list" allowBlank="1" showInputMessage="1" showErrorMessage="1" sqref="D2:D4" xr:uid="{00000000-0002-0000-0400-000003000000}">
      <formula1>lstAccountNames</formula1>
      <formula2>0</formula2>
    </dataValidation>
    <dataValidation type="decimal" operator="greaterThan" allowBlank="1" showInputMessage="1" showErrorMessage="1" sqref="E2:E9" xr:uid="{00000000-0002-0000-0400-000004000000}">
      <formula1>0</formula1>
      <formula2>0</formula2>
    </dataValidation>
    <dataValidation type="list" allowBlank="1" showInputMessage="1" showErrorMessage="1" sqref="D5:D15" xr:uid="{9FDA932F-B029-44DF-A44D-97C6FABE81BD}">
      <formula1>lstAccountNames</formula1>
    </dataValidation>
    <dataValidation type="list" allowBlank="1" showInputMessage="1" showErrorMessage="1" sqref="F5" xr:uid="{324E3332-D1D3-408A-9F1B-ECDCAE8D96B1}">
      <formula1>lstFrequencies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CEA2DE-F0A5-4459-A67E-6BED59CAEAAF}">
          <x14:formula1>
            <xm:f>_xlfn.ANCHORARRAY(Helpers!$F$5)</xm:f>
          </x14:formula1>
          <xm:sqref>C2:C100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8"/>
  <sheetViews>
    <sheetView tabSelected="1" zoomScaleNormal="100" workbookViewId="0">
      <selection activeCell="A4" sqref="A4:H4"/>
    </sheetView>
  </sheetViews>
  <sheetFormatPr defaultColWidth="8.7109375" defaultRowHeight="15"/>
  <cols>
    <col min="1" max="1" width="13.42578125" style="21" customWidth="1"/>
    <col min="2" max="2" width="17.7109375" style="21" customWidth="1"/>
    <col min="3" max="3" width="24.7109375" style="21" customWidth="1"/>
    <col min="4" max="4" width="19.7109375" style="21" customWidth="1"/>
    <col min="5" max="5" width="15.7109375" style="21" customWidth="1"/>
    <col min="6" max="6" width="14.42578125" style="21" customWidth="1"/>
    <col min="7" max="7" width="14.5703125" style="21" customWidth="1"/>
    <col min="8" max="8" width="25.140625" style="21" customWidth="1"/>
  </cols>
  <sheetData>
    <row r="1" spans="1:15" ht="14.25" customHeight="1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</v>
      </c>
      <c r="H1" s="1" t="s">
        <v>7</v>
      </c>
      <c r="I1" s="21"/>
      <c r="J1" s="21"/>
      <c r="K1" s="21"/>
      <c r="L1" s="21"/>
      <c r="M1" s="21"/>
      <c r="N1" s="21"/>
      <c r="O1" s="21"/>
    </row>
    <row r="2" spans="1:15" ht="14.25" customHeight="1">
      <c r="A2" s="1" t="s">
        <v>60</v>
      </c>
      <c r="B2" s="1" t="s">
        <v>61</v>
      </c>
      <c r="C2" s="1" t="s">
        <v>61</v>
      </c>
      <c r="D2" s="6">
        <v>45292</v>
      </c>
      <c r="E2" s="2">
        <v>80000</v>
      </c>
      <c r="F2" s="2">
        <v>92000</v>
      </c>
      <c r="G2" s="1" t="b">
        <f>TRUE()</f>
        <v>1</v>
      </c>
      <c r="H2" s="1" t="s">
        <v>62</v>
      </c>
      <c r="I2" s="21"/>
      <c r="J2" s="21"/>
      <c r="K2" s="21"/>
      <c r="L2" s="21"/>
      <c r="M2" s="21"/>
      <c r="N2" s="21"/>
      <c r="O2" s="21"/>
    </row>
    <row r="3" spans="1:15" ht="14.25" customHeight="1">
      <c r="A3" s="1" t="s">
        <v>63</v>
      </c>
      <c r="B3" s="1" t="s">
        <v>64</v>
      </c>
      <c r="C3" s="1" t="s">
        <v>65</v>
      </c>
      <c r="D3" s="6">
        <v>45078</v>
      </c>
      <c r="E3" s="2">
        <v>65000</v>
      </c>
      <c r="F3" s="2">
        <v>45000</v>
      </c>
      <c r="G3" s="1" t="b">
        <f>TRUE()</f>
        <v>1</v>
      </c>
      <c r="H3" s="1" t="s">
        <v>66</v>
      </c>
      <c r="I3" s="21"/>
      <c r="J3" s="21"/>
      <c r="K3" s="21"/>
      <c r="L3" s="21"/>
      <c r="M3" s="21"/>
      <c r="N3" s="21"/>
      <c r="O3" s="21"/>
    </row>
    <row r="4" spans="1:15">
      <c r="A4" s="1"/>
      <c r="D4" s="22"/>
      <c r="I4" s="21"/>
      <c r="J4" s="21"/>
      <c r="K4" s="21"/>
      <c r="L4" s="21"/>
      <c r="M4" s="21"/>
      <c r="N4" s="21"/>
      <c r="O4" s="21"/>
    </row>
    <row r="8" spans="1:15" ht="14.25" customHeight="1">
      <c r="A8" s="4"/>
      <c r="B8" s="4"/>
      <c r="C8" s="4"/>
      <c r="D8" s="4"/>
      <c r="E8" s="5"/>
      <c r="F8" s="5"/>
      <c r="G8" s="4"/>
      <c r="H8" s="4"/>
      <c r="I8" s="21"/>
      <c r="J8" s="21"/>
      <c r="K8" s="21"/>
      <c r="L8" s="21"/>
      <c r="M8" s="21"/>
      <c r="N8" s="21"/>
      <c r="O8" s="21"/>
    </row>
    <row r="9" spans="1:15" ht="14.25" customHeight="1">
      <c r="A9" s="1"/>
      <c r="B9" s="1"/>
      <c r="C9" s="1"/>
      <c r="D9" s="6"/>
      <c r="E9" s="2"/>
      <c r="F9" s="2"/>
      <c r="G9" s="1"/>
      <c r="H9" s="1"/>
      <c r="I9" s="21"/>
      <c r="J9" s="21"/>
      <c r="K9" s="21"/>
      <c r="L9" s="21"/>
      <c r="M9" s="21"/>
      <c r="N9" s="21"/>
      <c r="O9" s="21"/>
    </row>
    <row r="10" spans="1:15" ht="14.25" customHeight="1">
      <c r="A10" s="1"/>
      <c r="B10" s="1"/>
      <c r="C10" s="1"/>
      <c r="D10" s="6"/>
      <c r="E10" s="2"/>
      <c r="F10" s="2"/>
      <c r="G10" s="1"/>
      <c r="H10" s="1"/>
      <c r="I10" s="21"/>
      <c r="J10" s="21"/>
      <c r="K10" s="21"/>
      <c r="L10" s="21"/>
      <c r="M10" s="21"/>
      <c r="N10" s="4"/>
      <c r="O10" s="4"/>
    </row>
    <row r="11" spans="1:15" ht="14.25" customHeight="1">
      <c r="I11" s="21"/>
      <c r="J11" s="21"/>
      <c r="K11" s="21"/>
      <c r="L11" s="21"/>
      <c r="M11" s="21"/>
      <c r="N11" s="1"/>
      <c r="O11" s="1"/>
    </row>
    <row r="12" spans="1:15" ht="14.25" customHeight="1">
      <c r="I12" s="21"/>
      <c r="J12" s="21"/>
      <c r="K12" s="21"/>
      <c r="L12" s="21"/>
      <c r="M12" s="21"/>
      <c r="N12" s="1"/>
      <c r="O12" s="1"/>
    </row>
    <row r="13" spans="1:15" ht="14.25" customHeight="1">
      <c r="I13" s="21"/>
      <c r="J13" s="21"/>
      <c r="K13" s="21"/>
      <c r="L13" s="21"/>
      <c r="M13" s="21"/>
      <c r="N13" s="1"/>
      <c r="O13" s="1"/>
    </row>
    <row r="14" spans="1:15" ht="14.25" customHeight="1">
      <c r="I14" s="21"/>
      <c r="J14" s="21"/>
      <c r="K14" s="21"/>
      <c r="L14" s="21"/>
      <c r="M14" s="21"/>
      <c r="N14" s="1"/>
      <c r="O14" s="1"/>
    </row>
    <row r="15" spans="1:15" ht="14.25" customHeight="1">
      <c r="I15" s="21"/>
      <c r="J15" s="21"/>
      <c r="K15" s="21"/>
      <c r="L15" s="21"/>
      <c r="M15" s="21"/>
      <c r="N15" s="1"/>
      <c r="O15" s="1"/>
    </row>
    <row r="16" spans="1:15" ht="14.25" customHeight="1">
      <c r="I16" s="21"/>
      <c r="J16" s="21"/>
      <c r="K16" s="21"/>
      <c r="L16" s="21"/>
      <c r="M16" s="21"/>
      <c r="N16" s="1"/>
      <c r="O16" s="1"/>
    </row>
    <row r="17" spans="14:15" ht="14.25" customHeight="1">
      <c r="N17" s="1"/>
      <c r="O17" s="1"/>
    </row>
    <row r="18" spans="14:15" ht="14.25" customHeight="1">
      <c r="N18" s="1"/>
      <c r="O18" s="1"/>
    </row>
  </sheetData>
  <dataValidations count="4">
    <dataValidation type="decimal" operator="greaterThanOrEqual" allowBlank="1" showInputMessage="1" showErrorMessage="1" sqref="E2:F4" xr:uid="{00000000-0002-0000-0500-000000000000}">
      <formula1>0</formula1>
      <formula2>0</formula2>
    </dataValidation>
    <dataValidation type="list" allowBlank="1" showInputMessage="1" showErrorMessage="1" sqref="C2:C4" xr:uid="{00000000-0002-0000-0500-000001000000}">
      <formula1>lstAssetTypes</formula1>
      <formula2>0</formula2>
    </dataValidation>
    <dataValidation type="list" allowBlank="1" showInputMessage="1" showErrorMessage="1" sqref="G2:G4" xr:uid="{00000000-0002-0000-0500-000002000000}">
      <formula1>lstBoolean</formula1>
      <formula2>0</formula2>
    </dataValidation>
    <dataValidation type="date" operator="greaterThanOrEqual" allowBlank="1" showInputMessage="1" showErrorMessage="1" sqref="D2:D4" xr:uid="{00000000-0002-0000-0500-000003000000}">
      <formula1>1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zoomScaleNormal="100" workbookViewId="0">
      <selection activeCell="H3" sqref="H3"/>
    </sheetView>
  </sheetViews>
  <sheetFormatPr defaultColWidth="8.7109375" defaultRowHeight="15"/>
  <cols>
    <col min="1" max="1" width="14.42578125" style="21" customWidth="1"/>
    <col min="2" max="2" width="21.7109375" style="21" customWidth="1"/>
    <col min="3" max="3" width="20.85546875" style="21" customWidth="1"/>
    <col min="4" max="4" width="20" style="21" customWidth="1"/>
    <col min="5" max="5" width="23.140625" style="21" customWidth="1"/>
    <col min="6" max="6" width="20.140625" style="21" customWidth="1"/>
    <col min="7" max="7" width="14" style="21" customWidth="1"/>
    <col min="8" max="8" width="13.140625" style="21" customWidth="1"/>
    <col min="9" max="9" width="11" style="21" customWidth="1"/>
    <col min="10" max="10" width="25.42578125" style="21" customWidth="1"/>
  </cols>
  <sheetData>
    <row r="1" spans="1:10" ht="14.25" customHeight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6</v>
      </c>
      <c r="J1" s="1" t="s">
        <v>7</v>
      </c>
    </row>
    <row r="2" spans="1:10" ht="14.25" customHeight="1">
      <c r="A2" s="1" t="s">
        <v>75</v>
      </c>
      <c r="B2" s="1" t="s">
        <v>76</v>
      </c>
      <c r="C2" s="1" t="s">
        <v>76</v>
      </c>
      <c r="D2" s="2">
        <v>2500000</v>
      </c>
      <c r="E2" s="2">
        <v>2200000</v>
      </c>
      <c r="F2" s="2">
        <v>8.5</v>
      </c>
      <c r="G2" s="6">
        <v>45292</v>
      </c>
      <c r="H2" s="6">
        <v>52597</v>
      </c>
      <c r="I2" s="1" t="b">
        <f>TRUE()</f>
        <v>1</v>
      </c>
      <c r="J2" s="1" t="s">
        <v>77</v>
      </c>
    </row>
    <row r="3" spans="1:10" ht="14.25" customHeight="1">
      <c r="A3" s="1" t="s">
        <v>78</v>
      </c>
      <c r="B3" s="1" t="s">
        <v>17</v>
      </c>
      <c r="C3" s="1" t="s">
        <v>18</v>
      </c>
      <c r="D3" s="2">
        <v>0</v>
      </c>
      <c r="E3" s="2">
        <v>12000</v>
      </c>
      <c r="F3" s="2">
        <v>42</v>
      </c>
      <c r="G3" s="6">
        <v>46174</v>
      </c>
      <c r="H3" s="6">
        <v>46249</v>
      </c>
      <c r="I3" s="1" t="b">
        <f>TRUE()</f>
        <v>1</v>
      </c>
      <c r="J3" s="1" t="s">
        <v>79</v>
      </c>
    </row>
    <row r="4" spans="1:10" ht="15" customHeight="1">
      <c r="A4" s="1"/>
    </row>
    <row r="10" spans="1:10" ht="14.25" customHeight="1">
      <c r="A10" s="4"/>
      <c r="B10" s="4"/>
      <c r="C10" s="4"/>
      <c r="D10" s="5"/>
      <c r="E10" s="5"/>
      <c r="F10" s="5"/>
      <c r="G10" s="4"/>
      <c r="H10" s="4"/>
      <c r="I10" s="4"/>
      <c r="J10" s="4"/>
    </row>
    <row r="11" spans="1:10" ht="14.25" customHeight="1">
      <c r="A11" s="1"/>
      <c r="B11" s="1"/>
      <c r="C11" s="1"/>
      <c r="D11" s="2"/>
      <c r="E11" s="2"/>
      <c r="F11" s="2"/>
      <c r="G11" s="6"/>
      <c r="H11" s="6"/>
      <c r="I11" s="1"/>
      <c r="J11" s="1"/>
    </row>
    <row r="12" spans="1:10" ht="14.25" customHeight="1">
      <c r="A12" s="1"/>
      <c r="B12" s="1"/>
      <c r="C12" s="1"/>
      <c r="D12" s="2"/>
      <c r="E12" s="2"/>
      <c r="F12" s="2"/>
      <c r="G12" s="6"/>
      <c r="H12" s="1"/>
      <c r="I12" s="1"/>
      <c r="J12" s="1"/>
    </row>
    <row r="13" spans="1:10" ht="14.25" customHeight="1">
      <c r="A13" s="1"/>
      <c r="B13" s="1"/>
    </row>
    <row r="14" spans="1:10" ht="14.25" customHeight="1">
      <c r="A14" s="1"/>
      <c r="B14" s="1"/>
    </row>
    <row r="15" spans="1:10" ht="14.25" customHeight="1">
      <c r="A15" s="1"/>
      <c r="B15" s="1"/>
    </row>
    <row r="16" spans="1:10" ht="14.25" customHeight="1">
      <c r="A16" s="1"/>
      <c r="B16" s="1"/>
    </row>
    <row r="17" spans="1:2" ht="14.25" customHeight="1">
      <c r="A17" s="1"/>
      <c r="B17" s="1"/>
    </row>
    <row r="18" spans="1:2" ht="14.25" customHeight="1">
      <c r="A18" s="1"/>
      <c r="B18" s="1"/>
    </row>
    <row r="19" spans="1:2" ht="14.25" customHeight="1">
      <c r="A19" s="1"/>
      <c r="B19" s="1"/>
    </row>
    <row r="20" spans="1:2" ht="14.25" customHeight="1">
      <c r="A20" s="1"/>
      <c r="B20" s="1"/>
    </row>
  </sheetData>
  <dataValidations count="5">
    <dataValidation type="decimal" operator="greaterThanOrEqual" allowBlank="1" showInputMessage="1" showErrorMessage="1" sqref="D2:E4" xr:uid="{00000000-0002-0000-0600-000000000000}">
      <formula1>0</formula1>
      <formula2>0</formula2>
    </dataValidation>
    <dataValidation type="list" allowBlank="1" showInputMessage="1" showErrorMessage="1" sqref="C2:C4" xr:uid="{00000000-0002-0000-0600-000001000000}">
      <formula1>lstLiabilityTypes</formula1>
      <formula2>0</formula2>
    </dataValidation>
    <dataValidation type="list" allowBlank="1" showInputMessage="1" showErrorMessage="1" sqref="I2:I4" xr:uid="{00000000-0002-0000-0600-000002000000}">
      <formula1>lstBoolean</formula1>
      <formula2>0</formula2>
    </dataValidation>
    <dataValidation type="decimal" allowBlank="1" showInputMessage="1" showErrorMessage="1" sqref="F2:F4" xr:uid="{00000000-0002-0000-0600-000003000000}">
      <formula1>0</formula1>
      <formula2>100</formula2>
    </dataValidation>
    <dataValidation type="date" allowBlank="1" showInputMessage="1" showErrorMessage="1" sqref="G2:H4" xr:uid="{00000000-0002-0000-0600-000004000000}">
      <formula1>1</formula1>
      <formula2>73415</formula2>
    </dataValidation>
  </dataValidations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zoomScaleNormal="100" workbookViewId="0">
      <selection activeCell="A6" sqref="A6:K6"/>
    </sheetView>
  </sheetViews>
  <sheetFormatPr defaultColWidth="8.7109375" defaultRowHeight="15"/>
  <cols>
    <col min="1" max="1" width="16.7109375" style="21" customWidth="1"/>
    <col min="2" max="2" width="20" style="21" customWidth="1"/>
    <col min="3" max="3" width="27.140625" style="21" customWidth="1"/>
    <col min="4" max="4" width="19" style="21" customWidth="1"/>
    <col min="5" max="5" width="27.140625" style="21" customWidth="1"/>
    <col min="6" max="6" width="18.85546875" style="21" customWidth="1"/>
    <col min="7" max="7" width="18.28515625" style="21" customWidth="1"/>
    <col min="8" max="8" width="10.28515625" style="21" customWidth="1"/>
    <col min="9" max="9" width="11.5703125" style="21" customWidth="1"/>
    <col min="10" max="10" width="18.5703125" style="21" customWidth="1"/>
    <col min="11" max="11" width="22.28515625" style="21" customWidth="1"/>
    <col min="12" max="12" width="20" style="21" customWidth="1"/>
    <col min="13" max="13" width="23.28515625" style="21" customWidth="1"/>
    <col min="14" max="14" width="26.28515625" style="21" customWidth="1"/>
  </cols>
  <sheetData>
    <row r="1" spans="1:13" ht="14.25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36</v>
      </c>
      <c r="H1" s="1" t="s">
        <v>86</v>
      </c>
      <c r="I1" s="1" t="s">
        <v>73</v>
      </c>
      <c r="J1" s="1" t="s">
        <v>6</v>
      </c>
      <c r="K1" s="1" t="s">
        <v>7</v>
      </c>
    </row>
    <row r="2" spans="1:13" ht="14.25" customHeight="1">
      <c r="A2" s="1" t="s">
        <v>87</v>
      </c>
      <c r="B2" s="1" t="s">
        <v>88</v>
      </c>
      <c r="C2" s="1" t="s">
        <v>89</v>
      </c>
      <c r="D2" s="1" t="s">
        <v>76</v>
      </c>
      <c r="E2" s="1" t="s">
        <v>9</v>
      </c>
      <c r="F2" s="2">
        <v>24500</v>
      </c>
      <c r="G2" s="1" t="s">
        <v>40</v>
      </c>
      <c r="H2" s="2">
        <v>5</v>
      </c>
      <c r="I2" s="6">
        <v>45292</v>
      </c>
      <c r="J2" s="1" t="b">
        <f>TRUE()</f>
        <v>1</v>
      </c>
      <c r="K2" s="1" t="s">
        <v>90</v>
      </c>
    </row>
    <row r="3" spans="1:13" ht="14.25" customHeight="1">
      <c r="A3" s="1" t="s">
        <v>91</v>
      </c>
      <c r="B3" s="1" t="s">
        <v>92</v>
      </c>
      <c r="C3" s="1" t="s">
        <v>93</v>
      </c>
      <c r="D3" s="1"/>
      <c r="E3" s="1" t="s">
        <v>9</v>
      </c>
      <c r="F3" s="2">
        <v>649</v>
      </c>
      <c r="G3" s="1" t="s">
        <v>40</v>
      </c>
      <c r="H3" s="2">
        <v>10</v>
      </c>
      <c r="I3" s="6">
        <v>46023</v>
      </c>
      <c r="J3" s="1" t="b">
        <f>TRUE()</f>
        <v>1</v>
      </c>
      <c r="K3" s="1" t="s">
        <v>94</v>
      </c>
    </row>
    <row r="4" spans="1:13" ht="14.25" customHeight="1">
      <c r="A4" s="1" t="s">
        <v>95</v>
      </c>
      <c r="B4" s="1" t="s">
        <v>96</v>
      </c>
      <c r="C4" s="1" t="s">
        <v>97</v>
      </c>
      <c r="D4" s="1"/>
      <c r="E4" s="1" t="s">
        <v>9</v>
      </c>
      <c r="F4" s="2">
        <v>999</v>
      </c>
      <c r="G4" s="1" t="s">
        <v>98</v>
      </c>
      <c r="H4" s="2">
        <v>15</v>
      </c>
      <c r="I4" s="6">
        <v>46023</v>
      </c>
      <c r="J4" s="1" t="b">
        <f>TRUE()</f>
        <v>1</v>
      </c>
      <c r="K4" s="1" t="s">
        <v>99</v>
      </c>
    </row>
    <row r="5" spans="1:13" ht="14.25" customHeight="1">
      <c r="A5" s="1" t="s">
        <v>100</v>
      </c>
      <c r="B5" s="21" t="s">
        <v>101</v>
      </c>
      <c r="C5" s="21" t="s">
        <v>102</v>
      </c>
      <c r="E5" s="21" t="s">
        <v>9</v>
      </c>
      <c r="F5" s="21">
        <v>1850</v>
      </c>
      <c r="H5" s="21">
        <v>10</v>
      </c>
      <c r="I5" s="6">
        <v>46024</v>
      </c>
      <c r="J5" s="21" t="b">
        <v>1</v>
      </c>
      <c r="K5" s="21" t="s">
        <v>103</v>
      </c>
    </row>
    <row r="6" spans="1:13" ht="14.25" customHeight="1">
      <c r="A6" s="1"/>
      <c r="B6" s="1"/>
      <c r="I6" s="6"/>
    </row>
    <row r="7" spans="1:13" ht="14.25" customHeight="1">
      <c r="A7" s="1"/>
      <c r="B7" s="1"/>
    </row>
    <row r="8" spans="1:13" ht="14.25" customHeight="1">
      <c r="A8" s="1"/>
      <c r="B8" s="1"/>
    </row>
    <row r="9" spans="1:13" ht="14.25" customHeight="1">
      <c r="A9" s="1"/>
      <c r="B9" s="1"/>
    </row>
    <row r="10" spans="1:13" ht="14.25" customHeight="1">
      <c r="A10" s="4"/>
      <c r="B10" s="4"/>
      <c r="C10" s="4"/>
      <c r="D10" s="4"/>
      <c r="E10" s="4"/>
      <c r="F10" s="5"/>
      <c r="G10" s="4"/>
      <c r="H10" s="5"/>
      <c r="I10" s="4"/>
      <c r="J10" s="4"/>
      <c r="K10" s="4"/>
      <c r="L10" s="4"/>
      <c r="M10" s="4"/>
    </row>
    <row r="11" spans="1:13" ht="14.25" customHeight="1">
      <c r="A11" s="1"/>
      <c r="B11" s="1"/>
      <c r="C11" s="1"/>
      <c r="D11" s="1"/>
      <c r="E11" s="1"/>
      <c r="F11" s="2"/>
      <c r="G11" s="1"/>
      <c r="H11" s="2"/>
      <c r="I11" s="6"/>
      <c r="J11" s="1"/>
      <c r="K11" s="1"/>
      <c r="L11" s="1"/>
      <c r="M11" s="1"/>
    </row>
    <row r="12" spans="1:13" ht="14.25" customHeight="1">
      <c r="A12" s="1"/>
      <c r="B12" s="1"/>
      <c r="C12" s="1"/>
      <c r="D12" s="1"/>
      <c r="E12" s="1"/>
      <c r="F12" s="2"/>
      <c r="G12" s="1"/>
      <c r="H12" s="2"/>
      <c r="I12" s="6"/>
      <c r="J12" s="1"/>
      <c r="K12" s="1"/>
      <c r="L12" s="1"/>
      <c r="M12" s="1"/>
    </row>
    <row r="13" spans="1:13" ht="14.25" customHeight="1">
      <c r="A13" s="1"/>
      <c r="B13" s="1"/>
      <c r="C13" s="1"/>
      <c r="D13" s="1"/>
      <c r="E13" s="1"/>
      <c r="F13" s="2"/>
      <c r="G13" s="1"/>
      <c r="H13" s="2"/>
      <c r="I13" s="6"/>
      <c r="J13" s="1"/>
      <c r="K13" s="1"/>
      <c r="L13" s="1"/>
      <c r="M13" s="1"/>
    </row>
    <row r="14" spans="1:13" ht="14.25" customHeight="1">
      <c r="A14" s="1"/>
      <c r="B14" s="1"/>
    </row>
    <row r="15" spans="1:13" ht="14.25" customHeight="1">
      <c r="A15" s="1"/>
      <c r="B15" s="1"/>
    </row>
    <row r="16" spans="1:13" ht="14.25" customHeight="1">
      <c r="A16" s="1"/>
      <c r="B16" s="1"/>
    </row>
    <row r="17" spans="1:2" ht="14.25" customHeight="1">
      <c r="A17" s="1"/>
      <c r="B17" s="1"/>
    </row>
    <row r="18" spans="1:2" ht="14.25" customHeight="1">
      <c r="A18" s="1"/>
      <c r="B18" s="1"/>
    </row>
  </sheetData>
  <dataValidations count="10">
    <dataValidation type="decimal" operator="greaterThanOrEqual" allowBlank="1" showInputMessage="1" showErrorMessage="1" sqref="F2:F6" xr:uid="{00000000-0002-0000-0700-000000000000}">
      <formula1>0</formula1>
      <formula2>0</formula2>
    </dataValidation>
    <dataValidation type="date" operator="greaterThanOrEqual" allowBlank="1" showInputMessage="1" showErrorMessage="1" sqref="I2:I6" xr:uid="{00000000-0002-0000-0700-000001000000}">
      <formula1>1</formula1>
      <formula2>0</formula2>
    </dataValidation>
    <dataValidation type="list" allowBlank="1" showInputMessage="1" showErrorMessage="1" sqref="G3:G4" xr:uid="{00000000-0002-0000-0700-000002000000}">
      <formula1>lstFrequency</formula1>
      <formula2>0</formula2>
    </dataValidation>
    <dataValidation type="list" allowBlank="1" showInputMessage="1" showErrorMessage="1" sqref="C2:C4" xr:uid="{00000000-0002-0000-0700-000003000000}">
      <formula1>lstRecurringCommitmentTypes</formula1>
      <formula2>0</formula2>
    </dataValidation>
    <dataValidation type="list" allowBlank="1" showInputMessage="1" showErrorMessage="1" sqref="D2:D6" xr:uid="{00000000-0002-0000-0700-000004000000}">
      <formula1>lstLiabilityNames</formula1>
      <formula2>0</formula2>
    </dataValidation>
    <dataValidation type="list" allowBlank="1" showInputMessage="1" showErrorMessage="1" sqref="E2:E6" xr:uid="{00000000-0002-0000-0700-000005000000}">
      <formula1>lstAccountNames</formula1>
      <formula2>0</formula2>
    </dataValidation>
    <dataValidation type="whole" allowBlank="1" showInputMessage="1" showErrorMessage="1" sqref="H2:H6" xr:uid="{00000000-0002-0000-0700-000006000000}">
      <formula1>1</formula1>
      <formula2>31</formula2>
    </dataValidation>
    <dataValidation type="list" allowBlank="1" showInputMessage="1" showErrorMessage="1" sqref="J2:J6" xr:uid="{00000000-0002-0000-0700-000007000000}">
      <formula1>lstBoolean</formula1>
      <formula2>0</formula2>
    </dataValidation>
    <dataValidation type="list" allowBlank="1" showInputMessage="1" showErrorMessage="1" sqref="C5" xr:uid="{14F63FBA-1991-4A8D-8C4E-C6549CE8074E}">
      <formula1>lstCommitmentTypes</formula1>
    </dataValidation>
    <dataValidation type="list" allowBlank="1" showInputMessage="1" showErrorMessage="1" sqref="G2 G5" xr:uid="{BACCBBC4-440F-49D7-8BF8-738FB8370367}">
      <formula1>lstFrequencies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zoomScaleNormal="100" workbookViewId="0">
      <selection activeCell="H4" sqref="H4"/>
    </sheetView>
  </sheetViews>
  <sheetFormatPr defaultColWidth="8.7109375" defaultRowHeight="15"/>
  <cols>
    <col min="1" max="1" width="16.85546875" style="21" customWidth="1"/>
    <col min="2" max="2" width="19" style="21" customWidth="1"/>
    <col min="3" max="3" width="20.7109375" style="21" customWidth="1"/>
    <col min="4" max="4" width="20.5703125" style="21" customWidth="1"/>
    <col min="5" max="5" width="19.7109375" style="21" customWidth="1"/>
    <col min="6" max="6" width="22.28515625" style="21" customWidth="1"/>
    <col min="7" max="7" width="20" style="21" customWidth="1"/>
    <col min="8" max="8" width="14.7109375" style="21" customWidth="1"/>
    <col min="9" max="9" width="15" style="21" customWidth="1"/>
    <col min="10" max="10" width="10.28515625" style="21" customWidth="1"/>
    <col min="11" max="11" width="26.5703125" style="21" customWidth="1"/>
    <col min="12" max="12" width="12.7109375" style="21" customWidth="1"/>
    <col min="13" max="13" width="34.85546875" style="21" customWidth="1"/>
  </cols>
  <sheetData>
    <row r="1" spans="1:13" ht="14.25" customHeight="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31</v>
      </c>
      <c r="H1" s="1" t="s">
        <v>110</v>
      </c>
      <c r="I1" s="1" t="s">
        <v>67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 ht="14.25" customHeight="1">
      <c r="A2" s="1" t="s">
        <v>115</v>
      </c>
      <c r="B2" s="6">
        <v>46023</v>
      </c>
      <c r="C2" s="1" t="s">
        <v>116</v>
      </c>
      <c r="D2" s="1" t="s">
        <v>9</v>
      </c>
      <c r="E2" s="1"/>
      <c r="F2" s="1"/>
      <c r="G2" s="1" t="s">
        <v>37</v>
      </c>
      <c r="H2" s="1"/>
      <c r="I2" s="1"/>
      <c r="J2" s="1"/>
      <c r="K2" s="1"/>
      <c r="L2" s="2">
        <v>75000</v>
      </c>
      <c r="M2" s="1" t="s">
        <v>41</v>
      </c>
    </row>
    <row r="3" spans="1:13" ht="14.25" customHeight="1">
      <c r="A3" s="1" t="s">
        <v>117</v>
      </c>
      <c r="B3" s="6">
        <v>46024</v>
      </c>
      <c r="C3" s="1" t="s">
        <v>118</v>
      </c>
      <c r="D3" s="1" t="s">
        <v>9</v>
      </c>
      <c r="E3" s="1"/>
      <c r="F3" s="1"/>
      <c r="G3" s="1"/>
      <c r="H3" s="1" t="s">
        <v>119</v>
      </c>
      <c r="I3" s="1"/>
      <c r="J3" s="1"/>
      <c r="K3" s="1"/>
      <c r="L3" s="2">
        <v>4500</v>
      </c>
      <c r="M3" s="1" t="s">
        <v>120</v>
      </c>
    </row>
    <row r="4" spans="1:13" ht="14.25" customHeight="1">
      <c r="A4" s="1" t="s">
        <v>121</v>
      </c>
      <c r="B4" s="6">
        <v>46025</v>
      </c>
      <c r="C4" s="1" t="s">
        <v>118</v>
      </c>
      <c r="D4" s="1" t="s">
        <v>9</v>
      </c>
      <c r="E4" s="1"/>
      <c r="F4" s="1"/>
      <c r="G4" s="1"/>
      <c r="H4" s="1" t="s">
        <v>122</v>
      </c>
      <c r="I4" s="1"/>
      <c r="J4" s="1"/>
      <c r="K4" s="1" t="s">
        <v>95</v>
      </c>
      <c r="L4" s="2">
        <v>999</v>
      </c>
      <c r="M4" s="1" t="s">
        <v>123</v>
      </c>
    </row>
    <row r="5" spans="1:13" ht="14.25" customHeight="1">
      <c r="A5" s="1" t="s">
        <v>124</v>
      </c>
      <c r="B5" s="6">
        <v>46026</v>
      </c>
      <c r="C5" s="1" t="s">
        <v>118</v>
      </c>
      <c r="D5" s="1" t="s">
        <v>17</v>
      </c>
      <c r="E5" s="1"/>
      <c r="F5" s="1"/>
      <c r="G5" s="1"/>
      <c r="H5" s="1" t="s">
        <v>125</v>
      </c>
      <c r="I5" s="1" t="s">
        <v>78</v>
      </c>
      <c r="J5" s="1"/>
      <c r="K5" s="1"/>
      <c r="L5" s="2">
        <v>3500</v>
      </c>
      <c r="M5" s="1" t="s">
        <v>126</v>
      </c>
    </row>
    <row r="6" spans="1:13" ht="14.25" customHeight="1">
      <c r="A6" s="1" t="s">
        <v>127</v>
      </c>
      <c r="B6" s="6">
        <v>46027</v>
      </c>
      <c r="C6" s="1" t="s">
        <v>128</v>
      </c>
      <c r="D6" s="1" t="s">
        <v>9</v>
      </c>
      <c r="E6" s="1" t="s">
        <v>107</v>
      </c>
      <c r="F6" s="1" t="s">
        <v>21</v>
      </c>
      <c r="G6" s="1"/>
      <c r="H6" s="1"/>
      <c r="I6" s="1"/>
      <c r="J6" s="1" t="s">
        <v>129</v>
      </c>
      <c r="K6" s="1"/>
      <c r="L6" s="2">
        <v>5000</v>
      </c>
      <c r="M6" s="1" t="s">
        <v>130</v>
      </c>
    </row>
    <row r="7" spans="1:13" ht="14.25" customHeight="1">
      <c r="A7" s="1" t="s">
        <v>131</v>
      </c>
      <c r="B7" s="6">
        <v>46028</v>
      </c>
      <c r="C7" s="1" t="s">
        <v>128</v>
      </c>
      <c r="D7" s="1" t="s">
        <v>9</v>
      </c>
      <c r="E7" s="1" t="s">
        <v>107</v>
      </c>
      <c r="F7" s="1" t="s">
        <v>24</v>
      </c>
      <c r="G7" s="1"/>
      <c r="H7" s="1"/>
      <c r="I7" s="1"/>
      <c r="J7" s="1" t="s">
        <v>132</v>
      </c>
      <c r="K7" s="1"/>
      <c r="L7" s="2">
        <v>3000</v>
      </c>
      <c r="M7" s="1" t="s">
        <v>133</v>
      </c>
    </row>
    <row r="8" spans="1:13" ht="14.25" customHeight="1">
      <c r="A8" s="1" t="s">
        <v>134</v>
      </c>
      <c r="B8" s="6">
        <v>46029</v>
      </c>
      <c r="C8" s="1" t="s">
        <v>128</v>
      </c>
      <c r="D8" s="1" t="s">
        <v>9</v>
      </c>
      <c r="E8" s="1" t="s">
        <v>107</v>
      </c>
      <c r="F8" s="1" t="s">
        <v>13</v>
      </c>
      <c r="G8" s="1"/>
      <c r="H8" s="1"/>
      <c r="I8" s="1"/>
      <c r="J8" s="1"/>
      <c r="K8" s="1"/>
      <c r="L8" s="2">
        <v>2000</v>
      </c>
      <c r="M8" s="1" t="s">
        <v>135</v>
      </c>
    </row>
    <row r="9" spans="1:13" ht="14.25" customHeight="1">
      <c r="A9" s="1" t="s">
        <v>136</v>
      </c>
      <c r="B9" s="6">
        <v>46030</v>
      </c>
      <c r="C9" s="1" t="s">
        <v>118</v>
      </c>
      <c r="D9" s="1" t="s">
        <v>14</v>
      </c>
      <c r="E9" s="1"/>
      <c r="F9" s="1"/>
      <c r="G9" s="1"/>
      <c r="H9" s="1" t="s">
        <v>137</v>
      </c>
      <c r="I9" s="1"/>
      <c r="J9" s="1"/>
      <c r="K9" s="1"/>
      <c r="L9" s="2">
        <v>1500</v>
      </c>
      <c r="M9" s="1" t="s">
        <v>138</v>
      </c>
    </row>
    <row r="10" spans="1:13" ht="14.25" customHeight="1">
      <c r="A10" s="1" t="s">
        <v>139</v>
      </c>
      <c r="B10" s="6">
        <v>46031</v>
      </c>
      <c r="C10" s="1" t="s">
        <v>118</v>
      </c>
      <c r="D10" s="1" t="s">
        <v>9</v>
      </c>
      <c r="E10" s="1"/>
      <c r="F10" s="1"/>
      <c r="G10" s="1"/>
      <c r="H10" s="1" t="s">
        <v>140</v>
      </c>
      <c r="I10" s="1"/>
      <c r="J10" s="1"/>
      <c r="K10" s="1" t="s">
        <v>91</v>
      </c>
      <c r="L10" s="2">
        <v>649</v>
      </c>
      <c r="M10" s="1" t="s">
        <v>94</v>
      </c>
    </row>
    <row r="11" spans="1:13" ht="14.25" customHeight="1">
      <c r="A11" s="1" t="s">
        <v>141</v>
      </c>
      <c r="B11" s="6">
        <v>46032</v>
      </c>
      <c r="C11" s="1" t="s">
        <v>118</v>
      </c>
      <c r="D11" s="1" t="s">
        <v>9</v>
      </c>
      <c r="E11" s="1"/>
      <c r="F11" s="1"/>
      <c r="G11" s="1"/>
      <c r="H11" s="1" t="s">
        <v>142</v>
      </c>
      <c r="I11" s="1"/>
      <c r="J11" s="1"/>
      <c r="K11" s="1" t="s">
        <v>100</v>
      </c>
      <c r="L11" s="2">
        <v>1850</v>
      </c>
      <c r="M11" s="1" t="s">
        <v>143</v>
      </c>
    </row>
    <row r="12" spans="1:13" ht="14.25" customHeight="1">
      <c r="A12" s="1" t="s">
        <v>144</v>
      </c>
      <c r="B12" s="6">
        <v>46034</v>
      </c>
      <c r="C12" s="1" t="s">
        <v>118</v>
      </c>
      <c r="D12" s="1" t="s">
        <v>9</v>
      </c>
      <c r="E12" s="1"/>
      <c r="F12" s="1"/>
      <c r="G12" s="1"/>
      <c r="H12" s="1" t="s">
        <v>145</v>
      </c>
      <c r="I12" s="1"/>
      <c r="J12" s="1"/>
      <c r="K12" s="1"/>
      <c r="L12" s="2">
        <v>2500</v>
      </c>
      <c r="M12" s="1" t="s">
        <v>146</v>
      </c>
    </row>
    <row r="13" spans="1:13" ht="14.25" customHeight="1">
      <c r="A13" s="1" t="s">
        <v>147</v>
      </c>
      <c r="B13" s="6">
        <v>46037</v>
      </c>
      <c r="C13" s="1" t="s">
        <v>118</v>
      </c>
      <c r="D13" s="1" t="s">
        <v>9</v>
      </c>
      <c r="E13" s="1"/>
      <c r="F13" s="1"/>
      <c r="G13" s="1"/>
      <c r="H13" s="1" t="s">
        <v>148</v>
      </c>
      <c r="I13" s="1"/>
      <c r="J13" s="1"/>
      <c r="K13" s="1"/>
      <c r="L13" s="2">
        <v>2200</v>
      </c>
      <c r="M13" s="1" t="s">
        <v>149</v>
      </c>
    </row>
    <row r="14" spans="1:13" ht="14.25" customHeight="1">
      <c r="A14" s="1" t="s">
        <v>150</v>
      </c>
      <c r="B14" s="6">
        <v>46040</v>
      </c>
      <c r="C14" s="1" t="s">
        <v>118</v>
      </c>
      <c r="D14" s="1" t="s">
        <v>9</v>
      </c>
      <c r="E14" s="1"/>
      <c r="F14" s="1"/>
      <c r="G14" s="1"/>
      <c r="H14" s="1" t="s">
        <v>151</v>
      </c>
      <c r="I14" s="1"/>
      <c r="J14" s="1"/>
      <c r="K14" s="1"/>
      <c r="L14" s="2">
        <v>1800</v>
      </c>
      <c r="M14" s="1" t="s">
        <v>152</v>
      </c>
    </row>
    <row r="15" spans="1:13" ht="14.25" customHeight="1">
      <c r="A15" s="1" t="s">
        <v>153</v>
      </c>
      <c r="B15" s="6">
        <v>46042</v>
      </c>
      <c r="C15" s="1" t="s">
        <v>128</v>
      </c>
      <c r="D15" s="1" t="s">
        <v>9</v>
      </c>
      <c r="E15" s="1" t="s">
        <v>154</v>
      </c>
      <c r="F15" s="21" t="s">
        <v>75</v>
      </c>
      <c r="G15" s="1"/>
      <c r="H15" s="1"/>
      <c r="I15" s="1"/>
      <c r="J15" s="1"/>
      <c r="K15" s="1" t="s">
        <v>87</v>
      </c>
      <c r="L15" s="2">
        <v>24500</v>
      </c>
      <c r="M15" s="1" t="s">
        <v>155</v>
      </c>
    </row>
    <row r="16" spans="1:13" ht="14.25" customHeight="1">
      <c r="A16" s="1" t="s">
        <v>156</v>
      </c>
      <c r="B16" s="6">
        <v>46044</v>
      </c>
      <c r="C16" s="1" t="s">
        <v>116</v>
      </c>
      <c r="D16" s="1" t="s">
        <v>9</v>
      </c>
      <c r="E16" s="1"/>
      <c r="F16" s="1"/>
      <c r="G16" s="1" t="s">
        <v>42</v>
      </c>
      <c r="H16" s="1"/>
      <c r="I16" s="1"/>
      <c r="J16" s="1"/>
      <c r="K16" s="1"/>
      <c r="L16" s="2">
        <v>750</v>
      </c>
      <c r="M16" s="1" t="s">
        <v>157</v>
      </c>
    </row>
    <row r="17" spans="1:13" ht="14.25" customHeight="1">
      <c r="A17" s="1" t="s">
        <v>158</v>
      </c>
      <c r="B17" s="6">
        <v>46045</v>
      </c>
      <c r="C17" s="1" t="s">
        <v>116</v>
      </c>
      <c r="D17" s="1" t="s">
        <v>9</v>
      </c>
      <c r="E17" s="1"/>
      <c r="F17" s="1"/>
      <c r="G17" s="1" t="s">
        <v>46</v>
      </c>
      <c r="H17" s="1"/>
      <c r="I17" s="1"/>
      <c r="J17" s="1"/>
      <c r="K17" s="1"/>
      <c r="L17" s="2">
        <v>420</v>
      </c>
      <c r="M17" s="1" t="s">
        <v>159</v>
      </c>
    </row>
    <row r="18" spans="1:13" ht="14.25" customHeight="1">
      <c r="A18" s="1" t="s">
        <v>160</v>
      </c>
      <c r="B18" s="6">
        <v>46046</v>
      </c>
      <c r="C18" s="1" t="s">
        <v>128</v>
      </c>
      <c r="D18" s="1" t="s">
        <v>9</v>
      </c>
      <c r="E18" s="1" t="s">
        <v>154</v>
      </c>
      <c r="F18" s="1" t="s">
        <v>78</v>
      </c>
      <c r="G18" s="1"/>
      <c r="H18" s="1"/>
      <c r="I18" s="1" t="s">
        <v>78</v>
      </c>
      <c r="J18" s="1"/>
      <c r="K18" s="1"/>
      <c r="L18" s="2">
        <v>12000</v>
      </c>
      <c r="M18" s="1" t="s">
        <v>161</v>
      </c>
    </row>
    <row r="19" spans="1:13" ht="14.25" customHeight="1">
      <c r="A19" s="1" t="s">
        <v>162</v>
      </c>
      <c r="B19" s="6">
        <v>46048</v>
      </c>
      <c r="C19" s="1" t="s">
        <v>118</v>
      </c>
      <c r="D19" s="1" t="s">
        <v>9</v>
      </c>
      <c r="E19" s="1"/>
      <c r="F19" s="1"/>
      <c r="G19" s="1"/>
      <c r="H19" s="1" t="s">
        <v>163</v>
      </c>
      <c r="I19" s="1"/>
      <c r="J19" s="1"/>
      <c r="K19" s="1"/>
      <c r="L19" s="2">
        <v>5000</v>
      </c>
      <c r="M19" s="1" t="s">
        <v>164</v>
      </c>
    </row>
    <row r="20" spans="1:13" ht="14.25" customHeight="1">
      <c r="A20" s="1" t="s">
        <v>165</v>
      </c>
      <c r="B20" s="6">
        <v>46049</v>
      </c>
      <c r="C20" s="1" t="s">
        <v>118</v>
      </c>
      <c r="D20" s="1" t="s">
        <v>14</v>
      </c>
      <c r="E20" s="1"/>
      <c r="F20" s="1"/>
      <c r="G20" s="1"/>
      <c r="H20" s="1" t="s">
        <v>166</v>
      </c>
      <c r="I20" s="1"/>
      <c r="J20" s="1"/>
      <c r="K20" s="1"/>
      <c r="L20" s="2">
        <v>600</v>
      </c>
      <c r="M20" s="1" t="s">
        <v>167</v>
      </c>
    </row>
    <row r="21" spans="1:13" ht="14.25" customHeight="1">
      <c r="A21" s="1" t="s">
        <v>168</v>
      </c>
      <c r="B21" s="6">
        <v>46051</v>
      </c>
      <c r="C21" s="1" t="s">
        <v>116</v>
      </c>
      <c r="D21" s="1" t="s">
        <v>9</v>
      </c>
      <c r="E21" s="1"/>
      <c r="F21" s="1"/>
      <c r="G21" s="1" t="s">
        <v>50</v>
      </c>
      <c r="H21" s="1"/>
      <c r="I21" s="1"/>
      <c r="J21" s="1"/>
      <c r="K21" s="1"/>
      <c r="L21" s="2">
        <v>1000</v>
      </c>
      <c r="M21" s="1" t="s">
        <v>169</v>
      </c>
    </row>
    <row r="22" spans="1:13" ht="14.25" customHeight="1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</row>
    <row r="23" spans="1:13" ht="14.25" customHeight="1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</row>
    <row r="24" spans="1:13" ht="14.25" customHeight="1">
      <c r="A24" s="1"/>
      <c r="B24" s="6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</row>
    <row r="25" spans="1:13" ht="14.2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</row>
    <row r="26" spans="1:13" ht="14.25" customHeight="1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</row>
    <row r="27" spans="1:13" ht="14.2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</row>
    <row r="28" spans="1:13" ht="14.25" customHeight="1">
      <c r="A28" s="1"/>
      <c r="B28" s="6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</row>
    <row r="29" spans="1:13" ht="14.25" customHeight="1">
      <c r="A29" s="1"/>
      <c r="B29" s="6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</row>
    <row r="34" spans="1:13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4"/>
    </row>
    <row r="35" spans="1:13" ht="14.25" customHeight="1">
      <c r="A35" s="1"/>
      <c r="B35" s="6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</row>
    <row r="36" spans="1:13" ht="14.25" customHeight="1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</row>
    <row r="37" spans="1:13" ht="14.25" customHeight="1">
      <c r="A37" s="1"/>
      <c r="B37" s="6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</row>
    <row r="38" spans="1:13" ht="14.25" customHeight="1">
      <c r="A38" s="1"/>
      <c r="B38" s="6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</row>
    <row r="39" spans="1:13" ht="14.25" customHeight="1">
      <c r="A39" s="1"/>
      <c r="B39" s="6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</row>
    <row r="40" spans="1:13" ht="14.25" customHeight="1">
      <c r="A40" s="1"/>
      <c r="B40" s="6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</row>
    <row r="41" spans="1:13" ht="14.25" customHeight="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</row>
    <row r="42" spans="1:13" ht="14.25" customHeight="1">
      <c r="A42" s="1"/>
      <c r="B42" s="6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</row>
    <row r="43" spans="1:13" ht="14.25" customHeight="1">
      <c r="A43" s="1"/>
      <c r="B43" s="6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</row>
    <row r="44" spans="1:13" ht="14.25" customHeight="1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</row>
    <row r="45" spans="1:13" ht="14.25" customHeight="1">
      <c r="A45" s="1"/>
      <c r="B45" s="6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</row>
    <row r="46" spans="1:13" ht="14.25" customHeight="1">
      <c r="A46" s="1"/>
      <c r="B46" s="6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</row>
    <row r="47" spans="1:13" ht="14.25" customHeight="1">
      <c r="A47" s="1"/>
      <c r="B47" s="6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</row>
    <row r="48" spans="1:13" ht="14.25" customHeight="1">
      <c r="A48" s="1"/>
      <c r="B48" s="6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</row>
    <row r="49" spans="1:13" ht="14.25" customHeight="1">
      <c r="A49" s="1"/>
      <c r="B49" s="6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</row>
    <row r="50" spans="1:13" ht="14.25" customHeight="1">
      <c r="A50" s="1"/>
      <c r="B50" s="6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</row>
    <row r="51" spans="1:13" ht="14.25" customHeight="1">
      <c r="A51" s="1"/>
      <c r="B51" s="6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</row>
    <row r="52" spans="1:13" ht="14.25" customHeight="1">
      <c r="A52" s="1"/>
      <c r="B52" s="6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</row>
    <row r="53" spans="1:13" ht="14.25" customHeight="1">
      <c r="A53" s="1"/>
      <c r="B53" s="6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</row>
    <row r="54" spans="1:13" ht="14.25" customHeight="1">
      <c r="A54" s="1"/>
      <c r="B54" s="6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</row>
  </sheetData>
  <dataValidations count="4">
    <dataValidation type="date" operator="greaterThanOrEqual" showInputMessage="1" showErrorMessage="1" sqref="B2:B21" xr:uid="{00000000-0002-0000-0800-000000000000}">
      <formula1>1</formula1>
      <formula2>0</formula2>
    </dataValidation>
    <dataValidation type="list" showInputMessage="1" showErrorMessage="1" sqref="C2:C21" xr:uid="{00000000-0002-0000-0800-000001000000}">
      <formula1>lstTransactionTypes</formula1>
      <formula2>0</formula2>
    </dataValidation>
    <dataValidation type="list" showInputMessage="1" showErrorMessage="1" sqref="D2:D21" xr:uid="{00000000-0002-0000-0800-000002000000}">
      <formula1>lstAccountNames</formula1>
      <formula2>0</formula2>
    </dataValidation>
    <dataValidation type="list" allowBlank="1" showInputMessage="1" showErrorMessage="1" sqref="E2:E21" xr:uid="{00000000-0002-0000-0800-000003000000}">
      <formula1>lstDestinationTypes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3"/>
  <sheetViews>
    <sheetView zoomScaleNormal="100" workbookViewId="0">
      <selection activeCell="C3" sqref="C3"/>
    </sheetView>
  </sheetViews>
  <sheetFormatPr defaultColWidth="8.7109375" defaultRowHeight="15"/>
  <cols>
    <col min="1" max="1" width="8.85546875" style="21" customWidth="1"/>
    <col min="2" max="2" width="20.28515625" style="21" customWidth="1"/>
    <col min="3" max="3" width="19.140625" style="21" customWidth="1"/>
    <col min="4" max="4" width="15.5703125" style="21" customWidth="1"/>
    <col min="5" max="5" width="22.140625" style="21" customWidth="1"/>
    <col min="6" max="6" width="12.5703125" style="21" customWidth="1"/>
    <col min="7" max="7" width="18.140625" style="21" customWidth="1"/>
    <col min="8" max="8" width="8.140625" style="21" customWidth="1"/>
    <col min="9" max="9" width="25.7109375" style="21" customWidth="1"/>
  </cols>
  <sheetData>
    <row r="1" spans="1:9" ht="14.25" customHeight="1">
      <c r="A1" s="1" t="s">
        <v>111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6</v>
      </c>
      <c r="I1" s="1" t="s">
        <v>7</v>
      </c>
    </row>
    <row r="2" spans="1:9" ht="14.25" customHeight="1">
      <c r="A2" s="1" t="s">
        <v>129</v>
      </c>
      <c r="B2" s="1" t="s">
        <v>176</v>
      </c>
      <c r="C2" s="1" t="s">
        <v>176</v>
      </c>
      <c r="D2" s="2">
        <v>300000</v>
      </c>
      <c r="E2" s="2">
        <v>50000</v>
      </c>
      <c r="F2" s="6">
        <v>46752</v>
      </c>
      <c r="G2" s="1" t="s">
        <v>9</v>
      </c>
      <c r="H2" s="1" t="b">
        <f>TRUE()</f>
        <v>1</v>
      </c>
      <c r="I2" s="1" t="s">
        <v>177</v>
      </c>
    </row>
    <row r="3" spans="1:9" ht="14.25" customHeight="1">
      <c r="A3" s="1" t="s">
        <v>132</v>
      </c>
      <c r="B3" s="1" t="s">
        <v>178</v>
      </c>
      <c r="C3" s="1" t="s">
        <v>179</v>
      </c>
      <c r="D3" s="2">
        <v>250000</v>
      </c>
      <c r="E3" s="2">
        <v>20000</v>
      </c>
      <c r="F3" s="6">
        <v>46934</v>
      </c>
      <c r="G3" s="1"/>
      <c r="H3" s="1" t="b">
        <f>TRUE()</f>
        <v>1</v>
      </c>
      <c r="I3" s="1" t="s">
        <v>133</v>
      </c>
    </row>
    <row r="4" spans="1:9" ht="14.25" customHeight="1">
      <c r="A4" s="4"/>
      <c r="B4" s="4"/>
    </row>
    <row r="5" spans="1:9" ht="14.25" customHeight="1">
      <c r="A5" s="1"/>
      <c r="B5" s="1"/>
    </row>
    <row r="6" spans="1:9" ht="14.25" customHeight="1">
      <c r="A6" s="1"/>
      <c r="B6" s="1"/>
    </row>
    <row r="7" spans="1:9" ht="14.25" customHeight="1">
      <c r="A7" s="1"/>
      <c r="B7" s="1"/>
    </row>
    <row r="8" spans="1:9" ht="14.25" customHeight="1">
      <c r="A8" s="1"/>
      <c r="B8" s="1"/>
    </row>
    <row r="9" spans="1:9" ht="14.25" customHeight="1">
      <c r="A9" s="4"/>
      <c r="B9" s="4"/>
      <c r="C9" s="4"/>
      <c r="D9" s="5"/>
      <c r="E9" s="5"/>
      <c r="F9" s="4"/>
      <c r="G9" s="4"/>
      <c r="H9" s="4"/>
      <c r="I9" s="4"/>
    </row>
    <row r="10" spans="1:9" ht="14.25" customHeight="1">
      <c r="A10" s="1"/>
      <c r="B10" s="1"/>
      <c r="C10" s="1"/>
      <c r="D10" s="2"/>
      <c r="E10" s="2"/>
      <c r="F10" s="6"/>
      <c r="G10" s="1"/>
      <c r="H10" s="1"/>
      <c r="I10" s="1"/>
    </row>
    <row r="11" spans="1:9" ht="14.25" customHeight="1">
      <c r="A11" s="1"/>
      <c r="B11" s="1"/>
      <c r="C11" s="1"/>
      <c r="D11" s="2"/>
      <c r="E11" s="2"/>
      <c r="F11" s="6"/>
      <c r="G11" s="1"/>
      <c r="H11" s="1"/>
      <c r="I11" s="1"/>
    </row>
    <row r="12" spans="1:9" ht="14.25" customHeight="1">
      <c r="A12" s="1"/>
      <c r="B12" s="1"/>
    </row>
    <row r="13" spans="1:9" ht="14.25" customHeight="1">
      <c r="A13" s="1"/>
      <c r="B13" s="1"/>
    </row>
  </sheetData>
  <dataValidations count="5">
    <dataValidation type="decimal" operator="greaterThanOrEqual" allowBlank="1" showInputMessage="1" showErrorMessage="1" sqref="D2:E4" xr:uid="{00000000-0002-0000-0900-000000000000}">
      <formula1>0</formula1>
      <formula2>0</formula2>
    </dataValidation>
    <dataValidation type="date" operator="greaterThanOrEqual" allowBlank="1" showInputMessage="1" showErrorMessage="1" sqref="F2:F4" xr:uid="{00000000-0002-0000-0900-000001000000}">
      <formula1>1</formula1>
      <formula2>0</formula2>
    </dataValidation>
    <dataValidation type="list" allowBlank="1" showInputMessage="1" showErrorMessage="1" sqref="C2:C4" xr:uid="{00000000-0002-0000-0900-000002000000}">
      <formula1>lstGoalTypes</formula1>
      <formula2>0</formula2>
    </dataValidation>
    <dataValidation type="list" allowBlank="1" showInputMessage="1" showErrorMessage="1" sqref="H2:H4" xr:uid="{00000000-0002-0000-0900-000003000000}">
      <formula1>lstBoolean</formula1>
      <formula2>0</formula2>
    </dataValidation>
    <dataValidation type="list" allowBlank="1" showInputMessage="1" showErrorMessage="1" sqref="G2:G4" xr:uid="{00000000-0002-0000-0900-000004000000}">
      <formula1>lstAccountNames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94"/>
  <sheetViews>
    <sheetView zoomScaleNormal="100" workbookViewId="0">
      <selection activeCell="E7" sqref="E7"/>
    </sheetView>
  </sheetViews>
  <sheetFormatPr defaultColWidth="8.7109375" defaultRowHeight="15"/>
  <cols>
    <col min="1" max="1" width="13.28515625" style="21" customWidth="1"/>
    <col min="2" max="2" width="20" style="21" customWidth="1"/>
    <col min="3" max="3" width="15.7109375" style="21" customWidth="1"/>
    <col min="4" max="4" width="15.140625" style="21" customWidth="1"/>
    <col min="6" max="6" width="34.7109375" style="21" customWidth="1"/>
    <col min="23" max="23" width="8.85546875" style="21" customWidth="1"/>
    <col min="25" max="25" width="8.42578125" style="21" customWidth="1"/>
    <col min="26" max="26" width="7.42578125" style="21" customWidth="1"/>
    <col min="27" max="27" width="6.5703125" style="21" customWidth="1"/>
  </cols>
  <sheetData>
    <row r="1" spans="1:28" ht="14.25" customHeight="1">
      <c r="A1" s="21" t="s">
        <v>110</v>
      </c>
      <c r="B1" s="21" t="s">
        <v>180</v>
      </c>
      <c r="C1" s="21" t="s">
        <v>181</v>
      </c>
      <c r="D1" s="21" t="s">
        <v>182</v>
      </c>
      <c r="E1" s="21" t="s">
        <v>6</v>
      </c>
      <c r="F1" s="21" t="s">
        <v>7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X1" s="21"/>
      <c r="AB1" s="21"/>
    </row>
    <row r="2" spans="1:28" ht="14.25" customHeight="1">
      <c r="A2" s="21" t="s">
        <v>37</v>
      </c>
      <c r="B2" s="1" t="s">
        <v>39</v>
      </c>
      <c r="C2" s="21" t="s">
        <v>116</v>
      </c>
      <c r="D2" s="21">
        <v>10</v>
      </c>
      <c r="E2" s="21" t="b">
        <f>TRUE()</f>
        <v>1</v>
      </c>
      <c r="F2" s="1" t="s">
        <v>183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X2" s="21"/>
      <c r="AB2" s="21"/>
    </row>
    <row r="3" spans="1:28" ht="14.25" customHeight="1">
      <c r="A3" s="21" t="s">
        <v>42</v>
      </c>
      <c r="B3" s="1" t="s">
        <v>184</v>
      </c>
      <c r="C3" s="21" t="s">
        <v>116</v>
      </c>
      <c r="D3" s="21">
        <v>20</v>
      </c>
      <c r="E3" s="21" t="b">
        <f>TRUE()</f>
        <v>1</v>
      </c>
      <c r="F3" s="1" t="s">
        <v>185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X3" s="21"/>
      <c r="AB3" s="21"/>
    </row>
    <row r="4" spans="1:28" ht="14.25" customHeight="1">
      <c r="A4" s="21" t="s">
        <v>46</v>
      </c>
      <c r="B4" s="1" t="s">
        <v>186</v>
      </c>
      <c r="C4" s="21" t="s">
        <v>116</v>
      </c>
      <c r="D4" s="21">
        <v>30</v>
      </c>
      <c r="E4" s="21" t="b">
        <f>TRUE()</f>
        <v>1</v>
      </c>
      <c r="F4" s="1" t="s">
        <v>187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X4" s="21"/>
      <c r="AB4" s="21"/>
    </row>
    <row r="5" spans="1:28" ht="14.25" customHeight="1">
      <c r="A5" s="21" t="s">
        <v>50</v>
      </c>
      <c r="B5" s="1" t="s">
        <v>188</v>
      </c>
      <c r="C5" s="21" t="s">
        <v>116</v>
      </c>
      <c r="D5" s="21">
        <v>40</v>
      </c>
      <c r="E5" s="21" t="b">
        <f>TRUE()</f>
        <v>1</v>
      </c>
      <c r="F5" s="1" t="s">
        <v>189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X5" s="21"/>
      <c r="AB5" s="21"/>
    </row>
    <row r="6" spans="1:28" ht="14.25" customHeight="1">
      <c r="A6" s="21" t="s">
        <v>190</v>
      </c>
      <c r="B6" s="1" t="s">
        <v>191</v>
      </c>
      <c r="C6" s="21" t="s">
        <v>116</v>
      </c>
      <c r="D6" s="21">
        <v>50</v>
      </c>
      <c r="E6" s="21" t="b">
        <f>TRUE()</f>
        <v>1</v>
      </c>
      <c r="F6" s="1" t="s">
        <v>192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X6" s="21"/>
      <c r="AB6" s="21"/>
    </row>
    <row r="7" spans="1:28" ht="14.25" customHeight="1">
      <c r="A7" s="21" t="s">
        <v>193</v>
      </c>
      <c r="B7" s="1" t="s">
        <v>48</v>
      </c>
      <c r="C7" s="21" t="s">
        <v>116</v>
      </c>
      <c r="D7" s="21">
        <v>60</v>
      </c>
      <c r="E7" s="21" t="b">
        <f>TRUE()</f>
        <v>1</v>
      </c>
      <c r="F7" s="1" t="s">
        <v>194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X7" s="21"/>
      <c r="AB7" s="21"/>
    </row>
    <row r="8" spans="1:28" ht="14.25" customHeight="1">
      <c r="A8" s="21" t="s">
        <v>195</v>
      </c>
      <c r="B8" s="1" t="s">
        <v>44</v>
      </c>
      <c r="C8" s="21" t="s">
        <v>116</v>
      </c>
      <c r="D8" s="21">
        <v>70</v>
      </c>
      <c r="E8" s="21" t="b">
        <f>TRUE()</f>
        <v>1</v>
      </c>
      <c r="F8" s="1" t="s">
        <v>196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X8" s="21"/>
      <c r="AB8" s="21"/>
    </row>
    <row r="9" spans="1:28" ht="14.25" customHeight="1">
      <c r="A9" s="21" t="s">
        <v>197</v>
      </c>
      <c r="B9" s="1" t="s">
        <v>52</v>
      </c>
      <c r="C9" s="21" t="s">
        <v>116</v>
      </c>
      <c r="D9" s="21">
        <v>80</v>
      </c>
      <c r="E9" s="21" t="b">
        <f>TRUE()</f>
        <v>1</v>
      </c>
      <c r="F9" s="1" t="s">
        <v>198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X9" s="21"/>
      <c r="AB9" s="21"/>
    </row>
    <row r="10" spans="1:28" ht="14.25" customHeight="1">
      <c r="A10" s="21" t="s">
        <v>199</v>
      </c>
      <c r="B10" s="1" t="s">
        <v>200</v>
      </c>
      <c r="C10" s="21" t="s">
        <v>116</v>
      </c>
      <c r="D10" s="21">
        <v>90</v>
      </c>
      <c r="E10" s="21" t="b">
        <f>TRUE()</f>
        <v>1</v>
      </c>
      <c r="F10" s="1" t="s">
        <v>201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X10" s="21"/>
      <c r="AB10" s="21"/>
    </row>
    <row r="11" spans="1:28" ht="14.25" customHeight="1">
      <c r="A11" s="21" t="s">
        <v>202</v>
      </c>
      <c r="B11" s="1" t="s">
        <v>203</v>
      </c>
      <c r="C11" s="21" t="s">
        <v>118</v>
      </c>
      <c r="D11" s="21">
        <v>100</v>
      </c>
      <c r="E11" s="21" t="b">
        <f>TRUE()</f>
        <v>1</v>
      </c>
      <c r="F11" s="1" t="s">
        <v>204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X11" s="21"/>
      <c r="AB11" s="21"/>
    </row>
    <row r="12" spans="1:28" ht="14.25" customHeight="1">
      <c r="A12" s="21" t="s">
        <v>119</v>
      </c>
      <c r="B12" s="1" t="s">
        <v>205</v>
      </c>
      <c r="C12" s="21" t="s">
        <v>118</v>
      </c>
      <c r="D12" s="21">
        <v>110</v>
      </c>
      <c r="E12" s="21" t="b">
        <f>TRUE()</f>
        <v>1</v>
      </c>
      <c r="F12" s="1" t="s">
        <v>120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X12" s="21"/>
      <c r="AB12" s="21"/>
    </row>
    <row r="13" spans="1:28" ht="14.25" customHeight="1">
      <c r="A13" s="21" t="s">
        <v>148</v>
      </c>
      <c r="B13" s="1" t="s">
        <v>206</v>
      </c>
      <c r="C13" s="21" t="s">
        <v>118</v>
      </c>
      <c r="D13" s="21">
        <v>120</v>
      </c>
      <c r="E13" s="21" t="b">
        <f>TRUE()</f>
        <v>1</v>
      </c>
      <c r="F13" s="1" t="s">
        <v>207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X13" s="21"/>
      <c r="AB13" s="21"/>
    </row>
    <row r="14" spans="1:28" ht="14.25" customHeight="1">
      <c r="A14" s="21" t="s">
        <v>208</v>
      </c>
      <c r="B14" s="1" t="s">
        <v>209</v>
      </c>
      <c r="C14" s="21" t="s">
        <v>118</v>
      </c>
      <c r="D14" s="21">
        <v>130</v>
      </c>
      <c r="E14" s="21" t="b">
        <f>TRUE()</f>
        <v>1</v>
      </c>
      <c r="F14" s="1" t="s">
        <v>210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X14" s="21"/>
      <c r="AB14" s="21"/>
    </row>
    <row r="15" spans="1:28" ht="14.25" customHeight="1">
      <c r="A15" s="21" t="s">
        <v>145</v>
      </c>
      <c r="B15" s="1" t="s">
        <v>146</v>
      </c>
      <c r="C15" s="21" t="s">
        <v>118</v>
      </c>
      <c r="D15" s="21">
        <v>140</v>
      </c>
      <c r="E15" s="21" t="b">
        <f>TRUE()</f>
        <v>1</v>
      </c>
      <c r="F15" s="1" t="s">
        <v>211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X15" s="21"/>
      <c r="AB15" s="21"/>
    </row>
    <row r="16" spans="1:28" ht="14.25" customHeight="1">
      <c r="A16" s="21" t="s">
        <v>142</v>
      </c>
      <c r="B16" s="1" t="s">
        <v>212</v>
      </c>
      <c r="C16" s="21" t="s">
        <v>118</v>
      </c>
      <c r="D16" s="21">
        <v>150</v>
      </c>
      <c r="E16" s="21" t="b">
        <f>TRUE()</f>
        <v>1</v>
      </c>
      <c r="F16" s="1" t="s">
        <v>213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X16" s="21"/>
      <c r="AB16" s="21"/>
    </row>
    <row r="17" spans="1:28" ht="14.25" customHeight="1">
      <c r="A17" s="21" t="s">
        <v>122</v>
      </c>
      <c r="B17" s="1" t="s">
        <v>97</v>
      </c>
      <c r="C17" s="21" t="s">
        <v>118</v>
      </c>
      <c r="D17" s="21">
        <v>160</v>
      </c>
      <c r="E17" s="21" t="b">
        <f>TRUE()</f>
        <v>1</v>
      </c>
      <c r="F17" s="1" t="s">
        <v>214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X17" s="21"/>
      <c r="AB17" s="21"/>
    </row>
    <row r="18" spans="1:28" ht="14.25" customHeight="1">
      <c r="A18" s="21" t="s">
        <v>215</v>
      </c>
      <c r="B18" s="1" t="s">
        <v>216</v>
      </c>
      <c r="C18" s="21" t="s">
        <v>118</v>
      </c>
      <c r="D18" s="21">
        <v>170</v>
      </c>
      <c r="E18" s="21" t="b">
        <f>TRUE()</f>
        <v>1</v>
      </c>
      <c r="F18" s="1" t="s">
        <v>217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X18" s="21"/>
      <c r="AB18" s="21"/>
    </row>
    <row r="19" spans="1:28" ht="14.25" customHeight="1">
      <c r="A19" s="21" t="s">
        <v>218</v>
      </c>
      <c r="B19" s="1" t="s">
        <v>219</v>
      </c>
      <c r="C19" s="21" t="s">
        <v>118</v>
      </c>
      <c r="D19" s="21">
        <v>180</v>
      </c>
      <c r="E19" s="21" t="b">
        <f>TRUE()</f>
        <v>1</v>
      </c>
      <c r="F19" s="1" t="s">
        <v>220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X19" s="21"/>
      <c r="AB19" s="21"/>
    </row>
    <row r="20" spans="1:28" ht="14.25" customHeight="1">
      <c r="A20" s="21" t="s">
        <v>151</v>
      </c>
      <c r="B20" s="1" t="s">
        <v>221</v>
      </c>
      <c r="C20" s="21" t="s">
        <v>118</v>
      </c>
      <c r="D20" s="21">
        <v>190</v>
      </c>
      <c r="E20" s="21" t="b">
        <f>TRUE()</f>
        <v>1</v>
      </c>
      <c r="F20" s="1" t="s">
        <v>222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X20" s="21"/>
      <c r="AB20" s="21"/>
    </row>
    <row r="21" spans="1:28" ht="14.25" customHeight="1">
      <c r="A21" s="21" t="s">
        <v>166</v>
      </c>
      <c r="B21" s="1" t="s">
        <v>223</v>
      </c>
      <c r="C21" s="21" t="s">
        <v>118</v>
      </c>
      <c r="D21" s="21">
        <v>200</v>
      </c>
      <c r="E21" s="21" t="b">
        <f>TRUE()</f>
        <v>1</v>
      </c>
      <c r="F21" s="1" t="s">
        <v>167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X21" s="21"/>
      <c r="AB21" s="21"/>
    </row>
    <row r="22" spans="1:28" ht="14.25" customHeight="1">
      <c r="A22" s="21" t="s">
        <v>137</v>
      </c>
      <c r="B22" s="1" t="s">
        <v>224</v>
      </c>
      <c r="C22" s="21" t="s">
        <v>118</v>
      </c>
      <c r="D22" s="21">
        <v>210</v>
      </c>
      <c r="E22" s="21" t="b">
        <f>TRUE()</f>
        <v>1</v>
      </c>
      <c r="F22" s="1" t="s">
        <v>225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X22" s="21"/>
      <c r="AB22" s="21"/>
    </row>
    <row r="23" spans="1:28" ht="14.25" customHeight="1">
      <c r="A23" s="21" t="s">
        <v>140</v>
      </c>
      <c r="B23" s="1" t="s">
        <v>226</v>
      </c>
      <c r="C23" s="21" t="s">
        <v>118</v>
      </c>
      <c r="D23" s="21">
        <v>220</v>
      </c>
      <c r="E23" s="21" t="b">
        <f>TRUE()</f>
        <v>1</v>
      </c>
      <c r="F23" s="1" t="s">
        <v>227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X23" s="21"/>
      <c r="AB23" s="21"/>
    </row>
    <row r="24" spans="1:28" ht="14.25" customHeight="1">
      <c r="A24" s="21" t="s">
        <v>125</v>
      </c>
      <c r="B24" s="1" t="s">
        <v>228</v>
      </c>
      <c r="C24" s="21" t="s">
        <v>118</v>
      </c>
      <c r="D24" s="21">
        <v>230</v>
      </c>
      <c r="E24" s="21" t="b">
        <f>TRUE()</f>
        <v>1</v>
      </c>
      <c r="F24" s="1" t="s">
        <v>229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X24" s="21"/>
      <c r="AB24" s="21"/>
    </row>
    <row r="25" spans="1:28" ht="14.25" customHeight="1">
      <c r="A25" s="21" t="s">
        <v>163</v>
      </c>
      <c r="B25" s="1" t="s">
        <v>230</v>
      </c>
      <c r="C25" s="21" t="s">
        <v>118</v>
      </c>
      <c r="D25" s="21">
        <v>240</v>
      </c>
      <c r="E25" s="21" t="b">
        <f>TRUE()</f>
        <v>1</v>
      </c>
      <c r="F25" s="1" t="s">
        <v>231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X25" s="21"/>
      <c r="AB25" s="21"/>
    </row>
    <row r="26" spans="1:28" ht="14.25" customHeight="1">
      <c r="A26" s="21" t="s">
        <v>232</v>
      </c>
      <c r="B26" s="1" t="s">
        <v>233</v>
      </c>
      <c r="C26" s="21" t="s">
        <v>118</v>
      </c>
      <c r="D26" s="21">
        <v>250</v>
      </c>
      <c r="E26" s="21" t="b">
        <f>TRUE()</f>
        <v>1</v>
      </c>
      <c r="F26" s="1" t="s">
        <v>234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X26" s="21"/>
      <c r="AB26" s="21"/>
    </row>
    <row r="27" spans="1:28" ht="14.25" customHeight="1">
      <c r="A27" s="21" t="s">
        <v>235</v>
      </c>
      <c r="B27" s="1" t="s">
        <v>236</v>
      </c>
      <c r="C27" s="21" t="s">
        <v>118</v>
      </c>
      <c r="D27" s="21">
        <v>260</v>
      </c>
      <c r="E27" s="21" t="b">
        <f>TRUE()</f>
        <v>1</v>
      </c>
      <c r="F27" s="1" t="s">
        <v>237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X27" s="21"/>
      <c r="AB27" s="21"/>
    </row>
    <row r="28" spans="1:28" ht="14.25" customHeight="1">
      <c r="A28" s="21" t="s">
        <v>238</v>
      </c>
      <c r="B28" s="1" t="s">
        <v>239</v>
      </c>
      <c r="C28" s="21" t="s">
        <v>118</v>
      </c>
      <c r="D28" s="21">
        <v>270</v>
      </c>
      <c r="E28" s="21" t="b">
        <f>TRUE()</f>
        <v>1</v>
      </c>
      <c r="F28" s="1" t="s">
        <v>240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X28" s="21"/>
      <c r="AB28" s="21"/>
    </row>
    <row r="29" spans="1:28" ht="14.25" customHeight="1">
      <c r="A29" s="21" t="s">
        <v>241</v>
      </c>
      <c r="B29" s="1" t="s">
        <v>242</v>
      </c>
      <c r="C29" s="21" t="s">
        <v>118</v>
      </c>
      <c r="D29" s="21">
        <v>280</v>
      </c>
      <c r="E29" s="21" t="b">
        <f>TRUE()</f>
        <v>1</v>
      </c>
      <c r="F29" s="1" t="s">
        <v>243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X29" s="21"/>
      <c r="AB29" s="21"/>
    </row>
    <row r="30" spans="1:28">
      <c r="E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X30" s="21"/>
      <c r="AB30" s="21"/>
    </row>
    <row r="32" spans="1:28">
      <c r="E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X32" s="21"/>
      <c r="AB32" s="21"/>
    </row>
    <row r="64" spans="5:28">
      <c r="E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X64" s="21"/>
      <c r="AB64" s="21"/>
    </row>
    <row r="65" spans="5:28" ht="14.25" customHeight="1">
      <c r="E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4"/>
      <c r="X65" s="4"/>
      <c r="Y65" s="4"/>
      <c r="Z65" s="5"/>
      <c r="AA65" s="4"/>
      <c r="AB65" s="4"/>
    </row>
    <row r="66" spans="5:28" ht="14.25" customHeight="1">
      <c r="E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1"/>
      <c r="X66" s="1"/>
      <c r="Y66" s="1"/>
      <c r="Z66" s="2"/>
      <c r="AA66" s="7"/>
      <c r="AB66" s="1"/>
    </row>
    <row r="67" spans="5:28" ht="14.25" customHeight="1">
      <c r="E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1"/>
      <c r="X67" s="1"/>
      <c r="Y67" s="1"/>
      <c r="Z67" s="2"/>
      <c r="AA67" s="7"/>
      <c r="AB67" s="1"/>
    </row>
    <row r="68" spans="5:28" ht="14.25" customHeight="1">
      <c r="E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1"/>
      <c r="X68" s="1"/>
      <c r="Y68" s="1"/>
      <c r="Z68" s="2"/>
      <c r="AA68" s="7"/>
      <c r="AB68" s="1"/>
    </row>
    <row r="69" spans="5:28" ht="14.25" customHeight="1">
      <c r="E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1"/>
      <c r="X69" s="1"/>
      <c r="Y69" s="1"/>
      <c r="Z69" s="2"/>
      <c r="AA69" s="7"/>
      <c r="AB69" s="1"/>
    </row>
    <row r="70" spans="5:28" ht="14.25" customHeight="1">
      <c r="E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1"/>
      <c r="X70" s="1"/>
      <c r="Y70" s="1"/>
      <c r="Z70" s="2"/>
      <c r="AA70" s="7"/>
      <c r="AB70" s="1"/>
    </row>
    <row r="71" spans="5:28" ht="14.25" customHeight="1">
      <c r="E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1"/>
      <c r="X71" s="1"/>
      <c r="Y71" s="1"/>
      <c r="Z71" s="2"/>
      <c r="AA71" s="7"/>
      <c r="AB71" s="1"/>
    </row>
    <row r="72" spans="5:28" ht="14.25" customHeight="1">
      <c r="E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1"/>
      <c r="X72" s="1"/>
      <c r="Y72" s="1"/>
      <c r="Z72" s="2"/>
      <c r="AA72" s="7"/>
      <c r="AB72" s="1"/>
    </row>
    <row r="73" spans="5:28" ht="14.25" customHeight="1">
      <c r="E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1"/>
      <c r="X73" s="1"/>
      <c r="Y73" s="1"/>
      <c r="Z73" s="2"/>
      <c r="AA73" s="7"/>
      <c r="AB73" s="1"/>
    </row>
    <row r="74" spans="5:28" ht="14.25" customHeight="1">
      <c r="E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1"/>
      <c r="X74" s="1"/>
      <c r="Y74" s="1"/>
      <c r="Z74" s="2"/>
      <c r="AA74" s="7"/>
      <c r="AB74" s="1"/>
    </row>
    <row r="75" spans="5:28" ht="14.25" customHeight="1">
      <c r="E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1"/>
      <c r="X75" s="1"/>
      <c r="Y75" s="1"/>
      <c r="Z75" s="2"/>
      <c r="AA75" s="7"/>
      <c r="AB75" s="1"/>
    </row>
    <row r="76" spans="5:28" ht="14.25" customHeight="1">
      <c r="E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1"/>
      <c r="X76" s="1"/>
      <c r="Y76" s="1"/>
      <c r="Z76" s="2"/>
      <c r="AA76" s="7"/>
      <c r="AB76" s="1"/>
    </row>
    <row r="77" spans="5:28" ht="14.25" customHeight="1">
      <c r="E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1"/>
      <c r="X77" s="1"/>
      <c r="Y77" s="1"/>
      <c r="Z77" s="2"/>
      <c r="AA77" s="7"/>
      <c r="AB77" s="1"/>
    </row>
    <row r="78" spans="5:28" ht="14.25" customHeight="1">
      <c r="E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1"/>
      <c r="X78" s="1"/>
      <c r="Y78" s="1"/>
      <c r="Z78" s="2"/>
      <c r="AA78" s="7"/>
      <c r="AB78" s="1"/>
    </row>
    <row r="79" spans="5:28" ht="14.25" customHeight="1">
      <c r="E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1"/>
      <c r="X79" s="1"/>
      <c r="Y79" s="1"/>
      <c r="Z79" s="2"/>
      <c r="AA79" s="7"/>
      <c r="AB79" s="1"/>
    </row>
    <row r="80" spans="5:28" ht="14.25" customHeight="1">
      <c r="E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1"/>
      <c r="X80" s="1"/>
      <c r="Y80" s="1"/>
      <c r="Z80" s="2"/>
      <c r="AA80" s="7"/>
      <c r="AB80" s="1"/>
    </row>
    <row r="81" spans="5:28" ht="14.25" customHeight="1">
      <c r="E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1"/>
      <c r="X81" s="1"/>
      <c r="Y81" s="1"/>
      <c r="Z81" s="2"/>
      <c r="AA81" s="7"/>
      <c r="AB81" s="1"/>
    </row>
    <row r="82" spans="5:28" ht="14.25" customHeight="1">
      <c r="E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1"/>
      <c r="X82" s="1"/>
      <c r="Y82" s="1"/>
      <c r="Z82" s="2"/>
      <c r="AA82" s="7"/>
      <c r="AB82" s="1"/>
    </row>
    <row r="83" spans="5:28" ht="14.25" customHeight="1">
      <c r="E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1"/>
      <c r="X83" s="1"/>
      <c r="Y83" s="1"/>
      <c r="Z83" s="2"/>
      <c r="AA83" s="7"/>
      <c r="AB83" s="1"/>
    </row>
    <row r="84" spans="5:28" ht="14.25" customHeight="1">
      <c r="E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1"/>
      <c r="X84" s="1"/>
      <c r="Y84" s="1"/>
      <c r="Z84" s="2"/>
      <c r="AA84" s="7"/>
      <c r="AB84" s="1"/>
    </row>
    <row r="85" spans="5:28" ht="14.25" customHeight="1">
      <c r="E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1"/>
      <c r="X85" s="1"/>
      <c r="Y85" s="1"/>
      <c r="Z85" s="2"/>
      <c r="AA85" s="7"/>
      <c r="AB85" s="1"/>
    </row>
    <row r="86" spans="5:28" ht="14.25" customHeight="1">
      <c r="E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1"/>
      <c r="X86" s="1"/>
      <c r="Y86" s="1"/>
      <c r="Z86" s="2"/>
      <c r="AA86" s="7"/>
      <c r="AB86" s="1"/>
    </row>
    <row r="87" spans="5:28" ht="14.25" customHeight="1">
      <c r="E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1"/>
      <c r="X87" s="1"/>
      <c r="Y87" s="1"/>
      <c r="Z87" s="2"/>
      <c r="AA87" s="7"/>
      <c r="AB87" s="1"/>
    </row>
    <row r="88" spans="5:28" ht="14.25" customHeight="1">
      <c r="E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1"/>
      <c r="X88" s="1"/>
      <c r="Y88" s="1"/>
      <c r="Z88" s="2"/>
      <c r="AA88" s="7"/>
      <c r="AB88" s="1"/>
    </row>
    <row r="89" spans="5:28" ht="14.25" customHeight="1">
      <c r="E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1"/>
      <c r="X89" s="1"/>
      <c r="Y89" s="1"/>
      <c r="Z89" s="2"/>
      <c r="AA89" s="7"/>
      <c r="AB89" s="1"/>
    </row>
    <row r="90" spans="5:28" ht="14.25" customHeight="1">
      <c r="E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1"/>
      <c r="X90" s="1"/>
      <c r="Y90" s="1"/>
      <c r="Z90" s="2"/>
      <c r="AA90" s="7"/>
      <c r="AB90" s="1"/>
    </row>
    <row r="91" spans="5:28" ht="14.25" customHeight="1">
      <c r="E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1"/>
      <c r="X91" s="1"/>
      <c r="Y91" s="1"/>
      <c r="Z91" s="2"/>
      <c r="AA91" s="7"/>
      <c r="AB91" s="1"/>
    </row>
    <row r="92" spans="5:28" ht="14.25" customHeight="1">
      <c r="E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1"/>
      <c r="X92" s="1"/>
      <c r="Y92" s="1"/>
      <c r="Z92" s="2"/>
      <c r="AA92" s="7"/>
      <c r="AB92" s="1"/>
    </row>
    <row r="93" spans="5:28" ht="14.25" customHeight="1">
      <c r="E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1"/>
      <c r="X93" s="1"/>
      <c r="Y93" s="1"/>
      <c r="Z93" s="2"/>
      <c r="AA93" s="7"/>
      <c r="AB93" s="1"/>
    </row>
    <row r="94" spans="5:28">
      <c r="E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X94" s="21"/>
      <c r="AB94" s="21"/>
    </row>
  </sheetData>
  <dataValidations count="2">
    <dataValidation type="list" allowBlank="1" showInputMessage="1" showErrorMessage="1" sqref="C2:C33" xr:uid="{00000000-0002-0000-0A00-000000000000}">
      <formula1>lstCategoryTypes</formula1>
      <formula2>0</formula2>
    </dataValidation>
    <dataValidation type="list" allowBlank="1" showInputMessage="1" showErrorMessage="1" sqref="E2:E33" xr:uid="{00000000-0002-0000-0A00-000001000000}">
      <formula1>lstBoolean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8"/>
  <sheetViews>
    <sheetView zoomScale="70" zoomScaleNormal="70" workbookViewId="0">
      <selection activeCell="C33" sqref="C33:C39"/>
    </sheetView>
  </sheetViews>
  <sheetFormatPr defaultColWidth="8.7109375" defaultRowHeight="15"/>
  <cols>
    <col min="1" max="1" width="30.7109375" style="21" customWidth="1"/>
    <col min="2" max="2" width="14.5703125" style="21" customWidth="1"/>
    <col min="3" max="3" width="20.85546875" style="21" customWidth="1"/>
    <col min="4" max="4" width="15.140625" style="21" customWidth="1"/>
    <col min="6" max="6" width="55.85546875" style="21" customWidth="1"/>
    <col min="10" max="10" width="12.28515625" style="21" customWidth="1"/>
  </cols>
  <sheetData>
    <row r="1" spans="1:9" ht="14.25" customHeight="1">
      <c r="A1" s="21" t="s">
        <v>244</v>
      </c>
      <c r="B1" s="21" t="s">
        <v>245</v>
      </c>
      <c r="C1" s="21" t="s">
        <v>246</v>
      </c>
      <c r="D1" s="21" t="s">
        <v>182</v>
      </c>
      <c r="E1" s="21" t="s">
        <v>6</v>
      </c>
      <c r="F1" s="21" t="s">
        <v>7</v>
      </c>
      <c r="G1" s="21"/>
      <c r="H1" s="21"/>
      <c r="I1" s="21"/>
    </row>
    <row r="2" spans="1:9" ht="14.25" customHeight="1">
      <c r="A2" s="21" t="s">
        <v>106</v>
      </c>
      <c r="B2" s="21" t="s">
        <v>247</v>
      </c>
      <c r="C2" s="21" t="s">
        <v>116</v>
      </c>
      <c r="D2" s="21">
        <v>10</v>
      </c>
      <c r="E2" s="21" t="b">
        <f>TRUE()</f>
        <v>1</v>
      </c>
      <c r="F2" s="21" t="s">
        <v>248</v>
      </c>
      <c r="G2" s="21"/>
      <c r="H2" s="21"/>
      <c r="I2" s="21"/>
    </row>
    <row r="3" spans="1:9" ht="14.25" customHeight="1">
      <c r="A3" s="21" t="s">
        <v>106</v>
      </c>
      <c r="B3" s="21" t="s">
        <v>249</v>
      </c>
      <c r="C3" s="21" t="s">
        <v>118</v>
      </c>
      <c r="D3" s="21">
        <v>20</v>
      </c>
      <c r="E3" s="21" t="b">
        <f>TRUE()</f>
        <v>1</v>
      </c>
      <c r="F3" s="21" t="s">
        <v>250</v>
      </c>
      <c r="G3" s="21"/>
      <c r="H3" s="21"/>
      <c r="I3" s="21"/>
    </row>
    <row r="4" spans="1:9" ht="14.25" customHeight="1">
      <c r="A4" s="21" t="s">
        <v>106</v>
      </c>
      <c r="B4" s="21" t="s">
        <v>251</v>
      </c>
      <c r="C4" s="21" t="s">
        <v>128</v>
      </c>
      <c r="D4" s="21">
        <v>30</v>
      </c>
      <c r="E4" s="21" t="b">
        <f>TRUE()</f>
        <v>1</v>
      </c>
      <c r="F4" s="21" t="s">
        <v>252</v>
      </c>
      <c r="G4" s="21"/>
      <c r="H4" s="21"/>
      <c r="I4" s="21"/>
    </row>
    <row r="5" spans="1:9" ht="14.25" customHeight="1">
      <c r="A5" s="21" t="s">
        <v>2</v>
      </c>
      <c r="B5" s="21" t="s">
        <v>253</v>
      </c>
      <c r="C5" s="21" t="s">
        <v>10</v>
      </c>
      <c r="D5" s="21">
        <v>10</v>
      </c>
      <c r="E5" s="21" t="b">
        <f>TRUE()</f>
        <v>1</v>
      </c>
      <c r="F5" s="21" t="s">
        <v>254</v>
      </c>
      <c r="G5" s="21"/>
      <c r="H5" s="21"/>
      <c r="I5" s="21"/>
    </row>
    <row r="6" spans="1:9" ht="14.25" customHeight="1">
      <c r="A6" s="21" t="s">
        <v>2</v>
      </c>
      <c r="B6" s="21" t="s">
        <v>255</v>
      </c>
      <c r="C6" s="21" t="s">
        <v>256</v>
      </c>
      <c r="D6" s="21">
        <v>20</v>
      </c>
      <c r="E6" s="21" t="b">
        <f>TRUE()</f>
        <v>1</v>
      </c>
      <c r="F6" s="21" t="s">
        <v>257</v>
      </c>
      <c r="G6" s="21"/>
      <c r="H6" s="21"/>
      <c r="I6" s="21"/>
    </row>
    <row r="7" spans="1:9" ht="14.25" customHeight="1">
      <c r="A7" s="21" t="s">
        <v>2</v>
      </c>
      <c r="B7" s="21" t="s">
        <v>258</v>
      </c>
      <c r="C7" s="21" t="s">
        <v>14</v>
      </c>
      <c r="D7" s="21">
        <v>30</v>
      </c>
      <c r="E7" s="21" t="b">
        <f>TRUE()</f>
        <v>1</v>
      </c>
      <c r="F7" s="21" t="s">
        <v>259</v>
      </c>
      <c r="G7" s="21"/>
      <c r="H7" s="21"/>
      <c r="I7" s="21"/>
    </row>
    <row r="8" spans="1:9" ht="14.25" customHeight="1">
      <c r="A8" s="21" t="s">
        <v>2</v>
      </c>
      <c r="B8" s="21" t="s">
        <v>260</v>
      </c>
      <c r="C8" s="21" t="s">
        <v>18</v>
      </c>
      <c r="D8" s="21">
        <v>50</v>
      </c>
      <c r="E8" s="21" t="b">
        <f>TRUE()</f>
        <v>1</v>
      </c>
      <c r="F8" s="21" t="s">
        <v>261</v>
      </c>
      <c r="G8" s="21"/>
      <c r="H8" s="21"/>
      <c r="I8" s="21"/>
    </row>
    <row r="9" spans="1:9" ht="14.25" customHeight="1">
      <c r="A9" s="21" t="s">
        <v>171</v>
      </c>
      <c r="B9" s="21" t="s">
        <v>262</v>
      </c>
      <c r="C9" s="21" t="s">
        <v>176</v>
      </c>
      <c r="D9" s="21">
        <v>10</v>
      </c>
      <c r="E9" s="21" t="b">
        <f>TRUE()</f>
        <v>1</v>
      </c>
      <c r="F9" s="21" t="s">
        <v>263</v>
      </c>
      <c r="G9" s="21"/>
      <c r="H9" s="21"/>
      <c r="I9" s="21"/>
    </row>
    <row r="10" spans="1:9" ht="14.25" customHeight="1">
      <c r="A10" s="21" t="s">
        <v>171</v>
      </c>
      <c r="B10" s="21" t="s">
        <v>264</v>
      </c>
      <c r="C10" s="21" t="s">
        <v>265</v>
      </c>
      <c r="D10" s="21">
        <v>20</v>
      </c>
      <c r="E10" s="21" t="b">
        <f>TRUE()</f>
        <v>1</v>
      </c>
      <c r="F10" s="21" t="s">
        <v>266</v>
      </c>
      <c r="G10" s="21"/>
      <c r="H10" s="21"/>
      <c r="I10" s="21"/>
    </row>
    <row r="11" spans="1:9" ht="14.25" customHeight="1">
      <c r="A11" s="21" t="s">
        <v>171</v>
      </c>
      <c r="B11" s="21" t="s">
        <v>267</v>
      </c>
      <c r="C11" s="21" t="s">
        <v>268</v>
      </c>
      <c r="D11" s="21">
        <v>30</v>
      </c>
      <c r="E11" s="21" t="b">
        <f>TRUE()</f>
        <v>1</v>
      </c>
      <c r="F11" s="21" t="s">
        <v>269</v>
      </c>
      <c r="G11" s="21"/>
      <c r="H11" s="21"/>
      <c r="I11" s="21"/>
    </row>
    <row r="12" spans="1:9" ht="14.25" customHeight="1">
      <c r="A12" s="21" t="s">
        <v>171</v>
      </c>
      <c r="B12" s="21" t="s">
        <v>270</v>
      </c>
      <c r="C12" s="21" t="s">
        <v>179</v>
      </c>
      <c r="D12" s="21">
        <v>40</v>
      </c>
      <c r="E12" s="21" t="b">
        <f>TRUE()</f>
        <v>1</v>
      </c>
      <c r="F12" s="21" t="s">
        <v>271</v>
      </c>
      <c r="G12" s="21"/>
      <c r="H12" s="21"/>
      <c r="I12" s="21"/>
    </row>
    <row r="13" spans="1:9" ht="14.25" customHeight="1">
      <c r="A13" s="21" t="s">
        <v>171</v>
      </c>
      <c r="B13" s="21" t="s">
        <v>272</v>
      </c>
      <c r="C13" s="21" t="s">
        <v>224</v>
      </c>
      <c r="D13" s="21">
        <v>50</v>
      </c>
      <c r="E13" s="21" t="b">
        <f>TRUE()</f>
        <v>1</v>
      </c>
      <c r="F13" s="21" t="s">
        <v>273</v>
      </c>
      <c r="G13" s="21"/>
      <c r="H13" s="21"/>
      <c r="I13" s="21"/>
    </row>
    <row r="14" spans="1:9" ht="14.25" customHeight="1">
      <c r="A14" s="21" t="s">
        <v>171</v>
      </c>
      <c r="B14" s="21" t="s">
        <v>274</v>
      </c>
      <c r="C14" s="21" t="s">
        <v>275</v>
      </c>
      <c r="D14" s="21">
        <v>60</v>
      </c>
      <c r="E14" s="21" t="b">
        <f>TRUE()</f>
        <v>1</v>
      </c>
      <c r="F14" s="21" t="s">
        <v>276</v>
      </c>
      <c r="G14" s="21"/>
      <c r="H14" s="21"/>
      <c r="I14" s="21"/>
    </row>
    <row r="15" spans="1:9" ht="14.25" customHeight="1">
      <c r="A15" s="21" t="s">
        <v>171</v>
      </c>
      <c r="B15" s="21" t="s">
        <v>277</v>
      </c>
      <c r="C15" s="21" t="s">
        <v>278</v>
      </c>
      <c r="D15" s="21">
        <v>70</v>
      </c>
      <c r="E15" s="21" t="b">
        <f>TRUE()</f>
        <v>1</v>
      </c>
      <c r="F15" s="21" t="s">
        <v>279</v>
      </c>
      <c r="G15" s="21"/>
      <c r="H15" s="21"/>
      <c r="I15" s="21"/>
    </row>
    <row r="16" spans="1:9" ht="14.25" customHeight="1">
      <c r="A16" s="21" t="s">
        <v>69</v>
      </c>
      <c r="B16" s="21" t="s">
        <v>280</v>
      </c>
      <c r="C16" s="21" t="s">
        <v>76</v>
      </c>
      <c r="D16" s="21">
        <v>10</v>
      </c>
      <c r="E16" s="21" t="b">
        <f>TRUE()</f>
        <v>1</v>
      </c>
      <c r="F16" s="21" t="s">
        <v>77</v>
      </c>
      <c r="G16" s="21"/>
      <c r="H16" s="21"/>
      <c r="I16" s="21"/>
    </row>
    <row r="17" spans="1:9" ht="14.25" customHeight="1">
      <c r="A17" s="21" t="s">
        <v>69</v>
      </c>
      <c r="B17" s="21" t="s">
        <v>281</v>
      </c>
      <c r="C17" s="21" t="s">
        <v>282</v>
      </c>
      <c r="D17" s="21">
        <v>20</v>
      </c>
      <c r="E17" s="21" t="b">
        <f>TRUE()</f>
        <v>1</v>
      </c>
      <c r="F17" s="21" t="s">
        <v>283</v>
      </c>
      <c r="G17" s="21"/>
      <c r="H17" s="21"/>
      <c r="I17" s="21"/>
    </row>
    <row r="18" spans="1:9" ht="14.25" customHeight="1">
      <c r="A18" s="21" t="s">
        <v>69</v>
      </c>
      <c r="B18" s="21" t="s">
        <v>284</v>
      </c>
      <c r="C18" s="21" t="s">
        <v>285</v>
      </c>
      <c r="D18" s="21">
        <v>30</v>
      </c>
      <c r="E18" s="21" t="b">
        <f>TRUE()</f>
        <v>1</v>
      </c>
      <c r="F18" s="21" t="s">
        <v>286</v>
      </c>
      <c r="G18" s="21"/>
      <c r="H18" s="21"/>
      <c r="I18" s="21"/>
    </row>
    <row r="19" spans="1:9" ht="14.25" customHeight="1">
      <c r="A19" s="21" t="s">
        <v>69</v>
      </c>
      <c r="B19" s="21" t="s">
        <v>287</v>
      </c>
      <c r="C19" s="21" t="s">
        <v>18</v>
      </c>
      <c r="D19" s="21">
        <v>40</v>
      </c>
      <c r="E19" s="21" t="b">
        <f>TRUE()</f>
        <v>1</v>
      </c>
      <c r="F19" s="21" t="s">
        <v>288</v>
      </c>
      <c r="G19" s="21"/>
      <c r="H19" s="21"/>
      <c r="I19" s="21"/>
    </row>
    <row r="20" spans="1:9" ht="14.25" customHeight="1">
      <c r="A20" s="21" t="s">
        <v>69</v>
      </c>
      <c r="B20" s="21" t="s">
        <v>289</v>
      </c>
      <c r="C20" s="21" t="s">
        <v>290</v>
      </c>
      <c r="D20" s="21">
        <v>50</v>
      </c>
      <c r="E20" s="21" t="b">
        <f>TRUE()</f>
        <v>1</v>
      </c>
      <c r="F20" s="21" t="s">
        <v>291</v>
      </c>
      <c r="G20" s="21"/>
      <c r="H20" s="21"/>
      <c r="I20" s="21"/>
    </row>
    <row r="21" spans="1:9" ht="14.25" customHeight="1">
      <c r="A21" s="21" t="s">
        <v>69</v>
      </c>
      <c r="B21" s="21" t="s">
        <v>292</v>
      </c>
      <c r="C21" s="21" t="s">
        <v>293</v>
      </c>
      <c r="D21" s="21">
        <v>60</v>
      </c>
      <c r="E21" s="21" t="b">
        <f>TRUE()</f>
        <v>1</v>
      </c>
      <c r="F21" s="21" t="s">
        <v>294</v>
      </c>
      <c r="G21" s="21"/>
      <c r="H21" s="21"/>
      <c r="I21" s="21"/>
    </row>
    <row r="22" spans="1:9" ht="14.25" customHeight="1">
      <c r="A22" s="21" t="s">
        <v>69</v>
      </c>
      <c r="B22" s="21" t="s">
        <v>295</v>
      </c>
      <c r="C22" s="21" t="s">
        <v>278</v>
      </c>
      <c r="D22" s="21">
        <v>70</v>
      </c>
      <c r="E22" s="21" t="b">
        <f>TRUE()</f>
        <v>1</v>
      </c>
      <c r="F22" s="21" t="s">
        <v>296</v>
      </c>
      <c r="G22" s="21"/>
      <c r="H22" s="21"/>
      <c r="I22" s="21"/>
    </row>
    <row r="23" spans="1:9" ht="14.25" customHeight="1">
      <c r="A23" s="21" t="s">
        <v>297</v>
      </c>
      <c r="B23" s="21" t="s">
        <v>298</v>
      </c>
      <c r="C23" s="21" t="s">
        <v>219</v>
      </c>
      <c r="D23" s="21">
        <v>10</v>
      </c>
      <c r="E23" s="21" t="b">
        <f>TRUE()</f>
        <v>1</v>
      </c>
      <c r="F23" s="21" t="s">
        <v>299</v>
      </c>
      <c r="G23" s="21"/>
      <c r="H23" s="21"/>
      <c r="I23" s="21"/>
    </row>
    <row r="24" spans="1:9" ht="14.25" customHeight="1">
      <c r="A24" s="21" t="s">
        <v>297</v>
      </c>
      <c r="B24" s="21" t="s">
        <v>300</v>
      </c>
      <c r="C24" s="21" t="s">
        <v>93</v>
      </c>
      <c r="D24" s="21">
        <v>20</v>
      </c>
      <c r="E24" s="21" t="b">
        <f>TRUE()</f>
        <v>1</v>
      </c>
      <c r="F24" s="21" t="s">
        <v>301</v>
      </c>
      <c r="G24" s="21"/>
      <c r="H24" s="21"/>
      <c r="I24" s="21"/>
    </row>
    <row r="25" spans="1:9" ht="14.25" customHeight="1">
      <c r="A25" s="21" t="s">
        <v>297</v>
      </c>
      <c r="B25" s="21" t="s">
        <v>302</v>
      </c>
      <c r="C25" s="21" t="s">
        <v>102</v>
      </c>
      <c r="D25" s="21">
        <v>30</v>
      </c>
      <c r="E25" s="21" t="b">
        <f>TRUE()</f>
        <v>1</v>
      </c>
      <c r="F25" s="21" t="s">
        <v>213</v>
      </c>
      <c r="G25" s="21"/>
      <c r="H25" s="21"/>
      <c r="I25" s="21"/>
    </row>
    <row r="26" spans="1:9" ht="14.25" customHeight="1">
      <c r="A26" s="21" t="s">
        <v>297</v>
      </c>
      <c r="B26" s="21" t="s">
        <v>303</v>
      </c>
      <c r="C26" s="21" t="s">
        <v>97</v>
      </c>
      <c r="D26" s="21">
        <v>40</v>
      </c>
      <c r="E26" s="21" t="b">
        <f>TRUE()</f>
        <v>1</v>
      </c>
      <c r="F26" s="21" t="s">
        <v>304</v>
      </c>
      <c r="G26" s="21"/>
      <c r="H26" s="21"/>
      <c r="I26" s="21"/>
    </row>
    <row r="27" spans="1:9" ht="14.25" customHeight="1">
      <c r="A27" s="21" t="s">
        <v>297</v>
      </c>
      <c r="B27" s="21" t="s">
        <v>305</v>
      </c>
      <c r="C27" s="21" t="s">
        <v>306</v>
      </c>
      <c r="D27" s="21">
        <v>50</v>
      </c>
      <c r="E27" s="21" t="b">
        <f>TRUE()</f>
        <v>1</v>
      </c>
      <c r="F27" s="21" t="s">
        <v>307</v>
      </c>
      <c r="G27" s="21"/>
      <c r="H27" s="21"/>
      <c r="I27" s="21"/>
    </row>
    <row r="28" spans="1:9" ht="14.25" customHeight="1">
      <c r="A28" s="21" t="s">
        <v>297</v>
      </c>
      <c r="B28" s="21" t="s">
        <v>308</v>
      </c>
      <c r="C28" s="21" t="s">
        <v>309</v>
      </c>
      <c r="D28" s="21">
        <v>60</v>
      </c>
      <c r="E28" s="21" t="b">
        <f>TRUE()</f>
        <v>1</v>
      </c>
      <c r="F28" s="21" t="s">
        <v>310</v>
      </c>
      <c r="G28" s="21"/>
      <c r="H28" s="21"/>
      <c r="I28" s="21"/>
    </row>
    <row r="29" spans="1:9" ht="14.25" customHeight="1">
      <c r="A29" s="21" t="s">
        <v>297</v>
      </c>
      <c r="B29" s="21" t="s">
        <v>311</v>
      </c>
      <c r="C29" s="21" t="s">
        <v>89</v>
      </c>
      <c r="D29" s="21">
        <v>70</v>
      </c>
      <c r="E29" s="21" t="b">
        <f>TRUE()</f>
        <v>1</v>
      </c>
      <c r="F29" s="21" t="s">
        <v>312</v>
      </c>
      <c r="G29" s="21"/>
      <c r="H29" s="21"/>
      <c r="I29" s="21"/>
    </row>
    <row r="30" spans="1:9" ht="14.25" customHeight="1">
      <c r="A30" s="21" t="s">
        <v>297</v>
      </c>
      <c r="B30" s="21" t="s">
        <v>313</v>
      </c>
      <c r="C30" s="21" t="s">
        <v>278</v>
      </c>
      <c r="D30" s="21">
        <v>80</v>
      </c>
      <c r="E30" s="21" t="b">
        <f>TRUE()</f>
        <v>1</v>
      </c>
      <c r="F30" s="21" t="s">
        <v>314</v>
      </c>
      <c r="G30" s="21"/>
      <c r="H30" s="21"/>
      <c r="I30" s="21"/>
    </row>
    <row r="31" spans="1:9" ht="14.25" customHeight="1">
      <c r="A31" s="21" t="s">
        <v>315</v>
      </c>
      <c r="B31" s="21" t="s">
        <v>316</v>
      </c>
      <c r="C31" s="21" t="b">
        <f>TRUE()</f>
        <v>1</v>
      </c>
      <c r="D31" s="21">
        <v>10</v>
      </c>
      <c r="E31" s="21" t="b">
        <f>TRUE()</f>
        <v>1</v>
      </c>
      <c r="F31" s="21" t="s">
        <v>317</v>
      </c>
      <c r="G31" s="21"/>
      <c r="H31" s="21"/>
      <c r="I31" s="21"/>
    </row>
    <row r="32" spans="1:9" ht="14.25" customHeight="1">
      <c r="A32" s="21" t="s">
        <v>315</v>
      </c>
      <c r="B32" s="21" t="s">
        <v>318</v>
      </c>
      <c r="C32" s="21" t="b">
        <f>FALSE()</f>
        <v>0</v>
      </c>
      <c r="D32" s="21">
        <v>20</v>
      </c>
      <c r="E32" s="21" t="b">
        <f>TRUE()</f>
        <v>1</v>
      </c>
      <c r="F32" s="21" t="s">
        <v>319</v>
      </c>
      <c r="G32" s="21"/>
      <c r="H32" s="21"/>
      <c r="I32" s="21"/>
    </row>
    <row r="33" spans="1:9" ht="14.25" customHeight="1">
      <c r="A33" s="21" t="s">
        <v>36</v>
      </c>
      <c r="B33" s="21" t="s">
        <v>320</v>
      </c>
      <c r="C33" s="21" t="s">
        <v>321</v>
      </c>
      <c r="D33" s="21">
        <v>10</v>
      </c>
      <c r="E33" s="21" t="b">
        <f>TRUE()</f>
        <v>1</v>
      </c>
      <c r="F33" s="21" t="s">
        <v>322</v>
      </c>
      <c r="G33" s="21"/>
      <c r="H33" s="21"/>
      <c r="I33" s="21"/>
    </row>
    <row r="34" spans="1:9" ht="14.25" customHeight="1">
      <c r="A34" s="21" t="s">
        <v>36</v>
      </c>
      <c r="B34" s="21" t="s">
        <v>323</v>
      </c>
      <c r="C34" s="21" t="s">
        <v>324</v>
      </c>
      <c r="D34" s="21">
        <v>20</v>
      </c>
      <c r="E34" s="21" t="b">
        <f>TRUE()</f>
        <v>1</v>
      </c>
      <c r="F34" s="21" t="s">
        <v>325</v>
      </c>
      <c r="G34" s="21"/>
      <c r="H34" s="21"/>
      <c r="I34" s="21"/>
    </row>
    <row r="35" spans="1:9" ht="14.25" customHeight="1">
      <c r="A35" s="21" t="s">
        <v>36</v>
      </c>
      <c r="B35" s="21" t="s">
        <v>326</v>
      </c>
      <c r="C35" s="21" t="s">
        <v>40</v>
      </c>
      <c r="D35" s="21">
        <v>30</v>
      </c>
      <c r="E35" s="21" t="b">
        <f>TRUE()</f>
        <v>1</v>
      </c>
      <c r="F35" s="21" t="s">
        <v>327</v>
      </c>
      <c r="G35" s="21"/>
      <c r="H35" s="21"/>
      <c r="I35" s="21"/>
    </row>
    <row r="36" spans="1:9" s="21" customFormat="1" ht="14.25" customHeight="1">
      <c r="A36" s="21" t="s">
        <v>36</v>
      </c>
      <c r="B36" s="21" t="s">
        <v>328</v>
      </c>
      <c r="C36" s="21" t="s">
        <v>329</v>
      </c>
      <c r="D36" s="21">
        <v>35</v>
      </c>
      <c r="E36" s="21" t="b">
        <v>1</v>
      </c>
      <c r="F36" s="21" t="s">
        <v>330</v>
      </c>
    </row>
    <row r="37" spans="1:9" ht="14.25" customHeight="1">
      <c r="A37" s="21" t="s">
        <v>36</v>
      </c>
      <c r="B37" s="21" t="s">
        <v>331</v>
      </c>
      <c r="C37" s="21" t="s">
        <v>332</v>
      </c>
      <c r="D37" s="21">
        <v>40</v>
      </c>
      <c r="E37" s="21" t="b">
        <f>TRUE()</f>
        <v>1</v>
      </c>
      <c r="F37" s="21" t="s">
        <v>333</v>
      </c>
      <c r="G37" s="21"/>
      <c r="H37" s="21"/>
      <c r="I37" s="21"/>
    </row>
    <row r="38" spans="1:9" ht="14.25" customHeight="1">
      <c r="A38" s="21" t="s">
        <v>36</v>
      </c>
      <c r="B38" s="21" t="s">
        <v>334</v>
      </c>
      <c r="C38" s="21" t="s">
        <v>335</v>
      </c>
      <c r="D38" s="21">
        <v>50</v>
      </c>
      <c r="E38" s="21" t="b">
        <f>TRUE()</f>
        <v>1</v>
      </c>
      <c r="F38" s="21" t="s">
        <v>336</v>
      </c>
      <c r="G38" s="21"/>
      <c r="H38" s="21"/>
      <c r="I38" s="21"/>
    </row>
    <row r="39" spans="1:9" ht="14.25" customHeight="1">
      <c r="A39" s="21" t="s">
        <v>36</v>
      </c>
      <c r="B39" s="21" t="s">
        <v>337</v>
      </c>
      <c r="C39" s="21" t="s">
        <v>98</v>
      </c>
      <c r="D39" s="21">
        <v>60</v>
      </c>
      <c r="E39" s="21" t="b">
        <f>TRUE()</f>
        <v>1</v>
      </c>
      <c r="F39" s="21" t="s">
        <v>338</v>
      </c>
      <c r="G39" s="21"/>
      <c r="H39" s="21"/>
      <c r="I39" s="21"/>
    </row>
    <row r="40" spans="1:9" ht="14.25" customHeight="1">
      <c r="A40" s="21" t="s">
        <v>108</v>
      </c>
      <c r="B40" s="21" t="s">
        <v>339</v>
      </c>
      <c r="C40" s="21" t="s">
        <v>107</v>
      </c>
      <c r="D40" s="21">
        <v>10</v>
      </c>
      <c r="E40" s="21" t="b">
        <f>TRUE()</f>
        <v>1</v>
      </c>
      <c r="F40" s="21" t="s">
        <v>340</v>
      </c>
      <c r="G40" s="21"/>
      <c r="H40" s="21"/>
      <c r="I40" s="21"/>
    </row>
    <row r="41" spans="1:9" ht="14.25" customHeight="1">
      <c r="A41" s="21" t="s">
        <v>108</v>
      </c>
      <c r="B41" s="21" t="s">
        <v>341</v>
      </c>
      <c r="C41" s="21" t="s">
        <v>154</v>
      </c>
      <c r="D41" s="21">
        <v>20</v>
      </c>
      <c r="E41" s="21" t="b">
        <f>TRUE()</f>
        <v>1</v>
      </c>
      <c r="F41" s="21" t="s">
        <v>342</v>
      </c>
      <c r="G41" s="21"/>
      <c r="H41" s="21"/>
      <c r="I41" s="21"/>
    </row>
    <row r="42" spans="1:9" ht="14.25" customHeight="1">
      <c r="A42" s="21" t="s">
        <v>56</v>
      </c>
      <c r="B42" s="21" t="s">
        <v>343</v>
      </c>
      <c r="C42" s="21" t="s">
        <v>61</v>
      </c>
      <c r="D42" s="21">
        <v>10</v>
      </c>
      <c r="E42" s="21" t="b">
        <f>TRUE()</f>
        <v>1</v>
      </c>
      <c r="F42" s="21" t="s">
        <v>344</v>
      </c>
      <c r="G42" s="21"/>
      <c r="H42" s="21"/>
      <c r="I42" s="21"/>
    </row>
    <row r="43" spans="1:9" ht="14.25" customHeight="1">
      <c r="A43" s="21" t="s">
        <v>56</v>
      </c>
      <c r="B43" s="21" t="s">
        <v>345</v>
      </c>
      <c r="C43" s="21" t="s">
        <v>265</v>
      </c>
      <c r="D43" s="21">
        <v>20</v>
      </c>
      <c r="E43" s="21" t="b">
        <f>TRUE()</f>
        <v>1</v>
      </c>
      <c r="F43" s="21" t="s">
        <v>346</v>
      </c>
      <c r="G43" s="21"/>
      <c r="H43" s="21"/>
      <c r="I43" s="21"/>
    </row>
    <row r="44" spans="1:9" ht="14.25" customHeight="1">
      <c r="A44" s="21" t="s">
        <v>56</v>
      </c>
      <c r="B44" s="21" t="s">
        <v>347</v>
      </c>
      <c r="C44" s="21" t="s">
        <v>65</v>
      </c>
      <c r="D44" s="21">
        <v>30</v>
      </c>
      <c r="E44" s="21" t="b">
        <f>TRUE()</f>
        <v>1</v>
      </c>
      <c r="F44" s="21" t="s">
        <v>348</v>
      </c>
      <c r="G44" s="21"/>
      <c r="H44" s="21"/>
      <c r="I44" s="21"/>
    </row>
    <row r="45" spans="1:9" ht="14.25" customHeight="1">
      <c r="A45" s="21" t="s">
        <v>56</v>
      </c>
      <c r="B45" s="21" t="s">
        <v>349</v>
      </c>
      <c r="C45" s="21" t="s">
        <v>350</v>
      </c>
      <c r="D45" s="21">
        <v>40</v>
      </c>
      <c r="E45" s="21" t="b">
        <f>TRUE()</f>
        <v>1</v>
      </c>
      <c r="F45" s="21" t="s">
        <v>351</v>
      </c>
      <c r="G45" s="21"/>
      <c r="H45" s="21"/>
      <c r="I45" s="21"/>
    </row>
    <row r="46" spans="1:9" ht="14.25" customHeight="1">
      <c r="A46" s="21" t="s">
        <v>56</v>
      </c>
      <c r="B46" s="21" t="s">
        <v>352</v>
      </c>
      <c r="C46" s="21" t="s">
        <v>353</v>
      </c>
      <c r="D46" s="21">
        <v>50</v>
      </c>
      <c r="E46" s="21" t="b">
        <f>TRUE()</f>
        <v>1</v>
      </c>
      <c r="F46" s="21" t="s">
        <v>354</v>
      </c>
      <c r="G46" s="21"/>
      <c r="H46" s="21"/>
      <c r="I46" s="21"/>
    </row>
    <row r="47" spans="1:9" ht="14.25" customHeight="1">
      <c r="A47" s="21" t="s">
        <v>56</v>
      </c>
      <c r="B47" s="21" t="s">
        <v>355</v>
      </c>
      <c r="C47" s="21" t="s">
        <v>356</v>
      </c>
      <c r="D47" s="21">
        <v>60</v>
      </c>
      <c r="E47" s="21" t="b">
        <f>TRUE()</f>
        <v>1</v>
      </c>
      <c r="F47" s="21" t="s">
        <v>357</v>
      </c>
      <c r="G47" s="21"/>
      <c r="H47" s="21"/>
      <c r="I47" s="21"/>
    </row>
    <row r="48" spans="1:9" ht="14.25" customHeight="1">
      <c r="A48" s="21" t="s">
        <v>56</v>
      </c>
      <c r="B48" s="21" t="s">
        <v>358</v>
      </c>
      <c r="C48" s="21" t="s">
        <v>278</v>
      </c>
      <c r="D48" s="21">
        <v>70</v>
      </c>
      <c r="E48" s="21" t="b">
        <f>TRUE()</f>
        <v>1</v>
      </c>
      <c r="F48" s="21" t="s">
        <v>359</v>
      </c>
      <c r="G48" s="21"/>
      <c r="H48" s="21"/>
      <c r="I48" s="21"/>
    </row>
    <row r="49" spans="1:9" ht="14.25" customHeight="1">
      <c r="A49" s="1" t="s">
        <v>181</v>
      </c>
      <c r="B49" s="1" t="s">
        <v>360</v>
      </c>
      <c r="C49" s="1" t="s">
        <v>116</v>
      </c>
      <c r="D49" s="2">
        <v>10</v>
      </c>
      <c r="E49" s="1" t="b">
        <f>TRUE()</f>
        <v>1</v>
      </c>
      <c r="F49" s="1" t="s">
        <v>361</v>
      </c>
      <c r="G49" s="21"/>
      <c r="H49" s="21"/>
      <c r="I49" s="21"/>
    </row>
    <row r="50" spans="1:9" ht="14.25" customHeight="1">
      <c r="A50" s="1" t="s">
        <v>181</v>
      </c>
      <c r="B50" s="1" t="s">
        <v>362</v>
      </c>
      <c r="C50" s="1" t="s">
        <v>118</v>
      </c>
      <c r="D50" s="2">
        <v>20</v>
      </c>
      <c r="E50" s="1" t="b">
        <f>TRUE()</f>
        <v>1</v>
      </c>
      <c r="F50" s="1" t="s">
        <v>363</v>
      </c>
      <c r="G50" s="21"/>
      <c r="H50" s="21"/>
      <c r="I50" s="21"/>
    </row>
    <row r="51" spans="1:9">
      <c r="E51" s="21"/>
      <c r="G51" s="21"/>
      <c r="H51" s="21"/>
      <c r="I51" s="21"/>
    </row>
    <row r="52" spans="1:9">
      <c r="E52" s="21"/>
      <c r="G52" s="21"/>
      <c r="H52" s="21"/>
      <c r="I52" s="21"/>
    </row>
    <row r="53" spans="1:9">
      <c r="E53" s="21"/>
      <c r="G53" s="21"/>
      <c r="H53" s="21"/>
      <c r="I53" s="21"/>
    </row>
    <row r="54" spans="1:9">
      <c r="E54" s="21"/>
      <c r="G54" s="21"/>
      <c r="H54" s="21"/>
      <c r="I54" s="21"/>
    </row>
    <row r="55" spans="1:9">
      <c r="E55" s="21"/>
      <c r="G55" s="21"/>
      <c r="H55" s="21"/>
      <c r="I55" s="21"/>
    </row>
    <row r="56" spans="1:9">
      <c r="E56" s="21"/>
      <c r="G56" s="21"/>
      <c r="H56" s="21"/>
      <c r="I56" s="21"/>
    </row>
    <row r="57" spans="1:9">
      <c r="E57" s="21"/>
      <c r="G57" s="21"/>
      <c r="H57" s="21"/>
      <c r="I57" s="21"/>
    </row>
    <row r="58" spans="1:9">
      <c r="E58" s="21"/>
      <c r="G58" s="21"/>
      <c r="H58" s="21"/>
      <c r="I58" s="2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25"/>
  <sheetViews>
    <sheetView zoomScale="90" zoomScaleNormal="90" workbookViewId="0">
      <selection activeCell="I20" sqref="I20"/>
    </sheetView>
  </sheetViews>
  <sheetFormatPr defaultColWidth="8.7109375" defaultRowHeight="15"/>
  <cols>
    <col min="1" max="1" width="47.42578125" style="21" customWidth="1"/>
    <col min="2" max="2" width="18.28515625" style="21" customWidth="1"/>
    <col min="3" max="3" width="15.5703125" style="21" customWidth="1"/>
    <col min="4" max="4" width="27.42578125" style="21" customWidth="1"/>
    <col min="5" max="5" width="27.140625" style="21" customWidth="1"/>
    <col min="6" max="6" width="26.5703125" style="21" customWidth="1"/>
    <col min="7" max="7" width="20.42578125" style="21" customWidth="1"/>
    <col min="8" max="8" width="23.140625" style="21" customWidth="1"/>
    <col min="9" max="9" width="23.42578125" style="21" customWidth="1"/>
    <col min="10" max="10" width="38.7109375" customWidth="1"/>
    <col min="11" max="11" width="22.28515625" customWidth="1"/>
    <col min="13" max="13" width="29.28515625" customWidth="1"/>
    <col min="14" max="14" width="15.28515625" customWidth="1"/>
    <col min="16" max="16" width="35.7109375" customWidth="1"/>
    <col min="17" max="17" width="18.7109375" customWidth="1"/>
    <col min="19" max="19" width="32.5703125" customWidth="1"/>
    <col min="20" max="20" width="19.140625" customWidth="1"/>
  </cols>
  <sheetData>
    <row r="1" spans="1:8" ht="25.5" customHeight="1">
      <c r="A1" s="8" t="s">
        <v>364</v>
      </c>
    </row>
    <row r="2" spans="1:8" ht="14.25" customHeight="1">
      <c r="A2" s="1"/>
      <c r="B2" s="1"/>
    </row>
    <row r="3" spans="1:8" ht="14.25" customHeight="1">
      <c r="A3" s="9" t="s">
        <v>365</v>
      </c>
      <c r="B3" s="1"/>
    </row>
    <row r="4" spans="1:8" ht="28.5" customHeight="1">
      <c r="A4" s="10" t="s">
        <v>366</v>
      </c>
      <c r="B4" s="10" t="s">
        <v>367</v>
      </c>
      <c r="C4" s="10" t="s">
        <v>368</v>
      </c>
      <c r="D4" s="10" t="s">
        <v>369</v>
      </c>
      <c r="E4" s="10" t="s">
        <v>370</v>
      </c>
      <c r="F4" s="10" t="s">
        <v>371</v>
      </c>
      <c r="G4" s="10" t="s">
        <v>372</v>
      </c>
      <c r="H4" s="10" t="s">
        <v>373</v>
      </c>
    </row>
    <row r="5" spans="1:8" ht="14.25" customHeight="1">
      <c r="A5" s="10" t="str" cm="1">
        <f t="array" ref="A5:A10">_xlfn._xlws.SORT(_xlfn._xlws.FILTER(tblAccounts[Account Name],tblAccounts[Account Name]&lt;&gt;""))</f>
        <v>Cash</v>
      </c>
      <c r="B5" s="9" t="str" cm="1">
        <f t="array" ref="B5:B6">_xlfn._xlws.SORT(_xlfn._xlws.FILTER(tblLiabilities[Liability Name],tblLiabilities[Liability Name]&lt;&gt;""))</f>
        <v>HDFC Credit Card</v>
      </c>
      <c r="C5" s="9" t="str" cm="1">
        <f t="array" ref="C5:C6">_xlfn._xlws.SORT(_xlfn._xlws.FILTER(tblGoals[Goal Name],tblGoals[Goal Name]&lt;&gt;""))</f>
        <v>Emergency Fund</v>
      </c>
      <c r="D5" s="9" t="str" cm="1">
        <f t="array" ref="D5:D8">_xlfn._xlws.SORT(_xlfn._xlws.FILTER(tblIncomeSources[Income Source Name],tblIncomeSources[Income Source Name]&lt;&gt;""))</f>
        <v>Credit Card Cashback</v>
      </c>
      <c r="E5" s="9" t="str" cm="1">
        <f t="array" ref="E5:E23">_xlfn._xlws.SORT(_xlfn._xlws.FILTER(tblCategories[Category Name],(tblCategories[Category Type]="Expense")*(tblCategories[Category Name]&lt;&gt;"")))</f>
        <v>Borrowing Costs</v>
      </c>
      <c r="F5" s="9" t="str" cm="1">
        <f t="array" ref="F5:F13">_xlfn._xlws.SORT(_xlfn._xlws.FILTER(tblCategories[Category Name],(tblCategories[Category Type]="Income")*(tblCategories[Category Name]&lt;&gt;"")))</f>
        <v>Bonus</v>
      </c>
      <c r="G5" s="9" t="str" cm="1">
        <f t="array" ref="G5:G6">_xlfn._xlws.SORT(_xlfn._xlws.FILTER(tblAssets[Asset Name],tblAssets[Asset Name]&lt;&gt;""))</f>
        <v>Gold</v>
      </c>
      <c r="H5" s="9" t="str" cm="1">
        <f t="array" ref="H5:H8">_xlfn._xlws.SORT(_xlfn._xlws.FILTER(tblRecurringCommitments[Commitment Name],tblRecurringCommitments[Commitment Name]&lt;&gt;""))</f>
        <v>Electricity Bill</v>
      </c>
    </row>
    <row r="6" spans="1:8" ht="14.25" customHeight="1">
      <c r="A6" s="1" t="str">
        <v>Emergency Fund Savings</v>
      </c>
      <c r="B6" s="21" t="str">
        <v>Home Loan</v>
      </c>
      <c r="C6" s="21" t="str">
        <v>Japan Trip</v>
      </c>
      <c r="D6" s="21" t="str">
        <v>Monthly Salary</v>
      </c>
      <c r="E6" s="21" t="str">
        <v>Education</v>
      </c>
      <c r="F6" s="21" t="str">
        <v>Business Income</v>
      </c>
      <c r="G6" s="21" t="str">
        <v>Laptop</v>
      </c>
      <c r="H6" s="21" t="str">
        <v>Home Loan EMI</v>
      </c>
    </row>
    <row r="7" spans="1:8" ht="14.25" customHeight="1">
      <c r="A7" s="21" t="str">
        <v>Federal Bank Savings</v>
      </c>
      <c r="D7" s="21" t="str">
        <v>Refund Received</v>
      </c>
      <c r="E7" s="21" t="str">
        <v>Entertainment</v>
      </c>
      <c r="F7" s="21" t="str">
        <v>Cashback</v>
      </c>
      <c r="H7" s="21" t="str">
        <v>Mobile Bill</v>
      </c>
    </row>
    <row r="8" spans="1:8" ht="14.25" customHeight="1">
      <c r="A8" s="21" t="str">
        <v>HDFC Credit Card</v>
      </c>
      <c r="D8" s="21" t="str">
        <v>Savings Interest</v>
      </c>
      <c r="E8" s="21" t="str">
        <v>Food &amp; Dining</v>
      </c>
      <c r="F8" s="21" t="str">
        <v>Freelance</v>
      </c>
      <c r="H8" s="21" t="str">
        <v>Netflix</v>
      </c>
    </row>
    <row r="9" spans="1:8" ht="14.25" customHeight="1">
      <c r="A9" s="21" t="str">
        <v>SBI Savings</v>
      </c>
      <c r="E9" s="21" t="str">
        <v>Fuel</v>
      </c>
      <c r="F9" s="21" t="str">
        <v>Interest</v>
      </c>
    </row>
    <row r="10" spans="1:8">
      <c r="A10" s="21" t="str">
        <v>Vacation Savings</v>
      </c>
      <c r="E10" s="21" t="str">
        <v>Gifts &amp; Donations</v>
      </c>
      <c r="F10" s="21" t="str">
        <v>Other Income</v>
      </c>
    </row>
    <row r="11" spans="1:8">
      <c r="E11" s="21" t="str">
        <v>Groceries</v>
      </c>
      <c r="F11" s="21" t="str">
        <v>Refund</v>
      </c>
    </row>
    <row r="12" spans="1:8">
      <c r="E12" s="21" t="str">
        <v>Healthcare</v>
      </c>
      <c r="F12" s="21" t="str">
        <v>Rental Income</v>
      </c>
    </row>
    <row r="13" spans="1:8">
      <c r="E13" s="21" t="str">
        <v>Household</v>
      </c>
      <c r="F13" s="21" t="str">
        <v>Salary</v>
      </c>
    </row>
    <row r="14" spans="1:8">
      <c r="E14" s="21" t="str">
        <v>Housing</v>
      </c>
    </row>
    <row r="15" spans="1:8" ht="14.25" customHeight="1">
      <c r="B15" s="4"/>
      <c r="C15" s="4"/>
      <c r="E15" s="21" t="str">
        <v>Insurance</v>
      </c>
    </row>
    <row r="16" spans="1:8" ht="14.25" customHeight="1">
      <c r="A16" s="1"/>
      <c r="B16" s="1"/>
      <c r="C16" s="1"/>
      <c r="E16" s="21" t="str">
        <v>Internet &amp; Mobile</v>
      </c>
    </row>
    <row r="17" spans="1:5" ht="14.25" customHeight="1">
      <c r="A17" s="1"/>
      <c r="B17" s="1"/>
      <c r="C17" s="1"/>
      <c r="E17" s="21" t="str">
        <v>Miscellaneous</v>
      </c>
    </row>
    <row r="18" spans="1:5" ht="14.25" customHeight="1">
      <c r="A18" s="1"/>
      <c r="B18" s="1"/>
      <c r="C18" s="1"/>
      <c r="E18" s="21" t="str">
        <v>Personal Care</v>
      </c>
    </row>
    <row r="19" spans="1:5" ht="14.25" customHeight="1">
      <c r="A19" s="1"/>
      <c r="B19" s="1"/>
      <c r="C19" s="1"/>
      <c r="E19" s="21" t="str">
        <v>Shopping</v>
      </c>
    </row>
    <row r="20" spans="1:5" ht="14.25" customHeight="1">
      <c r="A20" s="1"/>
      <c r="B20" s="1"/>
      <c r="C20" s="1"/>
      <c r="E20" s="21" t="str">
        <v>Taxes</v>
      </c>
    </row>
    <row r="21" spans="1:5" ht="14.25" customHeight="1">
      <c r="A21" s="1"/>
      <c r="B21" s="1"/>
      <c r="C21" s="1"/>
      <c r="E21" s="21" t="str">
        <v>Transportation</v>
      </c>
    </row>
    <row r="22" spans="1:5" ht="14.25" customHeight="1">
      <c r="A22" s="1"/>
      <c r="B22" s="1"/>
      <c r="C22" s="1"/>
      <c r="E22" s="21" t="str">
        <v>Travel</v>
      </c>
    </row>
    <row r="23" spans="1:5" ht="14.25" customHeight="1">
      <c r="A23" s="1"/>
      <c r="B23" s="1"/>
      <c r="C23" s="1"/>
      <c r="E23" s="21" t="str">
        <v>Utilities</v>
      </c>
    </row>
    <row r="24" spans="1:5" ht="14.25" customHeight="1">
      <c r="A24" s="1"/>
    </row>
    <row r="25" spans="1:5" ht="14.25" customHeight="1">
      <c r="A25" s="1"/>
    </row>
    <row r="26" spans="1:5" ht="14.25" customHeight="1">
      <c r="A26" s="1"/>
    </row>
    <row r="27" spans="1:5" ht="14.25" customHeight="1">
      <c r="A27" s="1"/>
    </row>
    <row r="28" spans="1:5" ht="14.25" customHeight="1">
      <c r="A28" s="1"/>
    </row>
    <row r="29" spans="1:5" ht="14.25" customHeight="1">
      <c r="A29" s="1"/>
    </row>
    <row r="30" spans="1:5" ht="14.25" customHeight="1">
      <c r="A30" s="1"/>
    </row>
    <row r="31" spans="1:5" ht="14.25" customHeight="1">
      <c r="A31" s="1"/>
    </row>
    <row r="32" spans="1:5" ht="14.25" customHeight="1">
      <c r="A32" s="1"/>
    </row>
    <row r="33" spans="1:10" ht="14.25" customHeight="1">
      <c r="A33" s="1"/>
      <c r="J33" s="21"/>
    </row>
    <row r="42" spans="1:10" ht="14.25" customHeight="1">
      <c r="A42" s="10" t="s">
        <v>374</v>
      </c>
      <c r="J42" s="21"/>
    </row>
    <row r="43" spans="1:10" ht="14.25" customHeight="1">
      <c r="A43" s="11" t="s">
        <v>375</v>
      </c>
      <c r="B43" s="11" t="s">
        <v>376</v>
      </c>
      <c r="C43" s="11" t="s">
        <v>377</v>
      </c>
      <c r="D43" s="11" t="s">
        <v>378</v>
      </c>
      <c r="E43" s="11" t="s">
        <v>379</v>
      </c>
      <c r="F43" s="11" t="s">
        <v>380</v>
      </c>
      <c r="G43" s="11" t="s">
        <v>381</v>
      </c>
      <c r="H43" s="11" t="s">
        <v>382</v>
      </c>
      <c r="I43" s="11" t="s">
        <v>383</v>
      </c>
      <c r="J43" s="11" t="s">
        <v>315</v>
      </c>
    </row>
    <row r="44" spans="1:10" ht="14.25" customHeight="1">
      <c r="A44" s="1" t="str" cm="1">
        <f t="array" ref="A44:A46">_xlfn.SORTBY(_xlfn._xlws.FILTER(tblLookupData[Display Name],(tblLookupData[Lookup Type]="Transaction Type")*(tblLookupData[Active]=TRUE)*(tblLookupData[Display Name]&lt;&gt;"")),_xlfn._xlws.FILTER(tblLookupData[Display Order],(tblLookupData[Lookup Type]="Transaction Type")*(tblLookupData[Active]=TRUE)*(tblLookupData[Display Name]&lt;&gt;"")))</f>
        <v>Income</v>
      </c>
      <c r="B44" s="21" t="str" cm="1">
        <f t="array" ref="B44:B47">_xlfn.SORTBY(_xlfn._xlws.FILTER(tblLookupData[Display Name],(tblLookupData[Lookup Type]="Account Type")*(tblLookupData[Active]=TRUE)*(tblLookupData[Display Name]&lt;&gt;"")),_xlfn._xlws.FILTER(tblLookupData[Display Order],(tblLookupData[Lookup Type]="Account Type")*(tblLookupData[Active]=TRUE)*(tblLookupData[Display Name]&lt;&gt;"")))</f>
        <v>Savings Account</v>
      </c>
      <c r="C44" s="21" t="str" cm="1">
        <f t="array" ref="C44:C50">_xlfn.SORTBY(_xlfn._xlws.FILTER(tblLookupData[Display Name],(tblLookupData[Lookup Type]="Goal Type")*(tblLookupData[Active]=TRUE)*(tblLookupData[Display Name]&lt;&gt;"")),_xlfn._xlws.FILTER(tblLookupData[Display Order],(tblLookupData[Lookup Type]="Goal Type")*(tblLookupData[Active]=TRUE)*(tblLookupData[Display Name]&lt;&gt;"")))</f>
        <v>Emergency Fund</v>
      </c>
      <c r="D44" s="21" t="str" cm="1">
        <f t="array" ref="D44:D50">_xlfn.SORTBY(_xlfn._xlws.FILTER(tblLookupData[Display Name],(tblLookupData[Lookup Type]="Liability Type")*(tblLookupData[Active]=TRUE)*(tblLookupData[Display Name]&lt;&gt;"")),_xlfn._xlws.FILTER(tblLookupData[Display Order],(tblLookupData[Lookup Type]="Liability Type")*(tblLookupData[Active]=TRUE)*(tblLookupData[Display Name]&lt;&gt;"")))</f>
        <v>Home Loan</v>
      </c>
      <c r="E44" s="21" t="str" cm="1">
        <f t="array" ref="E44:E51">_xlfn.SORTBY(_xlfn._xlws.FILTER(tblLookupData[Display Name],(tblLookupData[Lookup Type]="Recurring Commitment Type")*(tblLookupData[Active]=TRUE)*(tblLookupData[Display Name]&lt;&gt;"")),_xlfn._xlws.FILTER(tblLookupData[Display Order],(tblLookupData[Lookup Type]="Recurring Commitment Type")*(tblLookupData[Active]=TRUE)*(tblLookupData[Display Name]&lt;&gt;"")))</f>
        <v>Insurance</v>
      </c>
      <c r="F44" s="21" t="str" cm="1">
        <f t="array" ref="F44:F50">_xlfn.SORTBY(_xlfn._xlws.FILTER(tblLookupData[Display Name],(tblLookupData[Lookup Type]="Frequency")*(tblLookupData[Active]=TRUE)*(tblLookupData[Display Name]&lt;&gt;"")),_xlfn._xlws.FILTER(tblLookupData[Display Order],(tblLookupData[Lookup Type]="Frequency")*(tblLookupData[Active]=TRUE)*(tblLookupData[Display Name]&lt;&gt;"")))</f>
        <v>Weekly</v>
      </c>
      <c r="G44" s="21" t="str" cm="1">
        <f t="array" ref="G44:G45">_xlfn.SORTBY(_xlfn._xlws.FILTER(tblLookupData[Display Name],(tblLookupData[Lookup Type]="Destination Type")*(tblLookupData[Active]=TRUE)*(tblLookupData[Display Name]&lt;&gt;"")),_xlfn._xlws.FILTER(tblLookupData[Display Order],(tblLookupData[Lookup Type]="Destination Type")*(tblLookupData[Active]=TRUE)*(tblLookupData[Display Name]&lt;&gt;"")))</f>
        <v>Account</v>
      </c>
      <c r="H44" s="21" t="str" cm="1">
        <f t="array" ref="H44:H50">_xlfn.SORTBY(_xlfn._xlws.FILTER(tblLookupData[Display Name],(tblLookupData[Lookup Type]="Asset Type")*(tblLookupData[Active]=TRUE)*(tblLookupData[Display Name]&lt;&gt;"")),_xlfn._xlws.FILTER(tblLookupData[Display Order],(tblLookupData[Lookup Type]="Asset Type")*(tblLookupData[Active]=TRUE)*(tblLookupData[Display Name]&lt;&gt;"")))</f>
        <v>Gold</v>
      </c>
      <c r="I44" s="21" t="str" cm="1">
        <f t="array" ref="I44:I45">_xlfn.SORTBY(_xlfn._xlws.FILTER(tblLookupData[Display Name],(tblLookupData[Lookup Type]="Category Type")*(tblLookupData[Active]=TRUE)*(tblLookupData[Display Name]&lt;&gt;"")),_xlfn._xlws.FILTER(tblLookupData[Display Order],(tblLookupData[Lookup Type]="Category Type")*(tblLookupData[Active]=TRUE)*(tblLookupData[Display Name]&lt;&gt;"")))</f>
        <v>Income</v>
      </c>
      <c r="J44" s="21" t="b" cm="1">
        <f t="array" ref="J44:J45">_xlfn.SORTBY(_xlfn._xlws.FILTER(tblLookupData[Display Name],(tblLookupData[Lookup Type]="Boolean")*(tblLookupData[Active]=TRUE)*(tblLookupData[Display Name]&lt;&gt;"")),_xlfn._xlws.FILTER(tblLookupData[Display Order],(tblLookupData[Lookup Type]="Boolean")*(tblLookupData[Active]=TRUE)*(tblLookupData[Display Name]&lt;&gt;"")))</f>
        <v>1</v>
      </c>
    </row>
    <row r="45" spans="1:10" ht="14.25" customHeight="1">
      <c r="A45" s="1" t="str">
        <v>Expense</v>
      </c>
      <c r="B45" s="21" t="str">
        <v>Current Account</v>
      </c>
      <c r="C45" s="21" t="str">
        <v>Vehicle</v>
      </c>
      <c r="D45" s="21" t="str">
        <v>Personal Loan</v>
      </c>
      <c r="E45" s="21" t="str">
        <v>Subscription</v>
      </c>
      <c r="F45" s="21" t="str">
        <v>Fortnightly</v>
      </c>
      <c r="G45" s="21" t="str">
        <v>Liability</v>
      </c>
      <c r="H45" s="21" t="str">
        <v>Vehicle</v>
      </c>
      <c r="I45" s="21" t="str">
        <v>Expense</v>
      </c>
      <c r="J45" s="21" t="b">
        <v>0</v>
      </c>
    </row>
    <row r="46" spans="1:10" ht="14.25" customHeight="1">
      <c r="A46" s="21" t="str">
        <v>Transfer</v>
      </c>
      <c r="B46" s="21" t="str">
        <v>Cash</v>
      </c>
      <c r="C46" s="21" t="str">
        <v>Home</v>
      </c>
      <c r="D46" s="21" t="str">
        <v>Vehicle Loan</v>
      </c>
      <c r="E46" s="21" t="str">
        <v>Utility Bill</v>
      </c>
      <c r="F46" s="21" t="str">
        <v>Monthly</v>
      </c>
      <c r="H46" s="21" t="str">
        <v>Electronics</v>
      </c>
      <c r="J46" s="21"/>
    </row>
    <row r="47" spans="1:10" ht="14.25" customHeight="1">
      <c r="B47" s="9" t="str">
        <v>Credit Card</v>
      </c>
      <c r="C47" s="9" t="str">
        <v>Vacation</v>
      </c>
      <c r="D47" s="9" t="str">
        <v>Credit Card</v>
      </c>
      <c r="E47" s="9" t="str">
        <v>Internet &amp; Mobile</v>
      </c>
      <c r="F47" s="9" t="str">
        <v>Every 2 Months</v>
      </c>
      <c r="G47" s="9"/>
      <c r="H47" s="9" t="str">
        <v>Property</v>
      </c>
      <c r="J47" s="21"/>
    </row>
    <row r="48" spans="1:10" ht="14.25" customHeight="1">
      <c r="C48" s="21" t="str">
        <v>Education</v>
      </c>
      <c r="D48" s="21" t="str">
        <v>Chit</v>
      </c>
      <c r="E48" s="21" t="str">
        <v>Membership</v>
      </c>
      <c r="F48" s="21" t="str">
        <v>Quarterly</v>
      </c>
      <c r="H48" s="21" t="str">
        <v>Investment Asset</v>
      </c>
      <c r="J48" s="21"/>
    </row>
    <row r="49" spans="3:8" ht="14.25" customHeight="1">
      <c r="C49" s="21" t="str">
        <v>Retirement</v>
      </c>
      <c r="D49" s="21" t="str">
        <v>Personal Borrowing</v>
      </c>
      <c r="E49" s="21" t="str">
        <v>Rent</v>
      </c>
      <c r="F49" s="21" t="str">
        <v>Half-Yearly</v>
      </c>
      <c r="H49" s="21" t="str">
        <v>Furniture</v>
      </c>
    </row>
    <row r="50" spans="3:8" ht="14.25" customHeight="1">
      <c r="C50" s="21" t="str">
        <v>Other</v>
      </c>
      <c r="D50" s="21" t="str">
        <v>Other</v>
      </c>
      <c r="E50" s="21" t="str">
        <v>Loan Repayment</v>
      </c>
      <c r="F50" s="21" t="str">
        <v>Yearly</v>
      </c>
      <c r="H50" s="21" t="str">
        <v>Other</v>
      </c>
    </row>
    <row r="51" spans="3:8">
      <c r="E51" s="21" t="str">
        <v>Other</v>
      </c>
    </row>
    <row r="61" spans="3:8">
      <c r="F61" s="11"/>
      <c r="G61" s="11"/>
    </row>
    <row r="88" spans="1:20">
      <c r="A88" s="10" t="s">
        <v>384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1:20">
      <c r="A89" s="3" t="s">
        <v>385</v>
      </c>
      <c r="B89" s="11" t="s">
        <v>0</v>
      </c>
      <c r="D89" s="11" t="s">
        <v>386</v>
      </c>
      <c r="E89" s="11" t="s">
        <v>67</v>
      </c>
      <c r="G89" s="11" t="s">
        <v>387</v>
      </c>
      <c r="H89" s="11" t="s">
        <v>111</v>
      </c>
      <c r="J89" s="11" t="s">
        <v>388</v>
      </c>
      <c r="K89" s="11" t="s">
        <v>31</v>
      </c>
      <c r="L89" s="21"/>
      <c r="M89" s="11" t="s">
        <v>389</v>
      </c>
      <c r="N89" s="11" t="s">
        <v>54</v>
      </c>
      <c r="O89" s="21"/>
      <c r="P89" s="11" t="s">
        <v>390</v>
      </c>
      <c r="Q89" s="11" t="s">
        <v>80</v>
      </c>
      <c r="R89" s="21"/>
      <c r="S89" s="11" t="s">
        <v>391</v>
      </c>
      <c r="T89" s="11" t="s">
        <v>110</v>
      </c>
    </row>
    <row r="90" spans="1:20">
      <c r="A90" s="1" t="str" cm="1">
        <f t="array" ref="A90:A95">_xlfn.SORTBY(_xlfn._xlws.FILTER(tblAccounts[Account Name],(tblAccounts[Account Name]&lt;&gt;"")*(tblAccounts[Active]=TRUE)),_xlfn._xlws.FILTER(tblAccounts[Account ID],(tblAccounts[Account Name]&lt;&gt;"")*(tblAccounts[Active]=TRUE)))</f>
        <v>SBI Savings</v>
      </c>
      <c r="B90" s="21" t="str" cm="1">
        <f t="array" ref="B90:B95">_xlfn.SORTBY(_xlfn._xlws.FILTER(tblAccounts[Account ID],(tblAccounts[Account Name]&lt;&gt;"")*(tblAccounts[Active]=TRUE)),_xlfn._xlws.FILTER(tblAccounts[Account ID],(tblAccounts[Account Name]&lt;&gt;"")*(tblAccounts[Active]=TRUE)))</f>
        <v>ACC001</v>
      </c>
      <c r="D90" s="21" t="str" cm="1">
        <f t="array" ref="D90:D91">_xlfn.SORTBY(_xlfn._xlws.FILTER(tblLiabilities[Liability Name],(tblLiabilities[Liability Name]&lt;&gt;"")*(tblLiabilities[Active]=TRUE)),_xlfn._xlws.FILTER(tblLiabilities[Liability ID],(tblLiabilities[Liability Name]&lt;&gt;"")*(tblLiabilities[Active]=TRUE)))</f>
        <v>Home Loan</v>
      </c>
      <c r="E90" s="21" t="str" cm="1">
        <f t="array" ref="E90:E91">_xlfn.SORTBY(_xlfn._xlws.FILTER(tblLiabilities[Liability ID],(tblLiabilities[Liability Name]&lt;&gt;"")*(tblLiabilities[Active]=TRUE)),_xlfn._xlws.FILTER(tblLiabilities[Liability ID],(tblLiabilities[Liability Name]&lt;&gt;"")*(tblLiabilities[Active]=TRUE)))</f>
        <v>LIA001</v>
      </c>
      <c r="G90" s="21" t="str" cm="1">
        <f t="array" ref="G90:G91">_xlfn.SORTBY(_xlfn._xlws.FILTER(tblGoals[Goal Name],(tblGoals[Goal Name]&lt;&gt;"")*(tblGoals[Active]=TRUE)),_xlfn._xlws.FILTER(tblGoals[Goal ID],(tblGoals[Goal Name]&lt;&gt;"")*(tblGoals[Active]=TRUE)))</f>
        <v>Emergency Fund</v>
      </c>
      <c r="H90" s="21" t="str" cm="1">
        <f t="array" ref="H90:H91">_xlfn.SORTBY(_xlfn._xlws.FILTER(tblGoals[Goal ID],(tblGoals[Goal Name]&lt;&gt;"")*(tblGoals[Active]=TRUE)),_xlfn._xlws.FILTER(tblGoals[Goal ID],(tblGoals[Goal Name]&lt;&gt;"")*(tblGoals[Active]=TRUE)))</f>
        <v>GOAL001</v>
      </c>
      <c r="J90" s="21" t="str" cm="1">
        <f t="array" ref="J90:J93">_xlfn.SORTBY(_xlfn._xlws.FILTER(tblIncomeSources[Income Source Name],(tblIncomeSources[Income Source Name]&lt;&gt;"")*(tblIncomeSources[Active]=TRUE)),_xlfn._xlws.FILTER(tblIncomeSources[Income Source ID],(tblIncomeSources[Income Source Name]&lt;&gt;"")*(tblIncomeSources[Active]=TRUE)))</f>
        <v>Monthly Salary</v>
      </c>
      <c r="K90" s="21" t="str" cm="1">
        <f t="array" ref="K90:K93">_xlfn.SORTBY(_xlfn._xlws.FILTER(tblIncomeSources[Income Source ID],(tblIncomeSources[Income Source Name]&lt;&gt;"")*(tblIncomeSources[Active]=TRUE)),_xlfn._xlws.FILTER(tblIncomeSources[Income Source ID],(tblIncomeSources[Income Source Name]&lt;&gt;"")*(tblIncomeSources[Active]=TRUE)))</f>
        <v>INC001</v>
      </c>
      <c r="L90" s="21"/>
      <c r="M90" s="21" t="str" cm="1">
        <f t="array" ref="M90:M91">_xlfn.SORTBY(_xlfn._xlws.FILTER(tblAssets[Asset Name],(tblAssets[Asset Name]&lt;&gt;"")*(tblAssets[Active]=TRUE)),_xlfn._xlws.FILTER(tblAssets[Asset ID],(tblAssets[Asset Name]&lt;&gt;"")*(tblAssets[Active]=TRUE)))</f>
        <v>Gold</v>
      </c>
      <c r="N90" s="21" t="str" cm="1">
        <f t="array" ref="N90:N91">_xlfn.SORTBY(_xlfn._xlws.FILTER(tblAssets[Asset ID],(tblAssets[Asset Name]&lt;&gt;"")*(tblAssets[Active]=TRUE)),_xlfn._xlws.FILTER(tblAssets[Asset ID],(tblAssets[Asset Name]&lt;&gt;"")*(tblAssets[Active]=TRUE)))</f>
        <v>AST001</v>
      </c>
      <c r="O90" s="21"/>
      <c r="P90" s="21" t="str" cm="1">
        <f t="array" ref="P90:P93">_xlfn.SORTBY(_xlfn._xlws.FILTER(tblRecurringCommitments[Commitment Name],(tblRecurringCommitments[Commitment Name]&lt;&gt;"")*(tblRecurringCommitments[Active]=TRUE)),_xlfn._xlws.FILTER(tblRecurringCommitments[Commitment ID],(tblRecurringCommitments[Commitment Name]&lt;&gt;"")*(tblRecurringCommitments[Active]=TRUE)))</f>
        <v>Home Loan EMI</v>
      </c>
      <c r="Q90" s="21" t="str" cm="1">
        <f t="array" ref="Q90:Q93">_xlfn.SORTBY(_xlfn._xlws.FILTER(tblRecurringCommitments[Commitment ID],(tblRecurringCommitments[Commitment Name]&lt;&gt;"")*(tblRecurringCommitments[Active]=TRUE)),_xlfn._xlws.FILTER(tblRecurringCommitments[Commitment ID],(tblRecurringCommitments[Commitment Name]&lt;&gt;"")*(tblRecurringCommitments[Active]=TRUE)))</f>
        <v>COM001</v>
      </c>
      <c r="R90" s="21"/>
      <c r="S90" s="21" t="str" cm="1">
        <f t="array" ref="S90:S117">_xlfn.SORTBY(_xlfn._xlws.FILTER(tblCategories[Category Name],(tblCategories[Category Name]&lt;&gt;"")*(tblCategories[Active]=TRUE)),_xlfn._xlws.FILTER(tblCategories[Category ID],(tblCategories[Category Name]&lt;&gt;"")*(tblCategories[Active]=TRUE)))</f>
        <v>Housing</v>
      </c>
      <c r="T90" s="21" t="str" cm="1">
        <f t="array" ref="T90:T117">_xlfn.SORTBY(_xlfn._xlws.FILTER(tblCategories[Category ID],(tblCategories[Category Name]&lt;&gt;"")*(tblCategories[Active]=TRUE)),_xlfn._xlws.FILTER(tblCategories[Category ID],(tblCategories[Category Name]&lt;&gt;"")*(tblCategories[Active]=TRUE)))</f>
        <v>EXP001</v>
      </c>
    </row>
    <row r="91" spans="1:20">
      <c r="A91" s="1" t="str">
        <v>Cash</v>
      </c>
      <c r="B91" s="21" t="str">
        <v>ACC002</v>
      </c>
      <c r="D91" s="21" t="str">
        <v>HDFC Credit Card</v>
      </c>
      <c r="E91" s="21" t="str">
        <v>LIA002</v>
      </c>
      <c r="G91" s="21" t="str">
        <v>Japan Trip</v>
      </c>
      <c r="H91" s="21" t="str">
        <v>GOAL002</v>
      </c>
      <c r="J91" s="21" t="str">
        <v>Credit Card Cashback</v>
      </c>
      <c r="K91" s="21" t="str">
        <v>INC002</v>
      </c>
      <c r="L91" s="21"/>
      <c r="M91" s="21" t="str">
        <v>Laptop</v>
      </c>
      <c r="N91" s="21" t="str">
        <v>AST002</v>
      </c>
      <c r="O91" s="21"/>
      <c r="P91" s="21" t="str">
        <v>Netflix</v>
      </c>
      <c r="Q91" s="21" t="str">
        <v>COM002</v>
      </c>
      <c r="R91" s="21"/>
      <c r="S91" s="21" t="str">
        <v>Groceries</v>
      </c>
      <c r="T91" s="21" t="str">
        <v>EXP002</v>
      </c>
    </row>
    <row r="92" spans="1:20">
      <c r="A92" s="21" t="str">
        <v>HDFC Credit Card</v>
      </c>
      <c r="B92" s="21" t="str">
        <v>ACC003</v>
      </c>
      <c r="J92" s="21" t="str">
        <v>Savings Interest</v>
      </c>
      <c r="K92" s="21" t="str">
        <v>INC003</v>
      </c>
      <c r="L92" s="21"/>
      <c r="M92" s="21"/>
      <c r="N92" s="21"/>
      <c r="O92" s="21"/>
      <c r="P92" s="21" t="str">
        <v>Mobile Bill</v>
      </c>
      <c r="Q92" s="21" t="str">
        <v>COM003</v>
      </c>
      <c r="R92" s="21"/>
      <c r="S92" s="21" t="str">
        <v>Food &amp; Dining</v>
      </c>
      <c r="T92" s="21" t="str">
        <v>EXP003</v>
      </c>
    </row>
    <row r="93" spans="1:20">
      <c r="A93" s="21" t="str">
        <v>Emergency Fund Savings</v>
      </c>
      <c r="B93" s="21" t="str">
        <v>ACC004</v>
      </c>
      <c r="J93" s="21" t="str">
        <v>Refund Received</v>
      </c>
      <c r="K93" s="21" t="str">
        <v>INC004</v>
      </c>
      <c r="L93" s="21"/>
      <c r="M93" s="21"/>
      <c r="N93" s="21"/>
      <c r="O93" s="21"/>
      <c r="P93" s="21" t="str">
        <v>Electricity Bill</v>
      </c>
      <c r="Q93" s="21" t="str">
        <v>COM004</v>
      </c>
      <c r="R93" s="21"/>
      <c r="S93" s="21" t="str">
        <v>Transportation</v>
      </c>
      <c r="T93" s="21" t="str">
        <v>EXP004</v>
      </c>
    </row>
    <row r="94" spans="1:20">
      <c r="A94" s="21" t="str">
        <v>Vacation Savings</v>
      </c>
      <c r="B94" s="21" t="str">
        <v>ACC005</v>
      </c>
      <c r="J94" s="21"/>
      <c r="K94" s="21"/>
      <c r="L94" s="21"/>
      <c r="M94" s="21"/>
      <c r="N94" s="21"/>
      <c r="O94" s="21"/>
      <c r="P94" s="21"/>
      <c r="Q94" s="21"/>
      <c r="R94" s="21"/>
      <c r="S94" s="21" t="str">
        <v>Fuel</v>
      </c>
      <c r="T94" s="21" t="str">
        <v>EXP005</v>
      </c>
    </row>
    <row r="95" spans="1:20">
      <c r="A95" s="21" t="str">
        <v>Federal Bank Savings</v>
      </c>
      <c r="B95" s="21" t="str">
        <v>ACC006</v>
      </c>
      <c r="J95" s="21"/>
      <c r="K95" s="21"/>
      <c r="L95" s="21"/>
      <c r="M95" s="21"/>
      <c r="N95" s="21"/>
      <c r="O95" s="21"/>
      <c r="P95" s="21"/>
      <c r="Q95" s="21"/>
      <c r="R95" s="21"/>
      <c r="S95" s="21" t="str">
        <v>Utilities</v>
      </c>
      <c r="T95" s="21" t="str">
        <v>EXP006</v>
      </c>
    </row>
    <row r="96" spans="1:20">
      <c r="J96" s="21"/>
      <c r="K96" s="21"/>
      <c r="L96" s="21"/>
      <c r="M96" s="21"/>
      <c r="N96" s="21"/>
      <c r="O96" s="21"/>
      <c r="P96" s="21"/>
      <c r="Q96" s="21"/>
      <c r="R96" s="21"/>
      <c r="S96" s="21" t="str">
        <v>Internet &amp; Mobile</v>
      </c>
      <c r="T96" s="21" t="str">
        <v>EXP007</v>
      </c>
    </row>
    <row r="97" spans="19:20">
      <c r="S97" s="21" t="str">
        <v>Healthcare</v>
      </c>
      <c r="T97" s="21" t="str">
        <v>EXP008</v>
      </c>
    </row>
    <row r="98" spans="19:20">
      <c r="S98" s="21" t="str">
        <v>Insurance</v>
      </c>
      <c r="T98" s="21" t="str">
        <v>EXP009</v>
      </c>
    </row>
    <row r="99" spans="19:20">
      <c r="S99" s="21" t="str">
        <v>Personal Care</v>
      </c>
      <c r="T99" s="21" t="str">
        <v>EXP010</v>
      </c>
    </row>
    <row r="100" spans="19:20">
      <c r="S100" s="21" t="str">
        <v>Household</v>
      </c>
      <c r="T100" s="21" t="str">
        <v>EXP011</v>
      </c>
    </row>
    <row r="101" spans="19:20">
      <c r="S101" s="21" t="str">
        <v>Education</v>
      </c>
      <c r="T101" s="21" t="str">
        <v>EXP012</v>
      </c>
    </row>
    <row r="102" spans="19:20">
      <c r="S102" s="21" t="str">
        <v>Entertainment</v>
      </c>
      <c r="T102" s="21" t="str">
        <v>EXP013</v>
      </c>
    </row>
    <row r="103" spans="19:20">
      <c r="S103" s="21" t="str">
        <v>Shopping</v>
      </c>
      <c r="T103" s="21" t="str">
        <v>EXP014</v>
      </c>
    </row>
    <row r="104" spans="19:20">
      <c r="S104" s="21" t="str">
        <v>Travel</v>
      </c>
      <c r="T104" s="21" t="str">
        <v>EXP015</v>
      </c>
    </row>
    <row r="105" spans="19:20">
      <c r="S105" s="21" t="str">
        <v>Borrowing Costs</v>
      </c>
      <c r="T105" s="21" t="str">
        <v>EXP016</v>
      </c>
    </row>
    <row r="106" spans="19:20">
      <c r="S106" s="21" t="str">
        <v>Gifts &amp; Donations</v>
      </c>
      <c r="T106" s="21" t="str">
        <v>EXP017</v>
      </c>
    </row>
    <row r="107" spans="19:20">
      <c r="S107" s="21" t="str">
        <v>Taxes</v>
      </c>
      <c r="T107" s="21" t="str">
        <v>EXP018</v>
      </c>
    </row>
    <row r="108" spans="19:20">
      <c r="S108" s="21" t="str">
        <v>Miscellaneous</v>
      </c>
      <c r="T108" s="21" t="str">
        <v>EXP019</v>
      </c>
    </row>
    <row r="109" spans="19:20">
      <c r="S109" s="21" t="str">
        <v>Salary</v>
      </c>
      <c r="T109" s="21" t="str">
        <v>INC001</v>
      </c>
    </row>
    <row r="110" spans="19:20">
      <c r="S110" s="21" t="str">
        <v>Bonus</v>
      </c>
      <c r="T110" s="21" t="str">
        <v>INC002</v>
      </c>
    </row>
    <row r="111" spans="19:20">
      <c r="S111" s="21" t="str">
        <v>Freelance</v>
      </c>
      <c r="T111" s="21" t="str">
        <v>INC003</v>
      </c>
    </row>
    <row r="112" spans="19:20">
      <c r="S112" s="21" t="str">
        <v>Business Income</v>
      </c>
      <c r="T112" s="21" t="str">
        <v>INC004</v>
      </c>
    </row>
    <row r="113" spans="1:20">
      <c r="J113" s="21"/>
      <c r="K113" s="21"/>
      <c r="L113" s="21"/>
      <c r="M113" s="21"/>
      <c r="N113" s="21"/>
      <c r="O113" s="21"/>
      <c r="P113" s="21"/>
      <c r="Q113" s="21"/>
      <c r="R113" s="21"/>
      <c r="S113" s="21" t="str">
        <v>Rental Income</v>
      </c>
      <c r="T113" s="21" t="str">
        <v>INC005</v>
      </c>
    </row>
    <row r="114" spans="1:20">
      <c r="J114" s="21"/>
      <c r="K114" s="21"/>
      <c r="L114" s="21"/>
      <c r="M114" s="21"/>
      <c r="N114" s="21"/>
      <c r="O114" s="21"/>
      <c r="P114" s="21"/>
      <c r="Q114" s="21"/>
      <c r="R114" s="21"/>
      <c r="S114" s="21" t="str">
        <v>Interest</v>
      </c>
      <c r="T114" s="21" t="str">
        <v>INC006</v>
      </c>
    </row>
    <row r="115" spans="1:20">
      <c r="J115" s="21"/>
      <c r="K115" s="21"/>
      <c r="L115" s="21"/>
      <c r="M115" s="21"/>
      <c r="N115" s="21"/>
      <c r="O115" s="21"/>
      <c r="P115" s="21"/>
      <c r="Q115" s="21"/>
      <c r="R115" s="21"/>
      <c r="S115" s="21" t="str">
        <v>Cashback</v>
      </c>
      <c r="T115" s="21" t="str">
        <v>INC007</v>
      </c>
    </row>
    <row r="116" spans="1:20">
      <c r="J116" s="21"/>
      <c r="K116" s="21"/>
      <c r="L116" s="21"/>
      <c r="M116" s="21"/>
      <c r="N116" s="21"/>
      <c r="O116" s="21"/>
      <c r="P116" s="21"/>
      <c r="Q116" s="21"/>
      <c r="R116" s="21"/>
      <c r="S116" s="21" t="str">
        <v>Refund</v>
      </c>
      <c r="T116" s="21" t="str">
        <v>INC008</v>
      </c>
    </row>
    <row r="117" spans="1:20">
      <c r="J117" s="21"/>
      <c r="K117" s="21"/>
      <c r="L117" s="21"/>
      <c r="M117" s="21"/>
      <c r="N117" s="21"/>
      <c r="O117" s="21"/>
      <c r="P117" s="21"/>
      <c r="Q117" s="21"/>
      <c r="R117" s="21"/>
      <c r="S117" s="21" t="str">
        <v>Other Income</v>
      </c>
      <c r="T117" s="21" t="str">
        <v>INC009</v>
      </c>
    </row>
    <row r="125" spans="1:20">
      <c r="A125" s="10" t="s">
        <v>392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6"/>
  <sheetViews>
    <sheetView topLeftCell="A10" zoomScaleNormal="100" workbookViewId="0">
      <selection activeCell="A22" sqref="A22"/>
    </sheetView>
  </sheetViews>
  <sheetFormatPr defaultColWidth="8.7109375" defaultRowHeight="15"/>
  <cols>
    <col min="1" max="1" width="19.140625" style="21" customWidth="1"/>
    <col min="2" max="2" width="23.42578125" style="21" customWidth="1"/>
    <col min="3" max="3" width="23.85546875" style="21" customWidth="1"/>
    <col min="4" max="4" width="25.140625" style="21" customWidth="1"/>
    <col min="5" max="5" width="29.28515625" style="21" customWidth="1"/>
    <col min="6" max="6" width="26" style="21" customWidth="1"/>
    <col min="7" max="7" width="21" style="21" customWidth="1"/>
    <col min="8" max="8" width="15.5703125" style="21" customWidth="1"/>
    <col min="9" max="9" width="14.5703125" style="21" customWidth="1"/>
    <col min="10" max="10" width="13.28515625" style="21" customWidth="1"/>
    <col min="14" max="14" width="13.42578125" style="21" customWidth="1"/>
  </cols>
  <sheetData>
    <row r="1" spans="1:8" ht="18" customHeight="1">
      <c r="A1" s="23" t="s">
        <v>393</v>
      </c>
      <c r="B1" s="24"/>
      <c r="C1" s="24"/>
      <c r="D1" s="24"/>
      <c r="E1" s="24"/>
      <c r="F1" s="24"/>
    </row>
    <row r="3" spans="1:8" ht="14.25" customHeight="1">
      <c r="A3" s="1" t="s">
        <v>0</v>
      </c>
      <c r="B3" s="1" t="s">
        <v>1</v>
      </c>
      <c r="C3" s="2" t="s">
        <v>4</v>
      </c>
      <c r="D3" s="2" t="s">
        <v>394</v>
      </c>
      <c r="E3" s="2" t="s">
        <v>395</v>
      </c>
      <c r="F3" s="2" t="s">
        <v>396</v>
      </c>
      <c r="G3" s="2" t="s">
        <v>397</v>
      </c>
    </row>
    <row r="4" spans="1:8" ht="14.25" customHeight="1">
      <c r="A4" s="1" t="s">
        <v>8</v>
      </c>
      <c r="B4" s="1" t="str">
        <f>INDEX(tblAccounts[Account Name],MATCH(A4,tblAccounts[Account ID],0))</f>
        <v>SBI Savings</v>
      </c>
      <c r="C4" s="2">
        <v>35000</v>
      </c>
      <c r="D4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77170</v>
      </c>
      <c r="E4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65998</v>
      </c>
      <c r="F4" s="21">
        <f>tblBusinessAccounts[[#This Row],[Opening Balance]]+tblBusinessAccounts[[#This Row],[Money In]]-tblBusinessAccounts[[#This Row],[Money Out]]</f>
        <v>46172</v>
      </c>
    </row>
    <row r="5" spans="1:8" ht="14.25" customHeight="1">
      <c r="A5" s="1" t="s">
        <v>13</v>
      </c>
      <c r="B5" s="1" t="str">
        <f>INDEX(tblAccounts[Account Name],MATCH(A5,tblAccounts[Account ID],0))</f>
        <v>Cash</v>
      </c>
      <c r="C5" s="2">
        <v>2000</v>
      </c>
      <c r="D5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2000</v>
      </c>
      <c r="E5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2100</v>
      </c>
      <c r="F5" s="21">
        <f>tblBusinessAccounts[[#This Row],[Opening Balance]]+tblBusinessAccounts[[#This Row],[Money In]]-tblBusinessAccounts[[#This Row],[Money Out]]</f>
        <v>1900</v>
      </c>
    </row>
    <row r="6" spans="1:8" ht="14.25" customHeight="1">
      <c r="A6" s="1" t="s">
        <v>16</v>
      </c>
      <c r="B6" s="1" t="str">
        <f>INDEX(tblAccounts[Account Name],MATCH(A6,tblAccounts[Account ID],0))</f>
        <v>HDFC Credit Card</v>
      </c>
      <c r="C6" s="2">
        <v>0</v>
      </c>
      <c r="D6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0</v>
      </c>
      <c r="E6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3500</v>
      </c>
      <c r="F6" s="21">
        <f>tblBusinessAccounts[[#This Row],[Opening Balance]]+tblBusinessAccounts[[#This Row],[Money In]]-tblBusinessAccounts[[#This Row],[Money Out]]</f>
        <v>-3500</v>
      </c>
    </row>
    <row r="7" spans="1:8" ht="14.25" customHeight="1">
      <c r="A7" s="21" t="s">
        <v>21</v>
      </c>
      <c r="B7" s="21" t="str">
        <f>INDEX(tblAccounts[Account Name],MATCH(A7,tblAccounts[Account ID],0))</f>
        <v>Emergency Fund Savings</v>
      </c>
      <c r="C7" s="21">
        <v>0</v>
      </c>
      <c r="D7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5000</v>
      </c>
      <c r="E7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0</v>
      </c>
      <c r="F7" s="21">
        <f>tblBusinessAccounts[[#This Row],[Opening Balance]]+tblBusinessAccounts[[#This Row],[Money In]]-tblBusinessAccounts[[#This Row],[Money Out]]</f>
        <v>5000</v>
      </c>
    </row>
    <row r="8" spans="1:8" ht="14.25" customHeight="1">
      <c r="A8" s="1" t="s">
        <v>24</v>
      </c>
      <c r="B8" s="21" t="str">
        <f>INDEX(tblAccounts[Account Name],MATCH(A8,tblAccounts[Account ID],0))</f>
        <v>Vacation Savings</v>
      </c>
      <c r="C8" s="21">
        <v>0</v>
      </c>
      <c r="D8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3000</v>
      </c>
      <c r="E8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0</v>
      </c>
      <c r="F8" s="21">
        <f>tblBusinessAccounts[[#This Row],[Opening Balance]]+tblBusinessAccounts[[#This Row],[Money In]]-tblBusinessAccounts[[#This Row],[Money Out]]</f>
        <v>3000</v>
      </c>
    </row>
    <row r="9" spans="1:8" ht="14.25" customHeight="1">
      <c r="A9" s="11" t="s">
        <v>27</v>
      </c>
      <c r="B9" s="21" t="str">
        <f>INDEX(tblAccounts[Account Name],MATCH(A9,tblAccounts[Account ID],0))</f>
        <v>Federal Bank Savings</v>
      </c>
      <c r="C9" s="21">
        <v>0</v>
      </c>
      <c r="D9" s="21">
        <f>SUMIFS(tblTransactions[Amount],tblTransactions[Transaction Type],"Income",tblTransactions[Account],tblBusinessAccounts[[#This Row],[Account Name]])+SUMIFS(tblTransactions[Amount],tblTransactions[Transaction Type],"Transfer",tblTransactions[Destination Type],"Account",tblTransactions[Destination],tblBusinessAccounts[[#This Row],[Account ID]])</f>
        <v>0</v>
      </c>
      <c r="E9" s="21">
        <f>SUMIFS(tblTransactions[Amount],tblTransactions[Account],tblBusinessAccounts[[#This Row],[Account Name]])-SUMIFS(tblTransactions[Amount],tblTransactions[Transaction Type],"Income",tblTransactions[Account],tblBusinessAccounts[[#This Row],[Account Name]])</f>
        <v>0</v>
      </c>
      <c r="F9" s="21">
        <f>tblBusinessAccounts[[#This Row],[Opening Balance]]+tblBusinessAccounts[[#This Row],[Money In]]-tblBusinessAccounts[[#This Row],[Money Out]]</f>
        <v>0</v>
      </c>
    </row>
    <row r="10" spans="1:8" ht="14.25" customHeight="1">
      <c r="A10" s="4" t="s">
        <v>67</v>
      </c>
      <c r="B10" s="4" t="s">
        <v>68</v>
      </c>
      <c r="C10" s="5" t="s">
        <v>70</v>
      </c>
      <c r="D10" s="5" t="s">
        <v>398</v>
      </c>
      <c r="E10" s="5" t="s">
        <v>399</v>
      </c>
      <c r="F10" s="5" t="s">
        <v>400</v>
      </c>
      <c r="G10" s="5" t="s">
        <v>401</v>
      </c>
      <c r="H10" s="4" t="s">
        <v>397</v>
      </c>
    </row>
    <row r="11" spans="1:8" ht="14.25" customHeight="1">
      <c r="A11" s="1" t="str">
        <f>IFERROR(INDEX(tblLiabilities[Liability ID],ROW(A1)),"")</f>
        <v>LIA001</v>
      </c>
      <c r="B11" s="1" t="str">
        <f>IF($A11="","",INDEX(tblLiabilities[Liability Name],ROW(A1)))</f>
        <v>Home Loan</v>
      </c>
      <c r="C11" s="2">
        <f>IF($A11="","",INDEX(tblLiabilities[Original Amount],ROW(A1)))</f>
        <v>2500000</v>
      </c>
      <c r="D11" s="2">
        <f>IF($A11="","",INDEX(tblLiabilities[Outstanding Balance],ROW(A1)))</f>
        <v>2200000</v>
      </c>
      <c r="E11" s="2">
        <f>SUMIFS(
    tblTransactions[Amount],
    tblTransactions[Destination Type],"Liability",
    tblTransactions[Destination],tblBusinessLiabilities[[#This Row],[Liability ID]]
)</f>
        <v>24500</v>
      </c>
      <c r="F11" s="12">
        <f>tblBusinessLiabilities[[#This Row],[Starting Outstanding]]-tblBusinessLiabilities[[#This Row],[Payments Since FinanceOS]]</f>
        <v>2175500</v>
      </c>
      <c r="G11" s="13">
        <f>IF(tblBusinessLiabilities[[#This Row],[Starting Outstanding]]=0,1,tblBusinessLiabilities[[#This Row],[Payments Since FinanceOS]]/tblBusinessLiabilities[[#This Row],[Starting Outstanding]])</f>
        <v>1.1136363636363637E-2</v>
      </c>
      <c r="H11" s="14" t="str">
        <f>IF(tblBusinessLiabilities[[#This Row],[Current Outstanding]]=0,"Paid Off","Active")</f>
        <v>Active</v>
      </c>
    </row>
    <row r="12" spans="1:8" ht="14.25" customHeight="1">
      <c r="A12" s="1" t="str">
        <f>IFERROR(INDEX(tblLiabilities[Liability ID],ROW(A2)),"")</f>
        <v>LIA002</v>
      </c>
      <c r="B12" s="1" t="str">
        <f>IF($A12="","",INDEX(tblLiabilities[Liability Name],ROW(A2)))</f>
        <v>HDFC Credit Card</v>
      </c>
      <c r="C12" s="2">
        <f>IF($A12="","",INDEX(tblLiabilities[Original Amount],ROW(A2)))</f>
        <v>0</v>
      </c>
      <c r="D12" s="2">
        <f>IF($A12="","",INDEX(tblLiabilities[Outstanding Balance],ROW(A2)))</f>
        <v>12000</v>
      </c>
      <c r="E12" s="2">
        <f>SUMIFS(
    tblTransactions[Amount],
    tblTransactions[Destination Type],"Liability",
    tblTransactions[Destination],tblBusinessLiabilities[[#This Row],[Liability ID]]
)</f>
        <v>12000</v>
      </c>
      <c r="F12" s="15">
        <f>tblBusinessLiabilities[[#This Row],[Starting Outstanding]]-tblBusinessLiabilities[[#This Row],[Payments Since FinanceOS]]</f>
        <v>0</v>
      </c>
      <c r="G12" s="16">
        <f>IF(tblBusinessLiabilities[[#This Row],[Starting Outstanding]]=0,1,tblBusinessLiabilities[[#This Row],[Payments Since FinanceOS]]/tblBusinessLiabilities[[#This Row],[Starting Outstanding]])</f>
        <v>1</v>
      </c>
      <c r="H12" s="17" t="str">
        <f>IF(tblBusinessLiabilities[[#This Row],[Current Outstanding]]=0,"Paid Off","Active")</f>
        <v>Paid Off</v>
      </c>
    </row>
    <row r="13" spans="1:8" ht="14.25" customHeight="1">
      <c r="A13" s="1"/>
      <c r="B13" s="1"/>
      <c r="C13" s="2"/>
      <c r="D13" s="15"/>
      <c r="E13" s="15"/>
      <c r="F13" s="15"/>
      <c r="G13" s="17"/>
    </row>
    <row r="14" spans="1:8" ht="14.25" customHeight="1">
      <c r="A14" s="1"/>
      <c r="B14" s="1"/>
      <c r="C14" s="2"/>
      <c r="D14" s="15"/>
      <c r="E14" s="15"/>
      <c r="F14" s="15"/>
      <c r="G14" s="17"/>
    </row>
    <row r="16" spans="1:8" ht="14.25" customHeight="1">
      <c r="A16" s="4" t="s">
        <v>111</v>
      </c>
      <c r="B16" s="4" t="s">
        <v>170</v>
      </c>
      <c r="C16" s="4" t="s">
        <v>172</v>
      </c>
      <c r="D16" s="4" t="s">
        <v>402</v>
      </c>
      <c r="E16" s="4" t="s">
        <v>403</v>
      </c>
      <c r="F16" s="4" t="s">
        <v>404</v>
      </c>
      <c r="G16" s="4" t="s">
        <v>397</v>
      </c>
    </row>
    <row r="17" spans="1:15" ht="14.25" customHeight="1">
      <c r="A17" s="21" t="str">
        <f>IFERROR(INDEX(tblGoals[Goal ID],ROW(A1)),"")</f>
        <v>GOAL001</v>
      </c>
      <c r="B17" s="21" t="str">
        <f>IF($A17="","",INDEX(tblGoals[Goal Name],ROW(A1)))</f>
        <v>Emergency Fund</v>
      </c>
      <c r="C17" s="21">
        <f>IF($A17="","",INDEX(tblGoals[Target Amount],ROW(A1)))</f>
        <v>300000</v>
      </c>
      <c r="D17" s="21">
        <f>IF($A17="","",SUMIFS(tblTransactions[Amount],tblTransactions[Transaction Type],"Transfer",tblTransactions[Goal ID],tblBusinessGoals[[#This Row],[Goal ID]]))</f>
        <v>5000</v>
      </c>
      <c r="E17" s="21">
        <f>IF($A17="","",INDEX(tblGoals[Current Savings],ROW(A1)))</f>
        <v>50000</v>
      </c>
      <c r="F17" s="18">
        <f>IF(tblBusinessGoals[[#This Row],[Target Amount]]=0,0,tblBusinessGoals[[#This Row],[Current Saved]]/tblBusinessGoals[[#This Row],[Target Amount]])</f>
        <v>0.16666666666666666</v>
      </c>
      <c r="G17" s="21" t="str">
        <f>IF(tblBusinessGoals[[#This Row],[Current Saved]]&gt;=tblBusinessGoals[[#This Row],[Target Amount]],"Completed",IF(tblBusinessGoals[[#This Row],[Current Saved]]=0,"Not Started","In Progress"))</f>
        <v>In Progress</v>
      </c>
      <c r="I17" s="4"/>
      <c r="J17" s="4"/>
      <c r="K17" s="5"/>
      <c r="L17" s="5"/>
      <c r="M17" s="5"/>
      <c r="N17" s="5"/>
      <c r="O17" s="4"/>
    </row>
    <row r="18" spans="1:15" ht="14.25" customHeight="1">
      <c r="A18" s="21" t="str">
        <f>IFERROR(INDEX(tblGoals[Goal ID],ROW(A2)),"")</f>
        <v>GOAL002</v>
      </c>
      <c r="B18" s="21" t="str">
        <f>IF($A18="","",INDEX(tblGoals[Goal Name],ROW(A2)))</f>
        <v>Japan Trip</v>
      </c>
      <c r="C18" s="21">
        <f>IF($A18="","",INDEX(tblGoals[Target Amount],ROW(A2)))</f>
        <v>250000</v>
      </c>
      <c r="D18" s="21">
        <f>IF($A18="","",SUMIFS(tblTransactions[Amount],tblTransactions[Transaction Type],"Transfer",tblTransactions[Goal ID],tblBusinessGoals[[#This Row],[Goal ID]]))</f>
        <v>3000</v>
      </c>
      <c r="E18" s="21">
        <f>IF($A18="","",INDEX(tblGoals[Current Savings],ROW(A2)))</f>
        <v>20000</v>
      </c>
      <c r="F18" s="18">
        <f>IF(tblBusinessGoals[[#This Row],[Target Amount]]=0,0,tblBusinessGoals[[#This Row],[Current Saved]]/tblBusinessGoals[[#This Row],[Target Amount]])</f>
        <v>0.08</v>
      </c>
      <c r="G18" s="21" t="str">
        <f>IF(tblBusinessGoals[[#This Row],[Current Saved]]&gt;=tblBusinessGoals[[#This Row],[Target Amount]],"Completed",IF(tblBusinessGoals[[#This Row],[Current Saved]]=0,"Not Started","In Progress"))</f>
        <v>In Progress</v>
      </c>
      <c r="I18" s="1"/>
      <c r="J18" s="1"/>
      <c r="K18" s="2"/>
      <c r="L18" s="12"/>
      <c r="M18" s="12"/>
      <c r="N18" s="12"/>
      <c r="O18" s="14"/>
    </row>
    <row r="19" spans="1:15" ht="14.25" customHeight="1">
      <c r="I19" s="1"/>
      <c r="J19" s="1"/>
      <c r="K19" s="2"/>
      <c r="L19" s="12"/>
      <c r="M19" s="12"/>
      <c r="N19" s="12"/>
      <c r="O19" s="14"/>
    </row>
    <row r="20" spans="1:15" ht="14.25" customHeight="1">
      <c r="A20" s="21" t="str">
        <f>IFERROR(INDEX(tblGoals[Goal ID],ROW(A4)),"")</f>
        <v/>
      </c>
      <c r="K20" s="21"/>
      <c r="L20" s="21"/>
      <c r="M20" s="21"/>
      <c r="O20" s="21"/>
    </row>
    <row r="21" spans="1:15" ht="14.25" customHeight="1">
      <c r="A21" s="21" t="str">
        <f>IFERROR(INDEX(tblGoals[Goal ID],ROW(A5)),"")</f>
        <v/>
      </c>
      <c r="K21" s="21"/>
      <c r="L21" s="21"/>
      <c r="M21" s="21"/>
      <c r="O21" s="21"/>
    </row>
    <row r="22" spans="1:15" ht="14.25" customHeight="1">
      <c r="A22" s="1" t="s">
        <v>80</v>
      </c>
      <c r="B22" s="1" t="s">
        <v>81</v>
      </c>
      <c r="C22" s="1" t="s">
        <v>405</v>
      </c>
      <c r="D22" s="1" t="s">
        <v>36</v>
      </c>
      <c r="E22" s="1" t="s">
        <v>406</v>
      </c>
      <c r="F22" s="1" t="s">
        <v>407</v>
      </c>
      <c r="G22" s="1" t="s">
        <v>397</v>
      </c>
      <c r="K22" s="21"/>
      <c r="L22" s="21"/>
      <c r="M22" s="21"/>
      <c r="O22" s="21"/>
    </row>
    <row r="23" spans="1:15" ht="14.25" customHeight="1">
      <c r="A23" s="21" t="str">
        <f>IFERROR(INDEX(tblRecurringCommitments[Commitment ID],ROW(A1)),"")</f>
        <v>COM001</v>
      </c>
      <c r="B23" s="21" t="str">
        <f>IF($A23="","",INDEX(tblRecurringCommitments[Commitment Name],ROW(A1)))</f>
        <v>Home Loan EMI</v>
      </c>
      <c r="C23" s="21">
        <f>IF($A23="","",INDEX(tblRecurringCommitments[Payment Amount],ROW(A1)))</f>
        <v>24500</v>
      </c>
      <c r="D23" s="21" t="str">
        <f>IF($A23="","",INDEX(tblRecurringCommitments[Frequency],ROW(A1)))</f>
        <v>Monthly</v>
      </c>
      <c r="E23" s="21">
        <f>IF($A23="","",IF(D23="Weekly",C23*4.333,IF(D23="Fortnightly",C23*2.166,IF(D23="Monthly",C23,IF(D23="Quarterly",C23/3,IF(D23="Half-Yearly",C23/6,IF(D23="Yearly",C23/12,C23)))))))</f>
        <v>24500</v>
      </c>
      <c r="F23" s="21" t="str">
        <f>IF($A23="","",IF(INDEX(tblRecurringCommitments[Linked Liability],ROW(A1))="","",INDEX(tblRecurringCommitments[Linked Liability],ROW(A1))))</f>
        <v>Home Loan</v>
      </c>
      <c r="G23" s="21" t="str">
        <f>IF($A23="","",IF(INDEX(tblRecurringCommitments[Active],ROW(A1)),"Active","Inactive"))</f>
        <v>Active</v>
      </c>
      <c r="K23" s="21"/>
      <c r="L23" s="21"/>
      <c r="M23" s="21"/>
      <c r="O23" s="21"/>
    </row>
    <row r="24" spans="1:15" ht="14.25" customHeight="1">
      <c r="A24" s="21" t="str">
        <f>IFERROR(INDEX(tblRecurringCommitments[Commitment ID],ROW(A2)),"")</f>
        <v>COM002</v>
      </c>
      <c r="B24" s="21" t="str">
        <f>IF($A24="","",INDEX(tblRecurringCommitments[Commitment Name],ROW(A2)))</f>
        <v>Netflix</v>
      </c>
      <c r="C24" s="21">
        <f>IF($A24="","",INDEX(tblRecurringCommitments[Payment Amount],ROW(A2)))</f>
        <v>649</v>
      </c>
      <c r="D24" s="21" t="str">
        <f>IF($A24="","",INDEX(tblRecurringCommitments[Frequency],ROW(A2)))</f>
        <v>Monthly</v>
      </c>
      <c r="E24" s="21">
        <f>IF($A24="","",IF(D24="Weekly",C24*4.333,IF(D24="Fortnightly",C24*2.166,IF(D24="Monthly",C24,IF(D24="Quarterly",C24/3,IF(D24="Half-Yearly",C24/6,IF(D24="Yearly",C24/12,C24)))))))</f>
        <v>649</v>
      </c>
      <c r="F24" s="21" t="str">
        <f>IF($A24="","",IF(INDEX(tblRecurringCommitments[Linked Liability],ROW(A2))="","",INDEX(tblRecurringCommitments[Linked Liability],ROW(A2))))</f>
        <v/>
      </c>
      <c r="G24" s="21" t="str">
        <f>IF($A24="","",IF(INDEX(tblRecurringCommitments[Active],ROW(A2)),"Active","Inactive"))</f>
        <v>Active</v>
      </c>
      <c r="K24" s="21"/>
      <c r="L24" s="21"/>
      <c r="M24" s="21"/>
      <c r="O24" s="21"/>
    </row>
    <row r="25" spans="1:15" ht="14.25" customHeight="1">
      <c r="A25" s="21" t="str">
        <f>IFERROR(INDEX(tblRecurringCommitments[Commitment ID],ROW(A3)),"")</f>
        <v>COM003</v>
      </c>
      <c r="B25" s="21" t="str">
        <f>IF($A25="","",INDEX(tblRecurringCommitments[Commitment Name],ROW(A3)))</f>
        <v>Mobile Bill</v>
      </c>
      <c r="C25" s="21">
        <f>IF($A25="","",INDEX(tblRecurringCommitments[Payment Amount],ROW(A3)))</f>
        <v>999</v>
      </c>
      <c r="D25" s="21" t="str">
        <f>IF($A25="","",INDEX(tblRecurringCommitments[Frequency],ROW(A3)))</f>
        <v>Yearly</v>
      </c>
      <c r="E25" s="21">
        <f>IF($A25="","",IF(D25="Weekly",C25*4.333,IF(D25="Fortnightly",C25*2.166,IF(D25="Monthly",C25,IF(D25="Quarterly",C25/3,IF(D25="Half-Yearly",C25/6,IF(D25="Yearly",C25/12,C25)))))))</f>
        <v>83.25</v>
      </c>
      <c r="F25" s="21" t="str">
        <f>IF($A25="","",IF(INDEX(tblRecurringCommitments[Linked Liability],ROW(A3))="","",INDEX(tblRecurringCommitments[Linked Liability],ROW(A3))))</f>
        <v/>
      </c>
      <c r="G25" s="21" t="str">
        <f>IF($A25="","",IF(INDEX(tblRecurringCommitments[Active],ROW(A3)),"Active","Inactive"))</f>
        <v>Active</v>
      </c>
      <c r="K25" s="21"/>
      <c r="L25" s="21"/>
      <c r="M25" s="21"/>
      <c r="O25" s="21"/>
    </row>
    <row r="30" spans="1:15" ht="14.25" customHeight="1">
      <c r="I30" s="4"/>
      <c r="J30" s="4"/>
      <c r="K30" s="21"/>
      <c r="L30" s="21"/>
      <c r="M30" s="21"/>
      <c r="O30" s="21"/>
    </row>
    <row r="31" spans="1:15" ht="14.25" customHeight="1">
      <c r="I31" s="1"/>
      <c r="J31" s="19"/>
      <c r="K31" s="21"/>
      <c r="L31" s="21"/>
      <c r="M31" s="21"/>
      <c r="O31" s="21"/>
    </row>
    <row r="32" spans="1:15" ht="14.25" customHeight="1">
      <c r="I32" s="1"/>
      <c r="J32" s="19"/>
      <c r="K32" s="21"/>
      <c r="L32" s="21"/>
      <c r="M32" s="21"/>
      <c r="O32" s="21"/>
    </row>
    <row r="33" spans="1:10" ht="14.25" customHeight="1">
      <c r="I33" s="1"/>
      <c r="J33" s="19"/>
    </row>
    <row r="34" spans="1:10" ht="14.25" customHeight="1">
      <c r="A34" s="11"/>
      <c r="I34" s="1"/>
      <c r="J34" s="19"/>
    </row>
    <row r="35" spans="1:10" ht="14.25" customHeight="1">
      <c r="I35" s="1"/>
      <c r="J35" s="3"/>
    </row>
    <row r="36" spans="1:10" ht="14.25" customHeight="1">
      <c r="I36" s="1"/>
      <c r="J36" s="19"/>
    </row>
    <row r="37" spans="1:10" ht="14.25" customHeight="1">
      <c r="I37" s="1"/>
      <c r="J37" s="1"/>
    </row>
    <row r="46" spans="1:10" ht="14.25" customHeight="1">
      <c r="A46" s="11"/>
    </row>
    <row r="58" spans="1:1" ht="14.25" customHeight="1">
      <c r="A58" s="11"/>
    </row>
    <row r="70" spans="1:1" ht="14.25" customHeight="1">
      <c r="A70" s="11"/>
    </row>
    <row r="82" spans="1:1" ht="14.25" customHeight="1">
      <c r="A82" s="11"/>
    </row>
    <row r="94" spans="1:1" ht="14.25" customHeight="1">
      <c r="A94" s="11"/>
    </row>
    <row r="106" spans="1:1" ht="14.25" customHeight="1">
      <c r="A106" s="11"/>
    </row>
  </sheetData>
  <mergeCells count="1">
    <mergeCell ref="A1:F1"/>
  </mergeCells>
  <pageMargins left="0.7" right="0.7" top="0.75" bottom="0.75" header="0.511811023622047" footer="0.511811023622047"/>
  <pageSetup orientation="portrait" horizontalDpi="300" verticalDpi="300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zoomScaleNormal="100" workbookViewId="0">
      <selection activeCell="C18" sqref="C18"/>
    </sheetView>
  </sheetViews>
  <sheetFormatPr defaultColWidth="8.7109375" defaultRowHeight="15"/>
  <cols>
    <col min="1" max="1" width="20.85546875" style="21" customWidth="1"/>
    <col min="2" max="2" width="24.42578125" style="21" customWidth="1"/>
    <col min="3" max="3" width="13.5703125" style="21" customWidth="1"/>
    <col min="4" max="4" width="41.7109375" style="21" customWidth="1"/>
  </cols>
  <sheetData>
    <row r="1" spans="1:4" ht="14.25" customHeight="1">
      <c r="A1" s="21" t="s">
        <v>408</v>
      </c>
      <c r="B1" s="21" t="s">
        <v>409</v>
      </c>
      <c r="C1" s="21" t="s">
        <v>410</v>
      </c>
      <c r="D1" s="21" t="s">
        <v>7</v>
      </c>
    </row>
    <row r="2" spans="1:4" ht="14.25" customHeight="1">
      <c r="A2" s="21" t="s">
        <v>411</v>
      </c>
      <c r="B2" s="21" t="s">
        <v>412</v>
      </c>
      <c r="C2" s="21" t="s">
        <v>413</v>
      </c>
      <c r="D2" s="21" t="s">
        <v>414</v>
      </c>
    </row>
    <row r="3" spans="1:4" ht="14.25" customHeight="1">
      <c r="A3" s="21" t="s">
        <v>415</v>
      </c>
      <c r="B3" s="21" t="s">
        <v>416</v>
      </c>
      <c r="C3" s="21" t="s">
        <v>417</v>
      </c>
      <c r="D3" s="21" t="s">
        <v>418</v>
      </c>
    </row>
    <row r="4" spans="1:4" ht="14.25" customHeight="1">
      <c r="A4" s="21" t="s">
        <v>419</v>
      </c>
      <c r="B4" s="21" t="s">
        <v>420</v>
      </c>
      <c r="C4" s="21" t="s">
        <v>421</v>
      </c>
      <c r="D4" s="21" t="s">
        <v>422</v>
      </c>
    </row>
    <row r="5" spans="1:4" ht="14.25" customHeight="1">
      <c r="A5" s="21" t="s">
        <v>423</v>
      </c>
      <c r="B5" s="21" t="s">
        <v>424</v>
      </c>
      <c r="C5" s="21" t="s">
        <v>40</v>
      </c>
      <c r="D5" s="21" t="s">
        <v>425</v>
      </c>
    </row>
    <row r="6" spans="1:4" ht="14.25" customHeight="1">
      <c r="A6" s="21" t="s">
        <v>426</v>
      </c>
      <c r="B6" s="1" t="s">
        <v>427</v>
      </c>
      <c r="C6" s="20">
        <v>46204</v>
      </c>
      <c r="D6" s="21" t="s">
        <v>428</v>
      </c>
    </row>
    <row r="7" spans="1:4" ht="14.25" customHeight="1">
      <c r="A7" s="21" t="s">
        <v>429</v>
      </c>
      <c r="B7" s="21" t="s">
        <v>430</v>
      </c>
      <c r="C7" s="21" t="s">
        <v>431</v>
      </c>
      <c r="D7" s="21" t="s">
        <v>432</v>
      </c>
    </row>
    <row r="8" spans="1:4" ht="14.25" customHeight="1">
      <c r="A8" s="21" t="s">
        <v>433</v>
      </c>
      <c r="B8" s="21" t="s">
        <v>434</v>
      </c>
      <c r="C8" s="21" t="s">
        <v>435</v>
      </c>
      <c r="D8" s="21" t="s">
        <v>436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/>
  <cp:revision>0</cp:revision>
  <dcterms:created xsi:type="dcterms:W3CDTF">2026-07-11T06:32:12Z</dcterms:created>
  <dcterms:modified xsi:type="dcterms:W3CDTF">2026-08-21T10:13:55Z</dcterms:modified>
  <cp:category/>
  <cp:contentStatus/>
</cp:coreProperties>
</file>