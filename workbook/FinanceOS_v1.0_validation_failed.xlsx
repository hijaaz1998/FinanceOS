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tings" state="visible" r:id="rId4"/>
    <sheet sheetId="2" name="Categories" state="visible" r:id="rId5"/>
    <sheet sheetId="3" name="Accounts" state="visible" r:id="rId6"/>
    <sheet sheetId="4" name="Income Sources" state="visible" r:id="rId7"/>
    <sheet sheetId="5" name="Assets" state="visible" r:id="rId8"/>
    <sheet sheetId="6" name="Liabilities" state="visible" r:id="rId9"/>
    <sheet sheetId="7" name="Recurring Commitments" state="visible" r:id="rId10"/>
    <sheet sheetId="8" name="Transactions" state="visible" r:id="rId11"/>
    <sheet sheetId="9" name="Goals" state="visible" r:id="rId12"/>
    <sheet sheetId="10" name="Helpers" state="hidden" r:id="rId13"/>
    <sheet sheetId="11" name="Business Engine" state="visible" r:id="rId14"/>
    <sheet sheetId="12" name="Analysis Engine" state="hidden" r:id="rId15"/>
    <sheet sheetId="13" name="Dashboard" state="visible" r:id="rId16"/>
    <sheet sheetId="14" name="Insights" state="visible" r:id="rId17"/>
  </sheets>
  <definedNames>
    <definedName name="valLiabilityTypes">Helpers!$AC$2:$AC$11</definedName>
    <definedName name="rngPriority">Helpers!$A$45:$A$47</definedName>
    <definedName name="valActiveGoals">Helpers!$H$2:$H$200</definedName>
    <definedName name="rngActiveGoals">Helpers!$H$2:$H$200</definedName>
    <definedName name="valExpenseCategories">Helpers!$E$2:$E$200</definedName>
    <definedName name="rngActiveAssets">Helpers!$I$2:$I$200</definedName>
    <definedName name="valGoalStatus">Helpers!$A$59:$A$61</definedName>
    <definedName name="valPriority">Helpers!$A$45:$A$47</definedName>
    <definedName name="valOwnershipType">Helpers!$A$82:$A$83</definedName>
    <definedName name="valPaymentMethods">Helpers!$A$10:$A$17</definedName>
    <definedName name="rngMonths">Helpers!$B$112:$B$123</definedName>
    <definedName name="valYesNo">Helpers!$A$87:$A$88</definedName>
    <definedName name="valAccountTypes">Helpers!$A$92:$A$99</definedName>
    <definedName name="rngCurrency">Helpers!$A$2:$A$6</definedName>
    <definedName name="valAssetStatus">Helpers!$AB$2:$AB$4</definedName>
    <definedName name="rngIncomeCategories">Helpers!$F$2:$F$200</definedName>
    <definedName name="rngPaymentMethods">Helpers!$A$10:$A$17</definedName>
    <definedName name="valActiveLiabilities">Helpers!$J$2:$J$200</definedName>
    <definedName name="valCategoryStatus">Helpers!$L$2:$L$200</definedName>
    <definedName name="rngFinancialYears">Helpers!$A$127:$A$130</definedName>
    <definedName name="valAccountStatus">Helpers!$A$71:$A$72</definedName>
    <definedName name="valIncomeCategories">Helpers!$F$2:$F$200</definedName>
    <definedName name="valGoalCategories">Helpers!$AD$2:$AD$12</definedName>
    <definedName name="valTransactionStatus">Helpers!$AF$2:$AF$4</definedName>
    <definedName name="valTransactionTypes">Helpers!$A$21:$A$24</definedName>
    <definedName name="valActiveAssets">Helpers!$I$2:$I$200</definedName>
    <definedName name="rngExpenseCategories">Helpers!$E$2:$E$200</definedName>
    <definedName name="rngActiveLiabilities">Helpers!$J$2:$J$200</definedName>
    <definedName name="valFrequency">Helpers!$A$38:$A$41</definedName>
    <definedName name="valThemes">Helpers!$A$108</definedName>
    <definedName name="valAssetCategories">Helpers!$Z$2:$Z$7</definedName>
    <definedName name="valCommitmentStatus">Helpers!$A$76:$A$78</definedName>
    <definedName name="valDestinationTypes">Helpers!$A$28:$A$34</definedName>
    <definedName name="valLiabilityStatus">Helpers!$A$66:$A$67</definedName>
    <definedName name="rngActiveAccounts">Helpers!$G$2:$G$200</definedName>
    <definedName name="valAssetTypes">Helpers!$AA$2:$AA$25</definedName>
    <definedName name="valCommitmentTypes">Helpers!$AE$2:$AE$12</definedName>
    <definedName name="valCategoryTypes">Helpers!$A$103:$A$104</definedName>
    <definedName name="valCurrencies">Helpers!$A$2:$A$6</definedName>
    <definedName name="valActiveAccounts">Helpers!$G$2:$G$200</definedName>
    <definedName name="valIncomeSources">Helpers!$K$2:$K$200</definedName>
  </definedNames>
  <calcPr calcId="171027"/>
</workbook>
</file>

<file path=xl/sharedStrings.xml><?xml version="1.0" encoding="utf-8"?>
<sst xmlns="http://schemas.openxmlformats.org/spreadsheetml/2006/main" count="313" uniqueCount="247">
  <si>
    <t>Setting ID</t>
  </si>
  <si>
    <t>Setting Name</t>
  </si>
  <si>
    <t>Setting Value</t>
  </si>
  <si>
    <t>Setting Category</t>
  </si>
  <si>
    <t>Description</t>
  </si>
  <si>
    <t>Category ID</t>
  </si>
  <si>
    <t>Category Name</t>
  </si>
  <si>
    <t>Category Type</t>
  </si>
  <si>
    <t>Parent Category</t>
  </si>
  <si>
    <t>Status</t>
  </si>
  <si>
    <t>Display Order</t>
  </si>
  <si>
    <t>Notes</t>
  </si>
  <si>
    <t>Account ID</t>
  </si>
  <si>
    <t>Account Name</t>
  </si>
  <si>
    <t>Account Type</t>
  </si>
  <si>
    <t>Institution</t>
  </si>
  <si>
    <t>Opening Balance</t>
  </si>
  <si>
    <t>Current Balance</t>
  </si>
  <si>
    <t>Currency</t>
  </si>
  <si>
    <t>Income Source ID</t>
  </si>
  <si>
    <t>Income Source Name</t>
  </si>
  <si>
    <t>Income Category</t>
  </si>
  <si>
    <t>Default Receiving Account</t>
  </si>
  <si>
    <t>Asset ID</t>
  </si>
  <si>
    <t>Asset Name</t>
  </si>
  <si>
    <t>Asset Category</t>
  </si>
  <si>
    <t>Asset Type</t>
  </si>
  <si>
    <t>Linked Account</t>
  </si>
  <si>
    <t>Purchase Date</t>
  </si>
  <si>
    <t>Purchase Value</t>
  </si>
  <si>
    <t>Current Value</t>
  </si>
  <si>
    <t>Appreciation Amount</t>
  </si>
  <si>
    <t>Appreciation %</t>
  </si>
  <si>
    <t>Ownership Type</t>
  </si>
  <si>
    <t>Liability ID</t>
  </si>
  <si>
    <t>Liability Name</t>
  </si>
  <si>
    <t>Liability Type</t>
  </si>
  <si>
    <t>Original Amount</t>
  </si>
  <si>
    <t>Outstanding Balance</t>
  </si>
  <si>
    <t>Interest Rate</t>
  </si>
  <si>
    <t>EMI Amount</t>
  </si>
  <si>
    <t>EMI Frequency</t>
  </si>
  <si>
    <t>EMI Due Day</t>
  </si>
  <si>
    <t>Start Date</t>
  </si>
  <si>
    <t>End Date</t>
  </si>
  <si>
    <t>Linked Payment Account</t>
  </si>
  <si>
    <t>Auto EMI</t>
  </si>
  <si>
    <t>Commitment ID</t>
  </si>
  <si>
    <t>Commitment Name</t>
  </si>
  <si>
    <t>Commitment Type</t>
  </si>
  <si>
    <t>Linked Liability ID</t>
  </si>
  <si>
    <t>Linked Goal ID</t>
  </si>
  <si>
    <t>Payment Account</t>
  </si>
  <si>
    <t>Amount</t>
  </si>
  <si>
    <t>Frequency</t>
  </si>
  <si>
    <t>Due Day</t>
  </si>
  <si>
    <t>Auto Generate</t>
  </si>
  <si>
    <t>Transaction ID</t>
  </si>
  <si>
    <t>Transaction Date</t>
  </si>
  <si>
    <t>Transaction Type</t>
  </si>
  <si>
    <t>Source Account</t>
  </si>
  <si>
    <t>Destination Type</t>
  </si>
  <si>
    <t>Destination Name</t>
  </si>
  <si>
    <t>Category</t>
  </si>
  <si>
    <t>Income Source</t>
  </si>
  <si>
    <t>Payment Method</t>
  </si>
  <si>
    <t>Transaction Status</t>
  </si>
  <si>
    <t>Created Timestamp</t>
  </si>
  <si>
    <t>Goal ID</t>
  </si>
  <si>
    <t>Goal Name</t>
  </si>
  <si>
    <t>Goal Category</t>
  </si>
  <si>
    <t>Goal Account</t>
  </si>
  <si>
    <t>Target Amount</t>
  </si>
  <si>
    <t>Current Saved Amount</t>
  </si>
  <si>
    <t>Remaining Amount</t>
  </si>
  <si>
    <t>Monthly Contribution Target</t>
  </si>
  <si>
    <t>Target Date</t>
  </si>
  <si>
    <t>Priority</t>
  </si>
  <si>
    <t>Goal Status</t>
  </si>
  <si>
    <t>Currency Code</t>
  </si>
  <si>
    <t>Currency Name</t>
  </si>
  <si>
    <t>Symbol</t>
  </si>
  <si>
    <t>valExpenseCategories</t>
  </si>
  <si>
    <t>valIncomeCategories</t>
  </si>
  <si>
    <t>valActiveAccounts</t>
  </si>
  <si>
    <t>valActiveGoals</t>
  </si>
  <si>
    <t>valActiveAssets</t>
  </si>
  <si>
    <t>valActiveLiabilities</t>
  </si>
  <si>
    <t>valIncomeSources</t>
  </si>
  <si>
    <t>valCategoryStatus</t>
  </si>
  <si>
    <t>Day</t>
  </si>
  <si>
    <t>Asset Status</t>
  </si>
  <si>
    <t>INR</t>
  </si>
  <si>
    <t>Investment</t>
  </si>
  <si>
    <t>Mutual Fund</t>
  </si>
  <si>
    <t>Active</t>
  </si>
  <si>
    <t>Home Loan</t>
  </si>
  <si>
    <t>Emergency Fund</t>
  </si>
  <si>
    <t>EMI</t>
  </si>
  <si>
    <t>Completed</t>
  </si>
  <si>
    <t>USD</t>
  </si>
  <si>
    <t>Physical Asset</t>
  </si>
  <si>
    <t>Stock</t>
  </si>
  <si>
    <t>Sold</t>
  </si>
  <si>
    <t>Personal Loan</t>
  </si>
  <si>
    <t>Bike</t>
  </si>
  <si>
    <t>Rent</t>
  </si>
  <si>
    <t>Pending</t>
  </si>
  <si>
    <t>EUR</t>
  </si>
  <si>
    <t>Property</t>
  </si>
  <si>
    <t>ETF</t>
  </si>
  <si>
    <t>Closed</t>
  </si>
  <si>
    <t>Education Loan</t>
  </si>
  <si>
    <t>Car</t>
  </si>
  <si>
    <t>Subscription</t>
  </si>
  <si>
    <t>Cancelled</t>
  </si>
  <si>
    <t>GBP</t>
  </si>
  <si>
    <t>Retirement Asset</t>
  </si>
  <si>
    <t>Gold ETF</t>
  </si>
  <si>
    <t>Vehicle Loan</t>
  </si>
  <si>
    <t>Home</t>
  </si>
  <si>
    <t>Insurance</t>
  </si>
  <si>
    <t>AED</t>
  </si>
  <si>
    <t>Cash Equivalent</t>
  </si>
  <si>
    <t>Bond</t>
  </si>
  <si>
    <t>Gold Loan</t>
  </si>
  <si>
    <t>Education</t>
  </si>
  <si>
    <t>Utility</t>
  </si>
  <si>
    <t>Other Asset</t>
  </si>
  <si>
    <t>SIP</t>
  </si>
  <si>
    <t>Credit Card</t>
  </si>
  <si>
    <t>Wedding</t>
  </si>
  <si>
    <t>Fixed Deposit</t>
  </si>
  <si>
    <t>Buy Now Pay Later</t>
  </si>
  <si>
    <t>Travel</t>
  </si>
  <si>
    <t>Goal Contribution</t>
  </si>
  <si>
    <t>PPF</t>
  </si>
  <si>
    <t>Family Loan</t>
  </si>
  <si>
    <t>Gold</t>
  </si>
  <si>
    <t>Savings Transfer</t>
  </si>
  <si>
    <t>Bank Transfer</t>
  </si>
  <si>
    <t>EPF</t>
  </si>
  <si>
    <t>Business Loan</t>
  </si>
  <si>
    <t>Electronics</t>
  </si>
  <si>
    <t>Membership</t>
  </si>
  <si>
    <t>Cash</t>
  </si>
  <si>
    <t>NPS</t>
  </si>
  <si>
    <t>Other Liability</t>
  </si>
  <si>
    <t>Business</t>
  </si>
  <si>
    <t>Asset Contribution</t>
  </si>
  <si>
    <t>UPI</t>
  </si>
  <si>
    <t>Gold Jewellery</t>
  </si>
  <si>
    <t>Other</t>
  </si>
  <si>
    <t>Other Commitment</t>
  </si>
  <si>
    <t>Debit Card</t>
  </si>
  <si>
    <t>Gold Coin</t>
  </si>
  <si>
    <t>Vehicle</t>
  </si>
  <si>
    <t>Wallet</t>
  </si>
  <si>
    <t>Net Banking</t>
  </si>
  <si>
    <t>Furniture</t>
  </si>
  <si>
    <t>Watch</t>
  </si>
  <si>
    <t>Other Physical Asset</t>
  </si>
  <si>
    <t>Residential Property</t>
  </si>
  <si>
    <t>Commercial Property</t>
  </si>
  <si>
    <t>Income</t>
  </si>
  <si>
    <t>Land</t>
  </si>
  <si>
    <t>Expense</t>
  </si>
  <si>
    <t>Plot</t>
  </si>
  <si>
    <t>Transfer</t>
  </si>
  <si>
    <t>Emergency Cash</t>
  </si>
  <si>
    <t>Adjustment</t>
  </si>
  <si>
    <t>Foreign Currency</t>
  </si>
  <si>
    <t>Cash Reserve</t>
  </si>
  <si>
    <t>Expense Category</t>
  </si>
  <si>
    <t>Account</t>
  </si>
  <si>
    <t>Goal</t>
  </si>
  <si>
    <t>Liability</t>
  </si>
  <si>
    <t>Asset</t>
  </si>
  <si>
    <t>Monthly</t>
  </si>
  <si>
    <t>Quarterly</t>
  </si>
  <si>
    <t>Half-Yearly</t>
  </si>
  <si>
    <t>Yearly</t>
  </si>
  <si>
    <t>High</t>
  </si>
  <si>
    <t>Medium</t>
  </si>
  <si>
    <t>Low</t>
  </si>
  <si>
    <t>Inactive</t>
  </si>
  <si>
    <t>Paused</t>
  </si>
  <si>
    <t>Liability Status</t>
  </si>
  <si>
    <t>Account Status</t>
  </si>
  <si>
    <t>Commitment Status</t>
  </si>
  <si>
    <t>Individual</t>
  </si>
  <si>
    <t>Joint</t>
  </si>
  <si>
    <t>Yes No</t>
  </si>
  <si>
    <t>Yes</t>
  </si>
  <si>
    <t>No</t>
  </si>
  <si>
    <t>Savings Bank</t>
  </si>
  <si>
    <t>Current Bank</t>
  </si>
  <si>
    <t>Investment Account</t>
  </si>
  <si>
    <t>Theme</t>
  </si>
  <si>
    <t>FinanceOS Default</t>
  </si>
  <si>
    <t>Month Number</t>
  </si>
  <si>
    <t>Month Name</t>
  </si>
  <si>
    <t>Short Name</t>
  </si>
  <si>
    <t>January</t>
  </si>
  <si>
    <t>Jan</t>
  </si>
  <si>
    <t>February</t>
  </si>
  <si>
    <t>Feb</t>
  </si>
  <si>
    <t>March</t>
  </si>
  <si>
    <t>Mar</t>
  </si>
  <si>
    <t>April</t>
  </si>
  <si>
    <t>Apr</t>
  </si>
  <si>
    <t>May</t>
  </si>
  <si>
    <t>June</t>
  </si>
  <si>
    <t>Jun</t>
  </si>
  <si>
    <t>July</t>
  </si>
  <si>
    <t>Jul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</si>
  <si>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</si>
  <si>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</si>
  <si>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</si>
  <si>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</si>
  <si>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</si>
  <si>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</si>
  <si>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</si>
  <si>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</si>
  <si>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December</t>
  </si>
  <si>
    <t>Dec</t>
  </si>
  <si>
    <t>Financial Year</t>
  </si>
  <si>
    <t>FY 2025-26</t>
  </si>
  <si>
    <t>FY 2026-27</t>
  </si>
  <si>
    <t>FY 2027-28</t>
  </si>
  <si>
    <t>FY 2028-29</t>
  </si>
  <si>
    <t>valPaymentMethods</t>
  </si>
  <si>
    <t>valFrequency</t>
  </si>
  <si>
    <t>valPriority</t>
  </si>
  <si>
    <t>valAccountTypes</t>
  </si>
  <si>
    <t>valCategoryTypes</t>
  </si>
  <si>
    <t>valThemes</t>
  </si>
  <si>
    <t>valCurrencies</t>
  </si>
  <si>
    <t>valDestinationTypes</t>
  </si>
  <si>
    <t>valTransactionTypes</t>
  </si>
  <si>
    <t>valGoalStatus</t>
  </si>
  <si>
    <t>valAccountStatus</t>
  </si>
  <si>
    <t>valCommitmentStatus</t>
  </si>
  <si>
    <t>Business Engine</t>
  </si>
  <si>
    <t>Analysis Engine</t>
  </si>
  <si>
    <t>Dashboard</t>
  </si>
  <si>
    <t>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</si>
</sst>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tblSettings" displayName="tblSettings" ref="A1:E2" totalsRowShown="0" headerRowCount="1">
  <autoFilter ref="A1:E2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Setting ID"/>
    <tableColumn id="2" name="Setting Name"/>
    <tableColumn id="3" name="Setting Value"/>
    <tableColumn id="4" name="Setting Category"/>
    <tableColumn id="5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ategories" displayName="tblCategories" ref="A1:G2" totalsRowShown="0" headerRowCount="1">
  <autoFilter ref="A1:G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</autoFilter>
  <tableColumns count="7">
    <tableColumn id="1" name="Category ID"/>
    <tableColumn id="2" name="Category Name"/>
    <tableColumn id="3" name="Category Type"/>
    <tableColumn id="4" name="Parent Category"/>
    <tableColumn id="5" name="Status"/>
    <tableColumn id="6" name="Display Order"/>
    <tableColumn id="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ccounts" displayName="tblAccounts" ref="A1:I2" totalsRowShown="0" headerRowCount="1">
  <autoFilter ref="A1:I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Account ID"/>
    <tableColumn id="2" name="Account Name"/>
    <tableColumn id="3" name="Account Type"/>
    <tableColumn id="4" name="Institution"/>
    <tableColumn id="5" name="Opening Balance"/>
    <tableColumn id="6" name="Current Balance"/>
    <tableColumn id="7" name="Currency"/>
    <tableColumn id="8" name="Status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IncomeSources" displayName="tblIncomeSources" ref="A1:F2" totalsRowShown="0" headerRowCount="1">
  <autoFilter ref="A1:F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Income Source ID"/>
    <tableColumn id="2" name="Income Source Name"/>
    <tableColumn id="3" name="Income Category"/>
    <tableColumn id="4" name="Default Receiving Account"/>
    <tableColumn id="5" name="Status"/>
    <tableColumn id="6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ssets" displayName="tblAssets" ref="A1:M2" totalsRowShown="0" headerRowCount="1">
  <autoFilter ref="A1:M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sset ID"/>
    <tableColumn id="2" name="Asset Name"/>
    <tableColumn id="3" name="Asset Category"/>
    <tableColumn id="4" name="Asset Type"/>
    <tableColumn id="5" name="Linked Account"/>
    <tableColumn id="6" name="Purchase Date"/>
    <tableColumn id="7" name="Purchase Value"/>
    <tableColumn id="8" name="Current Value"/>
    <tableColumn id="9" name="Appreciation Amount"/>
    <tableColumn id="10" name="Appreciation %"/>
    <tableColumn id="11" name="Ownership Type"/>
    <tableColumn id="12" name="Status"/>
    <tableColumn id="13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Liabilities" displayName="tblLiabilities" ref="A1:P2" totalsRowShown="0" headerRowCount="1">
  <autoFilter ref="A1:P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Liability ID"/>
    <tableColumn id="2" name="Liability Name"/>
    <tableColumn id="3" name="Liability Type"/>
    <tableColumn id="4" name="Institution"/>
    <tableColumn id="5" name="Original Amount"/>
    <tableColumn id="6" name="Outstanding Balance"/>
    <tableColumn id="7" name="Interest Rate"/>
    <tableColumn id="8" name="EMI Amount"/>
    <tableColumn id="9" name="EMI Frequency"/>
    <tableColumn id="10" name="EMI Due Day"/>
    <tableColumn id="11" name="Start Date"/>
    <tableColumn id="12" name="End Date"/>
    <tableColumn id="13" name="Linked Payment Account"/>
    <tableColumn id="14" name="Auto EMI"/>
    <tableColumn id="15" name="Status"/>
    <tableColumn id="1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RecurringCommitments" displayName="tblRecurringCommitments" ref="A1:N2" totalsRowShown="0" headerRowCount="1">
  <autoFilter ref="A1:N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</autoFilter>
  <tableColumns count="14">
    <tableColumn id="1" name="Commitment ID"/>
    <tableColumn id="2" name="Commitment Name"/>
    <tableColumn id="3" name="Commitment Type"/>
    <tableColumn id="4" name="Linked Liability ID"/>
    <tableColumn id="5" name="Linked Goal ID"/>
    <tableColumn id="6" name="Payment Account"/>
    <tableColumn id="7" name="Amount"/>
    <tableColumn id="8" name="Frequency"/>
    <tableColumn id="9" name="Due Day"/>
    <tableColumn id="10" name="Start Date"/>
    <tableColumn id="11" name="End Date"/>
    <tableColumn id="12" name="Auto Generate"/>
    <tableColumn id="13" name="Status"/>
    <tableColumn id="1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Transactions" displayName="tblTransactions" ref="A1:M2" totalsRowShown="0" headerRowCount="1">
  <autoFilter ref="A1:M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Transaction ID"/>
    <tableColumn id="2" name="Transaction Date"/>
    <tableColumn id="3" name="Transaction Type"/>
    <tableColumn id="4" name="Source Account"/>
    <tableColumn id="5" name="Destination Type"/>
    <tableColumn id="6" name="Destination Name"/>
    <tableColumn id="7" name="Category"/>
    <tableColumn id="8" name="Income Source"/>
    <tableColumn id="9" name="Amount"/>
    <tableColumn id="10" name="Payment Method"/>
    <tableColumn id="11" name="Transaction Status"/>
    <tableColumn id="12" name="Notes"/>
    <tableColumn id="13" name="Created Timestam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Goals" displayName="tblGoals" ref="A1:L2" totalsRowShown="0" headerRowCount="1">
  <autoFilter ref="A1:L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Goal ID"/>
    <tableColumn id="2" name="Goal Name"/>
    <tableColumn id="3" name="Goal Category"/>
    <tableColumn id="4" name="Goal Account"/>
    <tableColumn id="5" name="Target Amount"/>
    <tableColumn id="6" name="Current Saved Amount"/>
    <tableColumn id="7" name="Remaining Amount"/>
    <tableColumn id="8" name="Monthly Contribution Target"/>
    <tableColumn id="9" name="Target Date"/>
    <tableColumn id="10" name="Priority"/>
    <tableColumn id="11" name="Goal Status"/>
    <tableColumn id="12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lkpCurrency" displayName="lkpCurrency" ref="A1:C6" totalsRowShown="0" headerRowCount="1">
  <autoFilter ref="A1:C6"/>
  <tableColumns count="3">
    <tableColumn id="1" name="Currency Code"/>
    <tableColumn id="2" name="Currency Name"/>
    <tableColumn id="3" name="Symbo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lkpPaymentMethod" displayName="lkpPaymentMethod" ref="A9:A17" totalsRowShown="0" headerRowCount="1">
  <autoFilter ref="A9:A17"/>
  <tableColumns count="1">
    <tableColumn id="1" name="Payment Meth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lkpTransactionType" displayName="lkpTransactionType" ref="A20:A24" totalsRowShown="0" headerRowCount="1">
  <autoFilter ref="A20:A24"/>
  <tableColumns count="1">
    <tableColumn id="1" name="Transaction Typ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lkpDestinationType" displayName="lkpDestinationType" ref="A27:A34" totalsRowShown="0" headerRowCount="1">
  <autoFilter ref="A27:A34"/>
  <tableColumns count="1">
    <tableColumn id="1" name="Destination Typ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lkpFrequency" displayName="lkpFrequency" ref="A37:A41" totalsRowShown="0" headerRowCount="1">
  <autoFilter ref="A37:A41"/>
  <tableColumns count="1">
    <tableColumn id="1" name="Frequenc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lkpPriority" displayName="lkpPriority" ref="A44:A47" totalsRowShown="0" headerRowCount="1">
  <autoFilter ref="A44:A47"/>
  <tableColumns count="1">
    <tableColumn id="1" name="Priority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lkpStatus" displayName="lkpStatus" ref="A50:A55" totalsRowShown="0" headerRowCount="1">
  <autoFilter ref="A50:A55"/>
  <tableColumns count="1">
    <tableColumn id="1" name="Statu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lkpGoalStatus" displayName="lkpGoalStatus" ref="A58:A61" totalsRowShown="0" headerRowCount="1">
  <autoFilter ref="A58:A61"/>
  <tableColumns count="1">
    <tableColumn id="1" name="Goal Statu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lkpLiabilityStatus" displayName="lkpLiabilityStatus" ref="A65:A67" totalsRowShown="0" headerRowCount="1">
  <autoFilter ref="A65:A67"/>
  <tableColumns count="1">
    <tableColumn id="1" name="Liability Statu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lkpAccountStatus" displayName="lkpAccountStatus" ref="A70:A72" totalsRowShown="0" headerRowCount="1">
  <autoFilter ref="A70:A72"/>
  <tableColumns count="1">
    <tableColumn id="1" name="Account Statu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lkpCommitmentStatus" displayName="lkpCommitmentStatus" ref="A75:A78" totalsRowShown="0" headerRowCount="1">
  <autoFilter ref="A75:A78"/>
  <tableColumns count="1">
    <tableColumn id="1" name="Commitment Statu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lkpOwnershipType" displayName="lkpOwnershipType" ref="A81:A83" totalsRowShown="0" headerRowCount="1">
  <autoFilter ref="A81:A83"/>
  <tableColumns count="1">
    <tableColumn id="1" name="Ownership Typ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lkpYesNo" displayName="lkpYesNo" ref="A86:A88" totalsRowShown="0" headerRowCount="1">
  <autoFilter ref="A86:A88"/>
  <tableColumns count="1">
    <tableColumn id="1" name="Yes No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lkpAccountType" displayName="lkpAccountType" ref="A91:A99" totalsRowShown="0" headerRowCount="1">
  <autoFilter ref="A91:A99"/>
  <tableColumns count="1">
    <tableColumn id="1" name="Account Typ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lkpCategoryType" displayName="lkpCategoryType" ref="A102:A104" totalsRowShown="0" headerRowCount="1">
  <autoFilter ref="A102:A104"/>
  <tableColumns count="1">
    <tableColumn id="1" name="Category Typ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lkpTheme" displayName="lkpTheme" ref="A107:A108" totalsRowShown="0" headerRowCount="1">
  <autoFilter ref="A107:A108"/>
  <tableColumns count="1">
    <tableColumn id="1" name="Them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lkpMonth" displayName="lkpMonth" ref="A111:C123" totalsRowShown="0" headerRowCount="1">
  <autoFilter ref="A111:C123"/>
  <tableColumns count="3">
    <tableColumn id="1" name="Month Number"/>
    <tableColumn id="2" name="Month Name"/>
    <tableColumn id="3" name="Short Nam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lkpFinancialYear" displayName="lkpFinancialYear" ref="A126:A130" totalsRowShown="0" headerRowCount="1">
  <autoFilter ref="A126:A130"/>
  <tableColumns count="1">
    <tableColumn id="1" name="Financial Year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lkpDay" displayName="lkpDay" ref="Y1:Y32" totalsRowShown="0" headerRowCount="1">
  <autoFilter ref="Y1:Y32"/>
  <tableColumns count="1">
    <tableColumn id="1" name="Day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lkpAssetCategory" displayName="lkpAssetCategory" ref="Z1:Z7" totalsRowShown="0" headerRowCount="1">
  <autoFilter ref="Z1:Z7"/>
  <tableColumns count="1">
    <tableColumn id="1" name="Asset Category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lkpAssetType" displayName="lkpAssetType" ref="AA1:AA25" totalsRowShown="0" headerRowCount="1">
  <autoFilter ref="AA1:AA25"/>
  <tableColumns count="1">
    <tableColumn id="1" name="Asset Typ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lkpAssetStatus" displayName="lkpAssetStatus" ref="AB1:AB4" totalsRowShown="0" headerRowCount="1">
  <autoFilter ref="AB1:AB4"/>
  <tableColumns count="1">
    <tableColumn id="1" name="Asset Statu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lkpLiabilityType" displayName="lkpLiabilityType" ref="AC1:AC11" totalsRowShown="0" headerRowCount="1">
  <autoFilter ref="AC1:AC11"/>
  <tableColumns count="1">
    <tableColumn id="1" name="Liability Typ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lkpGoalCategory" displayName="lkpGoalCategory" ref="AD1:AD12" totalsRowShown="0" headerRowCount="1">
  <autoFilter ref="AD1:AD12"/>
  <tableColumns count="1">
    <tableColumn id="1" name="Goal Category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lkpCommitmentType" displayName="lkpCommitmentType" ref="AE1:AE12" totalsRowShown="0" headerRowCount="1">
  <autoFilter ref="AE1:AE12"/>
  <tableColumns count="1">
    <tableColumn id="1" name="Commitment Typ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lkpTransactionStatus" displayName="lkpTransactionStatus" ref="AF1:AF4" totalsRowShown="0" headerRowCount="1">
  <autoFilter ref="AF1:AF4"/>
  <tableColumns count="1">
    <tableColumn id="1" name="Transaction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Relationship Id="rId2" Type="http://schemas.openxmlformats.org/officeDocument/2006/relationships/table" Target="../tables/table11.xml"/><Relationship Id="rId3" Type="http://schemas.openxmlformats.org/officeDocument/2006/relationships/table" Target="../tables/table12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Relationship Id="rId6" Type="http://schemas.openxmlformats.org/officeDocument/2006/relationships/table" Target="../tables/table15.xml"/><Relationship Id="rId7" Type="http://schemas.openxmlformats.org/officeDocument/2006/relationships/table" Target="../tables/table16.xml"/><Relationship Id="rId8" Type="http://schemas.openxmlformats.org/officeDocument/2006/relationships/table" Target="../tables/table17.xml"/><Relationship Id="rId9" Type="http://schemas.openxmlformats.org/officeDocument/2006/relationships/table" Target="../tables/table18.xml"/><Relationship Id="rId10" Type="http://schemas.openxmlformats.org/officeDocument/2006/relationships/table" Target="../tables/table19.xml"/><Relationship Id="rId11" Type="http://schemas.openxmlformats.org/officeDocument/2006/relationships/table" Target="../tables/table20.xml"/><Relationship Id="rId12" Type="http://schemas.openxmlformats.org/officeDocument/2006/relationships/table" Target="../tables/table21.xml"/><Relationship Id="rId13" Type="http://schemas.openxmlformats.org/officeDocument/2006/relationships/table" Target="../tables/table22.xml"/><Relationship Id="rId14" Type="http://schemas.openxmlformats.org/officeDocument/2006/relationships/table" Target="../tables/table23.xml"/><Relationship Id="rId15" Type="http://schemas.openxmlformats.org/officeDocument/2006/relationships/table" Target="../tables/table24.xml"/><Relationship Id="rId16" Type="http://schemas.openxmlformats.org/officeDocument/2006/relationships/table" Target="../tables/table25.xml"/><Relationship Id="rId17" Type="http://schemas.openxmlformats.org/officeDocument/2006/relationships/table" Target="../tables/table26.xml"/><Relationship Id="rId18" Type="http://schemas.openxmlformats.org/officeDocument/2006/relationships/table" Target="../tables/table27.xml"/><Relationship Id="rId19" Type="http://schemas.openxmlformats.org/officeDocument/2006/relationships/table" Target="../tables/table28.xml"/><Relationship Id="rId20" Type="http://schemas.openxmlformats.org/officeDocument/2006/relationships/table" Target="../tables/table29.xml"/><Relationship Id="rId21" Type="http://schemas.openxmlformats.org/officeDocument/2006/relationships/table" Target="../tables/table30.xml"/><Relationship Id="rId22" Type="http://schemas.openxmlformats.org/officeDocument/2006/relationships/table" Target="../tables/table31.xml"/><Relationship Id="rId23" Type="http://schemas.openxmlformats.org/officeDocument/2006/relationships/table" Target="../tables/table32.xml"/><Relationship Id="rId24" Type="http://schemas.openxmlformats.org/officeDocument/2006/relationships/table" Target="../tables/table33.xml"/><Relationship Id="rId25" Type="http://schemas.openxmlformats.org/officeDocument/2006/relationships/table" Target="../tables/table34.xml"/><Relationship Id="rId26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/>
  </sheetData>
  <sheetProtection sheet="1" insertRows="0" deleteRows="0" sort="0" autoFilter="0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25"/>
  </sheetData>
  <sheetProtection sheet="1" insertRows="0" deleteRows="0" sort="0" autoFilter="0"/>
  <dataValidations count="2">
    <dataValidation type="list" allowBlank="1" showInputMessage="1" promptTitle="Select a value" prompt="Choose from the list." showErrorMessage="1" errorStyle="error" errorTitle="Invalid value" error="Select a value from the list." sqref="C2">
      <formula1>=valCategoryTypes</formula1>
    </dataValidation>
    <dataValidation type="list" allowBlank="1" showInputMessage="1" promptTitle="Select a value" prompt="Choose from the list." showErrorMessage="1" errorStyle="error" errorTitle="Invalid value" error="Select a value from the list." sqref="E2">
      <formula1>=valCategoryStatus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zoomScale="100" zoomScaleNormal="10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9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9</v>
      </c>
      <c r="I1" t="s">
        <v>11</v>
      </c>
    </row>
    <row r="2" spans="1:9" x14ac:dyDescent="0.25"/>
  </sheetData>
  <sheetProtection sheet="1" insertRows="0" deleteRows="0" sort="0" autoFilter="0"/>
  <dataValidations count="4">
    <dataValidation type="list" allowBlank="1" showInputMessage="1" promptTitle="Select a value" prompt="Choose from the list." showErrorMessage="1" errorStyle="error" errorTitle="Invalid value" error="Select a value from the list." sqref="C2">
      <formula1>=valAccountTypes</formula1>
    </dataValidation>
    <dataValidation type="decimal" operator="greaterThan" allowBlank="1" showInputMessage="1" promptTitle="Enter an amount" prompt="Enter a number greater than zero." showErrorMessage="1" errorStyle="error" errorTitle="Invalid amount" error="Enter a number greater than zero." sqref="E2">
      <formula1>0</formula1>
    </dataValidation>
    <dataValidation type="list" allowBlank="1" showInputMessage="1" promptTitle="Select a value" prompt="Choose from the list." showErrorMessage="1" errorStyle="error" errorTitle="Invalid value" error="Select a value from the list." sqref="G2">
      <formula1>=rngCurrency</formula1>
    </dataValidation>
    <dataValidation type="list" allowBlank="1" showInputMessage="1" promptTitle="Select a value" prompt="Choose from the list." showErrorMessage="1" errorStyle="error" errorTitle="Invalid value" error="Select a value from the list." sqref="H2">
      <formula1>=valAccountStatus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6" x14ac:dyDescent="0.25">
      <c r="A1" t="s">
        <v>19</v>
      </c>
      <c r="B1" t="s">
        <v>20</v>
      </c>
      <c r="C1" t="s">
        <v>21</v>
      </c>
      <c r="D1" t="s">
        <v>22</v>
      </c>
      <c r="E1" t="s">
        <v>9</v>
      </c>
      <c r="F1" t="s">
        <v>11</v>
      </c>
    </row>
    <row r="2" spans="1:6" x14ac:dyDescent="0.25"/>
  </sheetData>
  <sheetProtection sheet="1" insertRows="0" deleteRows="0" sort="0" autoFilter="0"/>
  <dataValidations count="3">
    <dataValidation type="list" allowBlank="1" showInputMessage="1" promptTitle="Select a value" prompt="Choose from the list." showErrorMessage="1" errorStyle="error" errorTitle="Invalid value" error="Select a value from the list." sqref="C2">
      <formula1>=rngIncomeCategories</formula1>
    </dataValidation>
    <dataValidation type="list" allowBlank="1" showInputMessage="1" promptTitle="Select a value" prompt="Choose from the list." showErrorMessage="1" errorStyle="error" errorTitle="Invalid value" error="Select a value from the list." sqref="D2">
      <formula1>=rngActiveAccounts</formula1>
    </dataValidation>
    <dataValidation type="list" allowBlank="1" showInputMessage="1" promptTitle="Select a value" prompt="Choose from the list." showErrorMessage="1" errorStyle="error" errorTitle="Invalid value" error="Select a value from the list." sqref="E2">
      <formula1>=valCategoryStatus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13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9</v>
      </c>
      <c r="M1" t="s">
        <v>11</v>
      </c>
    </row>
    <row r="2" spans="1:13" x14ac:dyDescent="0.25"/>
  </sheetData>
  <sheetProtection sheet="1" insertRows="0" deleteRows="0" sort="0" autoFilter="0"/>
  <dataValidations count="8">
    <dataValidation type="list" allowBlank="1" showInputMessage="1" promptTitle="Select a value" prompt="Choose from the list." showErrorMessage="1" errorStyle="error" errorTitle="Invalid value" error="Select a value from the list." sqref="C2">
      <formula1>=valAssetCategories</formula1>
    </dataValidation>
    <dataValidation type="list" allowBlank="1" showInputMessage="1" promptTitle="Select a value" prompt="Choose from the list." showErrorMessage="1" errorStyle="error" errorTitle="Invalid value" error="Select a value from the list." sqref="D2">
      <formula1>=valAssetTypes</formula1>
    </dataValidation>
    <dataValidation type="list" allowBlank="1" showInputMessage="1" promptTitle="Select a value" prompt="Choose from the list." showErrorMessage="1" errorStyle="error" errorTitle="Invalid value" error="Select a value from the list." sqref="E2">
      <formula1>=rngActiveAccounts</formula1>
    </dataValidation>
    <dataValidation type="date" operator="between" allowBlank="1" showInputMessage="1" promptTitle="Enter a date" prompt="Enter a valid date." showErrorMessage="1" errorStyle="error" errorTitle="Invalid date" error="Enter a valid date." sqref="F2">
      <formula1>1</formula1>
      <formula2>2958465</formula2>
    </dataValidation>
    <dataValidation type="decimal" operator="greaterThan" allowBlank="1" showInputMessage="1" promptTitle="Enter an amount" prompt="Enter a number greater than zero." showErrorMessage="1" errorStyle="error" errorTitle="Invalid amount" error="Enter a number greater than zero." sqref="G2">
      <formula1>0</formula1>
    </dataValidation>
    <dataValidation type="decimal" operator="greaterThan" allowBlank="1" showInputMessage="1" promptTitle="Enter an amount" prompt="Enter a number greater than zero." showErrorMessage="1" errorStyle="error" errorTitle="Invalid amount" error="Enter a number greater than zero." sqref="H2">
      <formula1>0</formula1>
    </dataValidation>
    <dataValidation type="list" allowBlank="1" showInputMessage="1" promptTitle="Select a value" prompt="Choose from the list." showErrorMessage="1" errorStyle="error" errorTitle="Invalid value" error="Select a value from the list." sqref="K2">
      <formula1>=valOwnershipType</formula1>
    </dataValidation>
    <dataValidation type="list" allowBlank="1" showInputMessage="1" promptTitle="Select a value" prompt="Choose from the list." showErrorMessage="1" errorStyle="error" errorTitle="Invalid value" error="Select a value from the list." sqref="L2">
      <formula1>=valAssetStatus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 zoomScale="100" zoomScaleNormal="10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16" x14ac:dyDescent="0.25">
      <c r="A1" t="s">
        <v>34</v>
      </c>
      <c r="B1" t="s">
        <v>35</v>
      </c>
      <c r="C1" t="s">
        <v>36</v>
      </c>
      <c r="D1" t="s">
        <v>15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9</v>
      </c>
      <c r="P1" t="s">
        <v>11</v>
      </c>
    </row>
    <row r="2" spans="1:16" x14ac:dyDescent="0.25"/>
  </sheetData>
  <sheetProtection sheet="1" insertRows="0" deleteRows="0" sort="0" autoFilter="0"/>
  <dataValidations count="11">
    <dataValidation type="list" allowBlank="1" showInputMessage="1" promptTitle="Select a value" prompt="Choose from the list." showErrorMessage="1" errorStyle="error" errorTitle="Invalid value" error="Select a value from the list." sqref="C2">
      <formula1>=valLiabilityTypes</formula1>
    </dataValidation>
    <dataValidation type="decimal" operator="greaterThan" allowBlank="1" showInputMessage="1" promptTitle="Enter an amount" prompt="Enter a number greater than zero." showErrorMessage="1" errorStyle="error" errorTitle="Invalid amount" error="Enter a number greater than zero." sqref="E2">
      <formula1>0</formula1>
    </dataValidation>
    <dataValidation type="decimal" operator="greaterThan" allowBlank="1" showInputMessage="1" promptTitle="Enter an amount" prompt="Enter a number greater than zero." showErrorMessage="1" errorStyle="error" errorTitle="Invalid amount" error="Enter a number greater than zero." sqref="F2">
      <formula1>0</formula1>
    </dataValidation>
    <dataValidation type="decimal" operator="greaterThan" allowBlank="1" showInputMessage="1" promptTitle="Enter an amount" prompt="Enter a number greater than zero." showErrorMessage="1" errorStyle="error" errorTitle="Invalid amount" error="Enter a number greater than zero." sqref="H2">
      <formula1>0</formula1>
    </dataValidation>
    <dataValidation type="list" allowBlank="1" showInputMessage="1" promptTitle="Select a value" prompt="Choose from the list." showErrorMessage="1" errorStyle="error" errorTitle="Invalid value" error="Select a value from the list." sqref="I2">
      <formula1>=valFrequency</formula1>
    </dataValidation>
    <dataValidation type="whole" operator="between" allowBlank="1" showInputMessage="1" promptTitle="Enter a day" prompt="Enter a day from 1 to 31." showErrorMessage="1" errorStyle="error" errorTitle="Invalid day" error="Enter a day from 1 to 31." sqref="J2">
      <formula1>1</formula1>
      <formula2>31</formula2>
    </dataValidation>
    <dataValidation type="date" operator="between" allowBlank="1" showInputMessage="1" promptTitle="Enter a date" prompt="Enter a valid date." showErrorMessage="1" errorStyle="error" errorTitle="Invalid date" error="Enter a valid date." sqref="K2">
      <formula1>1</formula1>
      <formula2>2958465</formula2>
    </dataValidation>
    <dataValidation type="date" operator="between" allowBlank="1" showInputMessage="1" promptTitle="Enter a date" prompt="Enter a valid date." showErrorMessage="1" errorStyle="error" errorTitle="Invalid date" error="Enter a valid date." sqref="L2">
      <formula1>1</formula1>
      <formula2>2958465</formula2>
    </dataValidation>
    <dataValidation type="list" allowBlank="1" showInputMessage="1" promptTitle="Select a value" prompt="Choose from the list." showErrorMessage="1" errorStyle="error" errorTitle="Invalid value" error="Select a value from the list." sqref="M2">
      <formula1>=rngActiveAccounts</formula1>
    </dataValidation>
    <dataValidation type="list" allowBlank="1" showInputMessage="1" promptTitle="Select a value" prompt="Choose from the list." showErrorMessage="1" errorStyle="error" errorTitle="Invalid value" error="Select a value from the list." sqref="N2">
      <formula1>=valYesNo</formula1>
    </dataValidation>
    <dataValidation type="list" allowBlank="1" showInputMessage="1" promptTitle="Select a value" prompt="Choose from the list." showErrorMessage="1" errorStyle="error" errorTitle="Invalid value" error="Select a value from the list." sqref="O2">
      <formula1>=valLiabilityStatus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 zoomScale="100" zoomScaleNormal="10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14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43</v>
      </c>
      <c r="K1" t="s">
        <v>44</v>
      </c>
      <c r="L1" t="s">
        <v>56</v>
      </c>
      <c r="M1" t="s">
        <v>9</v>
      </c>
      <c r="N1" t="s">
        <v>11</v>
      </c>
    </row>
    <row r="2" spans="1:14" x14ac:dyDescent="0.25"/>
  </sheetData>
  <sheetProtection sheet="1" insertRows="0" deleteRows="0" sort="0" autoFilter="0"/>
  <dataValidations count="11">
    <dataValidation type="list" allowBlank="1" showInputMessage="1" promptTitle="Select a value" prompt="Choose from the list." showErrorMessage="1" errorStyle="error" errorTitle="Invalid value" error="Select a value from the list." sqref="C2">
      <formula1>=valCommitmentTypes</formula1>
    </dataValidation>
    <dataValidation type="list" allowBlank="1" showInputMessage="1" promptTitle="Select a value" prompt="Choose from the list." showErrorMessage="1" errorStyle="error" errorTitle="Invalid value" error="Select a value from the list." sqref="D2">
      <formula1>=rngActiveLiabilities</formula1>
    </dataValidation>
    <dataValidation type="list" allowBlank="1" showInputMessage="1" promptTitle="Select a value" prompt="Choose from the list." showErrorMessage="1" errorStyle="error" errorTitle="Invalid value" error="Select a value from the list." sqref="E2">
      <formula1>=rngActiveGoals</formula1>
    </dataValidation>
    <dataValidation type="list" allowBlank="1" showInputMessage="1" promptTitle="Select a value" prompt="Choose from the list." showErrorMessage="1" errorStyle="error" errorTitle="Invalid value" error="Select a value from the list." sqref="F2">
      <formula1>=rngActiveAccounts</formula1>
    </dataValidation>
    <dataValidation type="decimal" operator="greaterThan" allowBlank="1" showInputMessage="1" promptTitle="Enter an amount" prompt="Enter a number greater than zero." showErrorMessage="1" errorStyle="error" errorTitle="Invalid amount" error="Enter a number greater than zero." sqref="G2">
      <formula1>0</formula1>
    </dataValidation>
    <dataValidation type="list" allowBlank="1" showInputMessage="1" promptTitle="Select a value" prompt="Choose from the list." showErrorMessage="1" errorStyle="error" errorTitle="Invalid value" error="Select a value from the list." sqref="H2">
      <formula1>=valFrequency</formula1>
    </dataValidation>
    <dataValidation type="whole" operator="between" allowBlank="1" showInputMessage="1" promptTitle="Enter a day" prompt="Enter a day from 1 to 31." showErrorMessage="1" errorStyle="error" errorTitle="Invalid day" error="Enter a day from 1 to 31." sqref="I2">
      <formula1>1</formula1>
      <formula2>31</formula2>
    </dataValidation>
    <dataValidation type="date" operator="between" allowBlank="1" showInputMessage="1" promptTitle="Enter a date" prompt="Enter a valid date." showErrorMessage="1" errorStyle="error" errorTitle="Invalid date" error="Enter a valid date." sqref="J2">
      <formula1>1</formula1>
      <formula2>2958465</formula2>
    </dataValidation>
    <dataValidation type="date" operator="between" allowBlank="1" showInputMessage="1" promptTitle="Enter a date" prompt="Enter a valid date." showErrorMessage="1" errorStyle="error" errorTitle="Invalid date" error="Enter a valid date." sqref="K2">
      <formula1>1</formula1>
      <formula2>2958465</formula2>
    </dataValidation>
    <dataValidation type="list" allowBlank="1" showInputMessage="1" promptTitle="Select a value" prompt="Choose from the list." showErrorMessage="1" errorStyle="error" errorTitle="Invalid value" error="Select a value from the list." sqref="L2">
      <formula1>=valYesNo</formula1>
    </dataValidation>
    <dataValidation type="list" allowBlank="1" showInputMessage="1" promptTitle="Select a value" prompt="Choose from the list." showErrorMessage="1" errorStyle="error" errorTitle="Invalid value" error="Select a value from the list." sqref="M2">
      <formula1>=valCommitmentStatus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13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53</v>
      </c>
      <c r="J1" t="s">
        <v>65</v>
      </c>
      <c r="K1" t="s">
        <v>66</v>
      </c>
      <c r="L1" t="s">
        <v>11</v>
      </c>
      <c r="M1" t="s">
        <v>67</v>
      </c>
    </row>
    <row r="2" spans="1:13" x14ac:dyDescent="0.25"/>
  </sheetData>
  <sheetProtection sheet="1" insertRows="0" deleteRows="0" sort="0" autoFilter="0"/>
  <dataValidations count="7">
    <dataValidation type="date" operator="between" allowBlank="1" showInputMessage="1" promptTitle="Enter a date" prompt="Enter a valid date." showErrorMessage="1" errorStyle="error" errorTitle="Invalid date" error="Enter a valid date." sqref="B2">
      <formula1>1</formula1>
      <formula2>2958465</formula2>
    </dataValidation>
    <dataValidation type="list" allowBlank="1" showInputMessage="1" promptTitle="Select a value" prompt="Choose from the list." showErrorMessage="1" errorStyle="error" errorTitle="Invalid value" error="Select a value from the list." sqref="C2">
      <formula1>=valTransactionTypes</formula1>
    </dataValidation>
    <dataValidation type="list" allowBlank="1" showInputMessage="1" promptTitle="Select a value" prompt="Choose from the list." showErrorMessage="1" errorStyle="error" errorTitle="Invalid value" error="Select a value from the list." sqref="D2">
      <formula1>=rngActiveAccounts</formula1>
    </dataValidation>
    <dataValidation type="list" allowBlank="1" showInputMessage="1" promptTitle="Select a value" prompt="Choose from the list." showErrorMessage="1" errorStyle="error" errorTitle="Invalid value" error="Select a value from the list." sqref="E2">
      <formula1>=valDestinationTypes</formula1>
    </dataValidation>
    <dataValidation type="decimal" operator="greaterThan" allowBlank="1" showInputMessage="1" promptTitle="Enter an amount" prompt="Enter a number greater than zero." showErrorMessage="1" errorStyle="error" errorTitle="Invalid amount" error="Enter a number greater than zero." sqref="I2">
      <formula1>0</formula1>
    </dataValidation>
    <dataValidation type="list" allowBlank="1" showInputMessage="1" promptTitle="Select a value" prompt="Choose from the list." showErrorMessage="1" errorStyle="error" errorTitle="Invalid value" error="Select a value from the list." sqref="J2">
      <formula1>=rngPaymentMethods</formula1>
    </dataValidation>
    <dataValidation type="list" allowBlank="1" showInputMessage="1" promptTitle="Select a value" prompt="Choose from the list." showErrorMessage="1" errorStyle="error" errorTitle="Invalid value" error="Select a value from the list." sqref="K2">
      <formula1>=valTransactionStatus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zoomScale="100" zoomScaleNormal="10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12" x14ac:dyDescent="0.25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11</v>
      </c>
    </row>
    <row r="2" spans="1:12" x14ac:dyDescent="0.25"/>
  </sheetData>
  <sheetProtection sheet="1" insertRows="0" deleteRows="0" sort="0" autoFilter="0"/>
  <dataValidations count="7">
    <dataValidation type="list" allowBlank="1" showInputMessage="1" promptTitle="Select a value" prompt="Choose from the list." showErrorMessage="1" errorStyle="error" errorTitle="Invalid value" error="Select a value from the list." sqref="C2">
      <formula1>=valGoalCategories</formula1>
    </dataValidation>
    <dataValidation type="list" allowBlank="1" showInputMessage="1" promptTitle="Select a value" prompt="Choose from the list." showErrorMessage="1" errorStyle="error" errorTitle="Invalid value" error="Select a value from the list." sqref="D2">
      <formula1>=rngActiveAccounts</formula1>
    </dataValidation>
    <dataValidation type="decimal" operator="greaterThan" allowBlank="1" showInputMessage="1" promptTitle="Enter an amount" prompt="Enter a number greater than zero." showErrorMessage="1" errorStyle="error" errorTitle="Invalid amount" error="Enter a number greater than zero." sqref="E2">
      <formula1>0</formula1>
    </dataValidation>
    <dataValidation type="decimal" operator="greaterThan" allowBlank="1" showInputMessage="1" promptTitle="Enter an amount" prompt="Enter a number greater than zero." showErrorMessage="1" errorStyle="error" errorTitle="Invalid amount" error="Enter a number greater than zero." sqref="H2">
      <formula1>0</formula1>
    </dataValidation>
    <dataValidation type="date" operator="between" allowBlank="1" showInputMessage="1" promptTitle="Enter a date" prompt="Enter a valid date." showErrorMessage="1" errorStyle="error" errorTitle="Invalid date" error="Enter a valid date." sqref="I2">
      <formula1>1</formula1>
      <formula2>2958465</formula2>
    </dataValidation>
    <dataValidation type="list" allowBlank="1" showInputMessage="1" promptTitle="Select a value" prompt="Choose from the list." showErrorMessage="1" errorStyle="error" errorTitle="Invalid value" error="Select a value from the list." sqref="J2">
      <formula1>=rngPriority</formula1>
    </dataValidation>
    <dataValidation type="list" allowBlank="1" showInputMessage="1" promptTitle="Select a value" prompt="Choose from the list." showErrorMessage="1" errorStyle="error" errorTitle="Invalid value" error="Select a value from the list." sqref="K2">
      <formula1>=valGoalStatus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9"/>
  <sheetViews>
    <sheetView workbookViewId="0" zoomScale="100" zoomScaleNormal="10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32" x14ac:dyDescent="0.25">
      <c r="A1" t="s">
        <v>79</v>
      </c>
      <c r="B1" t="s">
        <v>80</v>
      </c>
      <c r="C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Y1" t="s">
        <v>90</v>
      </c>
      <c r="Z1" t="s">
        <v>25</v>
      </c>
      <c r="AA1" t="s">
        <v>26</v>
      </c>
      <c r="AB1" t="s">
        <v>91</v>
      </c>
      <c r="AC1" t="s">
        <v>36</v>
      </c>
      <c r="AD1" t="s">
        <v>70</v>
      </c>
      <c r="AE1" t="s">
        <v>49</v>
      </c>
      <c r="AF1" t="s">
        <v>66</v>
      </c>
    </row>
    <row r="2" spans="1:32" x14ac:dyDescent="0.25">
      <c r="A2" t="s">
        <v>92</v>
      </c>
      <c r="E2">
        <f>IF(ROWS(tblCategories)=0,"",SORT(UNIQUE(FILTER(tblCategories[Category Name],(tblCategories[Category Type]="Expense")*(tblCategories[Status]="Active")*(tblCategories[Category Name]&lt;&gt;"")))))</f>
      </c>
      <c r="F2">
        <f>IF(ROWS(tblCategories)=0,"",SORT(UNIQUE(FILTER(tblCategories[Category Name],(tblCategories[Category Type]="Income")*(tblCategories[Status]="Active")*(tblCategories[Category Name]&lt;&gt;"")))))</f>
      </c>
      <c r="G2">
        <f>IF(ROWS(tblAccounts)=0,"",SORT(UNIQUE(FILTER(tblAccounts[Account Name],(tblAccounts[Status]="Active")*(tblAccounts[Account Name]&lt;&gt;"")))))</f>
      </c>
      <c r="H2">
        <f>IF(ROWS(tblGoals)=0,"",SORT(UNIQUE(FILTER(tblGoals[Goal Name],(tblGoals[Goal Status]="Active")*(tblGoals[Goal Name]&lt;&gt;"")))))</f>
      </c>
      <c r="I2">
        <f>IF(ROWS(tblAssets)=0,"",SORT(UNIQUE(FILTER(tblAssets[Asset Name],(tblAssets[Status]="Active")*(tblAssets[Asset Name]&lt;&gt;"")))))</f>
      </c>
      <c r="J2">
        <f>IF(ROWS(tblLiabilities)=0,"",SORT(UNIQUE(FILTER(tblLiabilities[Liability Name],(tblLiabilities[Status]="Active")*(tblLiabilities[Liability Name]&lt;&gt;"")))))</f>
      </c>
      <c r="K2">
        <f>IF(ROWS(tblIncomeSources)=0,"",SORT(UNIQUE(FILTER(tblIncomeSources[Income Source Name],(tblIncomeSources[Status]="Active")*(tblIncomeSources[Income Source Name]&lt;&gt;"")))))</f>
      </c>
      <c r="L2">
        <f>FILTER(lkpStatus[Status],(lkpStatus[Status]="Active")+(lkpStatus[Status]="Inactive"))</f>
      </c>
      <c r="Y2">
        <v>1</v>
      </c>
      <c r="Z2" t="s">
        <v>93</v>
      </c>
      <c r="AA2" t="s">
        <v>94</v>
      </c>
      <c r="AB2" t="s">
        <v>95</v>
      </c>
      <c r="AC2" t="s">
        <v>96</v>
      </c>
      <c r="AD2" t="s">
        <v>97</v>
      </c>
      <c r="AE2" t="s">
        <v>98</v>
      </c>
      <c r="AF2" t="s">
        <v>99</v>
      </c>
    </row>
    <row r="3" spans="1:32" x14ac:dyDescent="0.25">
      <c r="A3" t="s">
        <v>100</v>
      </c>
      <c r="Y3">
        <v>2</v>
      </c>
      <c r="Z3" t="s">
        <v>101</v>
      </c>
      <c r="AA3" t="s">
        <v>102</v>
      </c>
      <c r="AB3" t="s">
        <v>103</v>
      </c>
      <c r="AC3" t="s">
        <v>104</v>
      </c>
      <c r="AD3" t="s">
        <v>105</v>
      </c>
      <c r="AE3" t="s">
        <v>106</v>
      </c>
      <c r="AF3" t="s">
        <v>107</v>
      </c>
    </row>
    <row r="4" spans="1:32" x14ac:dyDescent="0.25">
      <c r="A4" t="s">
        <v>108</v>
      </c>
      <c r="Y4">
        <v>3</v>
      </c>
      <c r="Z4" t="s">
        <v>109</v>
      </c>
      <c r="AA4" t="s">
        <v>110</v>
      </c>
      <c r="AB4" t="s">
        <v>111</v>
      </c>
      <c r="AC4" t="s">
        <v>112</v>
      </c>
      <c r="AD4" t="s">
        <v>113</v>
      </c>
      <c r="AE4" t="s">
        <v>114</v>
      </c>
      <c r="AF4" t="s">
        <v>115</v>
      </c>
    </row>
    <row r="5" spans="1:31" x14ac:dyDescent="0.25">
      <c r="A5" t="s">
        <v>116</v>
      </c>
      <c r="Y5">
        <v>4</v>
      </c>
      <c r="Z5" t="s">
        <v>117</v>
      </c>
      <c r="AA5" t="s">
        <v>118</v>
      </c>
      <c r="AC5" t="s">
        <v>119</v>
      </c>
      <c r="AD5" t="s">
        <v>120</v>
      </c>
      <c r="AE5" t="s">
        <v>121</v>
      </c>
    </row>
    <row r="6" spans="1:31" x14ac:dyDescent="0.25">
      <c r="A6" t="s">
        <v>122</v>
      </c>
      <c r="Y6">
        <v>5</v>
      </c>
      <c r="Z6" t="s">
        <v>123</v>
      </c>
      <c r="AA6" t="s">
        <v>124</v>
      </c>
      <c r="AC6" t="s">
        <v>125</v>
      </c>
      <c r="AD6" t="s">
        <v>126</v>
      </c>
      <c r="AE6" t="s">
        <v>127</v>
      </c>
    </row>
    <row r="7" spans="25:31" x14ac:dyDescent="0.25">
      <c r="Y7">
        <v>6</v>
      </c>
      <c r="Z7" t="s">
        <v>128</v>
      </c>
      <c r="AA7" t="s">
        <v>129</v>
      </c>
      <c r="AC7" t="s">
        <v>130</v>
      </c>
      <c r="AD7" t="s">
        <v>131</v>
      </c>
      <c r="AE7" t="s">
        <v>129</v>
      </c>
    </row>
    <row r="8" spans="25:31" x14ac:dyDescent="0.25">
      <c r="Y8">
        <v>7</v>
      </c>
      <c r="AA8" t="s">
        <v>132</v>
      </c>
      <c r="AC8" t="s">
        <v>133</v>
      </c>
      <c r="AD8" t="s">
        <v>134</v>
      </c>
      <c r="AE8" t="s">
        <v>135</v>
      </c>
    </row>
    <row r="9" spans="1:31" x14ac:dyDescent="0.25">
      <c r="A9" t="s">
        <v>65</v>
      </c>
      <c r="Y9">
        <v>8</v>
      </c>
      <c r="AA9" t="s">
        <v>136</v>
      </c>
      <c r="AC9" t="s">
        <v>137</v>
      </c>
      <c r="AD9" t="s">
        <v>138</v>
      </c>
      <c r="AE9" t="s">
        <v>139</v>
      </c>
    </row>
    <row r="10" spans="1:31" x14ac:dyDescent="0.25">
      <c r="A10" t="s">
        <v>140</v>
      </c>
      <c r="Y10">
        <v>9</v>
      </c>
      <c r="AA10" t="s">
        <v>141</v>
      </c>
      <c r="AC10" t="s">
        <v>142</v>
      </c>
      <c r="AD10" t="s">
        <v>143</v>
      </c>
      <c r="AE10" t="s">
        <v>144</v>
      </c>
    </row>
    <row r="11" spans="1:31" x14ac:dyDescent="0.25">
      <c r="A11" t="s">
        <v>145</v>
      </c>
      <c r="Y11">
        <v>10</v>
      </c>
      <c r="AA11" t="s">
        <v>146</v>
      </c>
      <c r="AC11" t="s">
        <v>147</v>
      </c>
      <c r="AD11" t="s">
        <v>148</v>
      </c>
      <c r="AE11" t="s">
        <v>149</v>
      </c>
    </row>
    <row r="12" spans="1:31" x14ac:dyDescent="0.25">
      <c r="A12" t="s">
        <v>150</v>
      </c>
      <c r="Y12">
        <v>11</v>
      </c>
      <c r="AA12" t="s">
        <v>151</v>
      </c>
      <c r="AD12" t="s">
        <v>152</v>
      </c>
      <c r="AE12" t="s">
        <v>153</v>
      </c>
    </row>
    <row r="13" spans="1:27" x14ac:dyDescent="0.25">
      <c r="A13" t="s">
        <v>154</v>
      </c>
      <c r="Y13">
        <v>12</v>
      </c>
      <c r="AA13" t="s">
        <v>155</v>
      </c>
    </row>
    <row r="14" spans="1:27" x14ac:dyDescent="0.25">
      <c r="A14" t="s">
        <v>130</v>
      </c>
      <c r="Y14">
        <v>13</v>
      </c>
      <c r="AA14" t="s">
        <v>156</v>
      </c>
    </row>
    <row r="15" spans="1:27" x14ac:dyDescent="0.25">
      <c r="A15" t="s">
        <v>157</v>
      </c>
      <c r="Y15">
        <v>14</v>
      </c>
      <c r="AA15" t="s">
        <v>143</v>
      </c>
    </row>
    <row r="16" spans="1:27" x14ac:dyDescent="0.25">
      <c r="A16" t="s">
        <v>158</v>
      </c>
      <c r="Y16">
        <v>15</v>
      </c>
      <c r="AA16" t="s">
        <v>159</v>
      </c>
    </row>
    <row r="17" spans="1:27" x14ac:dyDescent="0.25">
      <c r="A17" t="s">
        <v>152</v>
      </c>
      <c r="Y17">
        <v>16</v>
      </c>
      <c r="AA17" t="s">
        <v>160</v>
      </c>
    </row>
    <row r="18" spans="25:27" x14ac:dyDescent="0.25">
      <c r="Y18">
        <v>17</v>
      </c>
      <c r="AA18" t="s">
        <v>161</v>
      </c>
    </row>
    <row r="19" spans="25:27" x14ac:dyDescent="0.25">
      <c r="Y19">
        <v>18</v>
      </c>
      <c r="AA19" t="s">
        <v>162</v>
      </c>
    </row>
    <row r="20" spans="1:27" x14ac:dyDescent="0.25">
      <c r="A20" t="s">
        <v>59</v>
      </c>
      <c r="Y20">
        <v>19</v>
      </c>
      <c r="AA20" t="s">
        <v>163</v>
      </c>
    </row>
    <row r="21" spans="1:27" x14ac:dyDescent="0.25">
      <c r="A21" t="s">
        <v>164</v>
      </c>
      <c r="Y21">
        <v>20</v>
      </c>
      <c r="AA21" t="s">
        <v>165</v>
      </c>
    </row>
    <row r="22" spans="1:27" x14ac:dyDescent="0.25">
      <c r="A22" t="s">
        <v>166</v>
      </c>
      <c r="Y22">
        <v>21</v>
      </c>
      <c r="AA22" t="s">
        <v>167</v>
      </c>
    </row>
    <row r="23" spans="1:27" x14ac:dyDescent="0.25">
      <c r="A23" t="s">
        <v>168</v>
      </c>
      <c r="Y23">
        <v>22</v>
      </c>
      <c r="AA23" t="s">
        <v>169</v>
      </c>
    </row>
    <row r="24" spans="1:27" x14ac:dyDescent="0.25">
      <c r="A24" t="s">
        <v>170</v>
      </c>
      <c r="Y24">
        <v>23</v>
      </c>
      <c r="AA24" t="s">
        <v>171</v>
      </c>
    </row>
    <row r="25" spans="25:27" x14ac:dyDescent="0.25">
      <c r="Y25">
        <v>24</v>
      </c>
      <c r="AA25" t="s">
        <v>172</v>
      </c>
    </row>
    <row r="26" spans="25:25" x14ac:dyDescent="0.25">
      <c r="Y26">
        <v>25</v>
      </c>
    </row>
    <row r="27" spans="1:25" x14ac:dyDescent="0.25">
      <c r="A27" t="s">
        <v>61</v>
      </c>
      <c r="Y27">
        <v>26</v>
      </c>
    </row>
    <row r="28" spans="1:25" x14ac:dyDescent="0.25">
      <c r="A28" t="s">
        <v>173</v>
      </c>
      <c r="Y28">
        <v>27</v>
      </c>
    </row>
    <row r="29" spans="1:25" x14ac:dyDescent="0.25">
      <c r="A29" t="s">
        <v>21</v>
      </c>
      <c r="Y29">
        <v>28</v>
      </c>
    </row>
    <row r="30" spans="1:25" x14ac:dyDescent="0.25">
      <c r="A30" t="s">
        <v>174</v>
      </c>
      <c r="Y30">
        <v>29</v>
      </c>
    </row>
    <row r="31" spans="1:25" x14ac:dyDescent="0.25">
      <c r="A31" t="s">
        <v>175</v>
      </c>
      <c r="Y31">
        <v>30</v>
      </c>
    </row>
    <row r="32" spans="1:25" x14ac:dyDescent="0.25">
      <c r="A32" t="s">
        <v>176</v>
      </c>
      <c r="Y32">
        <v>31</v>
      </c>
    </row>
    <row r="33" spans="1:1" x14ac:dyDescent="0.25">
      <c r="A33" t="s">
        <v>177</v>
      </c>
    </row>
    <row r="34" spans="1:1" x14ac:dyDescent="0.25">
      <c r="A34" t="s">
        <v>152</v>
      </c>
    </row>
    <row r="37" spans="1:1" x14ac:dyDescent="0.25">
      <c r="A37" t="s">
        <v>54</v>
      </c>
    </row>
    <row r="38" spans="1:1" x14ac:dyDescent="0.25">
      <c r="A38" t="s">
        <v>178</v>
      </c>
    </row>
    <row r="39" spans="1:1" x14ac:dyDescent="0.25">
      <c r="A39" t="s">
        <v>179</v>
      </c>
    </row>
    <row r="40" spans="1:1" x14ac:dyDescent="0.25">
      <c r="A40" t="s">
        <v>180</v>
      </c>
    </row>
    <row r="41" spans="1:1" x14ac:dyDescent="0.25">
      <c r="A41" t="s">
        <v>181</v>
      </c>
    </row>
    <row r="44" spans="1:1" x14ac:dyDescent="0.25">
      <c r="A44" t="s">
        <v>77</v>
      </c>
    </row>
    <row r="45" spans="1:1" x14ac:dyDescent="0.25">
      <c r="A45" t="s">
        <v>182</v>
      </c>
    </row>
    <row r="46" spans="1:1" x14ac:dyDescent="0.25">
      <c r="A46" t="s">
        <v>183</v>
      </c>
    </row>
    <row r="47" spans="1:1" x14ac:dyDescent="0.25">
      <c r="A47" t="s">
        <v>184</v>
      </c>
    </row>
    <row r="50" spans="1:1" x14ac:dyDescent="0.25">
      <c r="A50" t="s">
        <v>9</v>
      </c>
    </row>
    <row r="51" spans="1:1" x14ac:dyDescent="0.25">
      <c r="A51" t="s">
        <v>95</v>
      </c>
    </row>
    <row r="52" spans="1:1" x14ac:dyDescent="0.25">
      <c r="A52" t="s">
        <v>185</v>
      </c>
    </row>
    <row r="53" spans="1:1" x14ac:dyDescent="0.25">
      <c r="A53" t="s">
        <v>186</v>
      </c>
    </row>
    <row r="54" spans="1:1" x14ac:dyDescent="0.25">
      <c r="A54" t="s">
        <v>99</v>
      </c>
    </row>
    <row r="55" spans="1:1" x14ac:dyDescent="0.25">
      <c r="A55" t="s">
        <v>111</v>
      </c>
    </row>
    <row r="58" spans="1:1" x14ac:dyDescent="0.25">
      <c r="A58" t="s">
        <v>78</v>
      </c>
    </row>
    <row r="59" spans="1:1" x14ac:dyDescent="0.25">
      <c r="A59" t="s">
        <v>95</v>
      </c>
    </row>
    <row r="60" spans="1:1" x14ac:dyDescent="0.25">
      <c r="A60" t="s">
        <v>186</v>
      </c>
    </row>
    <row r="61" spans="1:1" x14ac:dyDescent="0.25">
      <c r="A61" t="s">
        <v>99</v>
      </c>
    </row>
    <row r="65" spans="1:1" x14ac:dyDescent="0.25">
      <c r="A65" t="s">
        <v>187</v>
      </c>
    </row>
    <row r="66" spans="1:1" x14ac:dyDescent="0.25">
      <c r="A66" t="s">
        <v>95</v>
      </c>
    </row>
    <row r="67" spans="1:1" x14ac:dyDescent="0.25">
      <c r="A67" t="s">
        <v>111</v>
      </c>
    </row>
    <row r="70" spans="1:1" x14ac:dyDescent="0.25">
      <c r="A70" t="s">
        <v>188</v>
      </c>
    </row>
    <row r="71" spans="1:1" x14ac:dyDescent="0.25">
      <c r="A71" t="s">
        <v>95</v>
      </c>
    </row>
    <row r="72" spans="1:1" x14ac:dyDescent="0.25">
      <c r="A72" t="s">
        <v>111</v>
      </c>
    </row>
    <row r="75" spans="1:1" x14ac:dyDescent="0.25">
      <c r="A75" t="s">
        <v>189</v>
      </c>
    </row>
    <row r="76" spans="1:1" x14ac:dyDescent="0.25">
      <c r="A76" t="s">
        <v>95</v>
      </c>
    </row>
    <row r="77" spans="1:1" x14ac:dyDescent="0.25">
      <c r="A77" t="s">
        <v>186</v>
      </c>
    </row>
    <row r="78" spans="1:1" x14ac:dyDescent="0.25">
      <c r="A78" t="s">
        <v>99</v>
      </c>
    </row>
    <row r="81" spans="1:1" x14ac:dyDescent="0.25">
      <c r="A81" t="s">
        <v>33</v>
      </c>
    </row>
    <row r="82" spans="1:1" x14ac:dyDescent="0.25">
      <c r="A82" t="s">
        <v>190</v>
      </c>
    </row>
    <row r="83" spans="1:1" x14ac:dyDescent="0.25">
      <c r="A83" t="s">
        <v>191</v>
      </c>
    </row>
    <row r="86" spans="1:1" x14ac:dyDescent="0.25">
      <c r="A86" t="s">
        <v>192</v>
      </c>
    </row>
    <row r="87" spans="1:1" x14ac:dyDescent="0.25">
      <c r="A87" t="s">
        <v>193</v>
      </c>
    </row>
    <row r="88" spans="1:1" x14ac:dyDescent="0.25">
      <c r="A88" t="s">
        <v>194</v>
      </c>
    </row>
    <row r="91" spans="1:1" x14ac:dyDescent="0.25">
      <c r="A91" t="s">
        <v>14</v>
      </c>
    </row>
    <row r="92" spans="1:1" x14ac:dyDescent="0.25">
      <c r="A92" t="s">
        <v>195</v>
      </c>
    </row>
    <row r="93" spans="1:1" x14ac:dyDescent="0.25">
      <c r="A93" t="s">
        <v>196</v>
      </c>
    </row>
    <row r="94" spans="1:1" x14ac:dyDescent="0.25">
      <c r="A94" t="s">
        <v>145</v>
      </c>
    </row>
    <row r="95" spans="1:1" x14ac:dyDescent="0.25">
      <c r="A95" t="s">
        <v>157</v>
      </c>
    </row>
    <row r="96" spans="1:1" x14ac:dyDescent="0.25">
      <c r="A96" t="s">
        <v>150</v>
      </c>
    </row>
    <row r="97" spans="1:1" x14ac:dyDescent="0.25">
      <c r="A97" t="s">
        <v>130</v>
      </c>
    </row>
    <row r="98" spans="1:1" x14ac:dyDescent="0.25">
      <c r="A98" t="s">
        <v>197</v>
      </c>
    </row>
    <row r="99" spans="1:1" x14ac:dyDescent="0.25">
      <c r="A99" t="s">
        <v>152</v>
      </c>
    </row>
    <row r="102" spans="1:1" x14ac:dyDescent="0.25">
      <c r="A102" t="s">
        <v>7</v>
      </c>
    </row>
    <row r="103" spans="1:1" x14ac:dyDescent="0.25">
      <c r="A103" t="s">
        <v>164</v>
      </c>
    </row>
    <row r="104" spans="1:1" x14ac:dyDescent="0.25">
      <c r="A104" t="s">
        <v>166</v>
      </c>
    </row>
    <row r="107" spans="1:1" x14ac:dyDescent="0.25">
      <c r="A107" t="s">
        <v>198</v>
      </c>
    </row>
    <row r="108" spans="1:1" x14ac:dyDescent="0.25">
      <c r="A108" t="s">
        <v>199</v>
      </c>
    </row>
    <row r="111" spans="1:3" x14ac:dyDescent="0.25">
      <c r="A111" t="s">
        <v>200</v>
      </c>
      <c r="B111" t="s">
        <v>201</v>
      </c>
      <c r="C111" t="s">
        <v>202</v>
      </c>
    </row>
    <row r="112" spans="1:3" x14ac:dyDescent="0.25">
      <c r="A112">
        <v>1</v>
      </c>
      <c r="B112" t="s">
        <v>203</v>
      </c>
      <c r="C112" t="s">
        <v>204</v>
      </c>
    </row>
    <row r="113" spans="1:3" x14ac:dyDescent="0.25">
      <c r="A113">
        <v>2</v>
      </c>
      <c r="B113" t="s">
        <v>205</v>
      </c>
      <c r="C113" t="s">
        <v>206</v>
      </c>
    </row>
    <row r="114" spans="1:3" x14ac:dyDescent="0.25">
      <c r="A114">
        <v>3</v>
      </c>
      <c r="B114" t="s">
        <v>207</v>
      </c>
      <c r="C114" t="s">
        <v>208</v>
      </c>
    </row>
    <row r="115" spans="1:3" x14ac:dyDescent="0.25">
      <c r="A115">
        <v>4</v>
      </c>
      <c r="B115" t="s">
        <v>209</v>
      </c>
      <c r="C115" t="s">
        <v>210</v>
      </c>
    </row>
    <row r="116" spans="1:3" x14ac:dyDescent="0.25">
      <c r="A116">
        <v>5</v>
      </c>
      <c r="B116" t="s">
        <v>211</v>
      </c>
      <c r="C116" t="s">
        <v>211</v>
      </c>
    </row>
    <row r="117" spans="1:3" x14ac:dyDescent="0.25">
      <c r="A117">
        <v>6</v>
      </c>
      <c r="B117" t="s">
        <v>212</v>
      </c>
      <c r="C117" t="s">
        <v>213</v>
      </c>
    </row>
    <row r="118" spans="1:3" x14ac:dyDescent="0.25">
      <c r="A118">
        <v>7</v>
      </c>
      <c r="B118" t="s">
        <v>214</v>
      </c>
      <c r="C118" t="s">
        <v>215</v>
      </c>
    </row>
    <row r="119" spans="1:3" x14ac:dyDescent="0.25">
      <c r="A119">
        <v>8</v>
      </c>
      <c r="B119" t="s">
        <v>216</v>
      </c>
      <c r="C119" t="s">
        <v>217</v>
      </c>
    </row>
    <row r="120" spans="1:3" x14ac:dyDescent="0.25">
      <c r="A120">
        <v>9</v>
      </c>
      <c r="B120" t="s">
        <v>218</v>
      </c>
      <c r="C120" t="s">
        <v>219</v>
      </c>
    </row>
    <row r="121" spans="1:3" x14ac:dyDescent="0.25">
      <c r="A121">
        <v>10</v>
      </c>
      <c r="B121" t="s">
        <v>220</v>
      </c>
      <c r="C121" t="s">
        <v>221</v>
      </c>
    </row>
    <row r="122" spans="1:3" x14ac:dyDescent="0.25">
      <c r="A122">
        <v>11</v>
      </c>
      <c r="B122" t="s">
        <v>222</v>
      </c>
      <c r="C122" t="s">
        <v>223</v>
      </c>
    </row>
    <row r="123" spans="1:3" x14ac:dyDescent="0.25">
      <c r="A123">
        <v>12</v>
      </c>
      <c r="B123" t="s">
        <v>224</v>
      </c>
      <c r="C123" t="s">
        <v>225</v>
      </c>
    </row>
    <row r="126" spans="1:1" x14ac:dyDescent="0.25">
      <c r="A126" t="s">
        <v>226</v>
      </c>
    </row>
    <row r="127" spans="1:1" x14ac:dyDescent="0.25">
      <c r="A127" t="s">
        <v>227</v>
      </c>
    </row>
    <row r="128" spans="1:1" x14ac:dyDescent="0.25">
      <c r="A128" t="s">
        <v>228</v>
      </c>
    </row>
    <row r="129" spans="1:1" x14ac:dyDescent="0.25">
      <c r="A129" t="s">
        <v>229</v>
      </c>
    </row>
    <row r="130" spans="1:1" x14ac:dyDescent="0.25">
      <c r="A130" t="s">
        <v>230</v>
      </c>
    </row>
    <row r="131" spans="1:1" x14ac:dyDescent="0.25">
      <c r="A131" t="s">
        <v>82</v>
      </c>
    </row>
    <row r="132" spans="1:1" x14ac:dyDescent="0.25">
      <c r="A132" t="s">
        <v>83</v>
      </c>
    </row>
    <row r="133" spans="1:1" x14ac:dyDescent="0.25">
      <c r="A133" t="s">
        <v>84</v>
      </c>
    </row>
    <row r="134" spans="1:1" x14ac:dyDescent="0.25">
      <c r="A134" t="s">
        <v>85</v>
      </c>
    </row>
    <row r="135" spans="1:1" x14ac:dyDescent="0.25">
      <c r="A135" t="s">
        <v>86</v>
      </c>
    </row>
    <row r="136" spans="1:1" x14ac:dyDescent="0.25">
      <c r="A136" t="s">
        <v>87</v>
      </c>
    </row>
    <row r="137" spans="1:1" x14ac:dyDescent="0.25">
      <c r="A137" t="s">
        <v>88</v>
      </c>
    </row>
    <row r="138" spans="1:1" x14ac:dyDescent="0.25">
      <c r="A138" t="s">
        <v>231</v>
      </c>
    </row>
    <row r="139" spans="1:1" x14ac:dyDescent="0.25">
      <c r="A139" t="s">
        <v>232</v>
      </c>
    </row>
    <row r="140" spans="1:1" x14ac:dyDescent="0.25">
      <c r="A140" t="s">
        <v>233</v>
      </c>
    </row>
    <row r="141" spans="1:1" x14ac:dyDescent="0.25">
      <c r="A141" t="s">
        <v>234</v>
      </c>
    </row>
    <row r="142" spans="1:1" x14ac:dyDescent="0.25">
      <c r="A142" t="s">
        <v>235</v>
      </c>
    </row>
    <row r="143" spans="1:1" x14ac:dyDescent="0.25">
      <c r="A143" t="s">
        <v>236</v>
      </c>
    </row>
    <row r="144" spans="1:1" x14ac:dyDescent="0.25">
      <c r="A144" t="s">
        <v>237</v>
      </c>
    </row>
    <row r="145" spans="1:1" x14ac:dyDescent="0.25">
      <c r="A145" t="s">
        <v>238</v>
      </c>
    </row>
    <row r="146" spans="1:1" x14ac:dyDescent="0.25">
      <c r="A146" t="s">
        <v>239</v>
      </c>
    </row>
    <row r="147" spans="1:1" x14ac:dyDescent="0.25">
      <c r="A147" t="s">
        <v>240</v>
      </c>
    </row>
    <row r="148" spans="1:1" x14ac:dyDescent="0.25">
      <c r="A148" t="s">
        <v>241</v>
      </c>
    </row>
    <row r="149" spans="1:1" x14ac:dyDescent="0.25">
      <c r="A149" t="s">
        <v>242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2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55"/>
  <sheetData>
    <row r="1" spans="1:1" x14ac:dyDescent="0.25">
      <c r="A1" s="1" t="s">
        <v>243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55"/>
  <sheetData>
    <row r="1" spans="1:1" x14ac:dyDescent="0.25">
      <c r="A1" s="1" t="s">
        <v>244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55"/>
  <sheetData>
    <row r="1" spans="1:1" x14ac:dyDescent="0.25">
      <c r="A1" s="1" t="s">
        <v>245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55"/>
  <sheetData>
    <row r="1" spans="1:1" x14ac:dyDescent="0.25">
      <c r="A1" s="1" t="s">
        <v>246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Settings</vt:lpstr>
      <vt:lpstr>Categories</vt:lpstr>
      <vt:lpstr>Accounts</vt:lpstr>
      <vt:lpstr>Income Sources</vt:lpstr>
      <vt:lpstr>Assets</vt:lpstr>
      <vt:lpstr>Liabilities</vt:lpstr>
      <vt:lpstr>Recurring Commitments</vt:lpstr>
      <vt:lpstr>Transactions</vt:lpstr>
      <vt:lpstr>Goals</vt:lpstr>
      <vt:lpstr>Helpers</vt:lpstr>
      <vt:lpstr>Business Engine</vt:lpstr>
      <vt:lpstr>Analysis Engine</vt:lpstr>
      <vt:lpstr>Dashboard</vt:lpstr>
      <vt:lpstr>Insights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FinanceOS</dc:creator>
  <dc:title/>
  <dc:subject/>
  <dc:description/>
  <cp:keywords/>
  <cp:category/>
  <cp:lastModifiedBy>FinanceOS Phase 1 Foundation</cp:lastModifiedBy>
  <dcterms:created xsi:type="dcterms:W3CDTF">2026-08-25T11:37:22Z</dcterms:created>
  <dcterms:modified xsi:type="dcterms:W3CDTF">2026-08-25T11:37:22Z</dcterms:modified>
</cp:coreProperties>
</file>