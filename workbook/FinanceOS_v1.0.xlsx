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8_{CBEEFA42-0C05-45A4-ADEC-436ABB8B2AA5}" xr6:coauthVersionLast="47" xr6:coauthVersionMax="47" xr10:uidLastSave="{00000000-0000-0000-0000-000000000000}"/>
  <workbookProtection lockStructure="1"/>
  <bookViews>
    <workbookView visibility="hidden" xWindow="-108" yWindow="-108" windowWidth="23256" windowHeight="12456" firstSheet="1" activeTab="7" xr2:uid="{00000000-000D-0000-FFFF-FFFF00000000}"/>
  </bookViews>
  <sheets>
    <sheet name="Settings" sheetId="1" r:id="rId1"/>
    <sheet name="Categories" sheetId="2" r:id="rId2"/>
    <sheet name="Accounts" sheetId="3" r:id="rId3"/>
    <sheet name="Income Sources" sheetId="4" r:id="rId4"/>
    <sheet name="Assets" sheetId="5" r:id="rId5"/>
    <sheet name="Liabilities" sheetId="6" r:id="rId6"/>
    <sheet name="Recurring Commitments" sheetId="7" r:id="rId7"/>
    <sheet name="Transactions" sheetId="8" r:id="rId8"/>
    <sheet name="Goals" sheetId="9" r:id="rId9"/>
    <sheet name="Helpers" sheetId="10" state="hidden" r:id="rId10"/>
    <sheet name="Business Engine" sheetId="11" state="hidden" r:id="rId11"/>
    <sheet name="Analysis Engine" sheetId="12" state="hidden" r:id="rId12"/>
    <sheet name="Dashboard" sheetId="13" r:id="rId13"/>
    <sheet name="Insights" sheetId="14" r:id="rId14"/>
  </sheets>
  <definedNames>
    <definedName name="rngAccounts">Accounts!$B$2:$B$200</definedName>
    <definedName name="rngAccountStatus">Helpers!$A$70:$A$71</definedName>
    <definedName name="rngAccountType">Helpers!$A$91:$A$98</definedName>
    <definedName name="rngActiveAccounts">Helpers!$G$2:$G$201</definedName>
    <definedName name="rngActiveAssets">Helpers!$I$2:$I$201</definedName>
    <definedName name="rngActiveGoals">Helpers!$H$2:$H$201</definedName>
    <definedName name="rngActiveLiabilities">Helpers!$J$2:$J$201</definedName>
    <definedName name="rngAssets">Assets!$B$2:$B$200</definedName>
    <definedName name="rngAssetType">Helpers!$AG$2:$AG$25</definedName>
    <definedName name="rngBlank">Helpers!$L$2</definedName>
    <definedName name="rngBoolean">Helpers!$A$86:$A$87</definedName>
    <definedName name="rngCategories">Categories!$B$2:$B$200</definedName>
    <definedName name="rngCategoryType">Helpers!$A$102:$A$103</definedName>
    <definedName name="rngCommitmentStatus">Helpers!$A$75:$A$77</definedName>
    <definedName name="rngCurrency">Helpers!$A$2:$A$6</definedName>
    <definedName name="rngDestinationType">Helpers!$A$28:$A$34</definedName>
    <definedName name="rngExpenseCategories">Helpers!$E$2:$E$201</definedName>
    <definedName name="rngFinancialYears">Helpers!$A$126</definedName>
    <definedName name="rngFrequency">Helpers!$A$38:$A$41</definedName>
    <definedName name="rngGoals">Goals!$B$2:$B$200</definedName>
    <definedName name="rngGoalStatus">Helpers!$A$59:$A$61</definedName>
    <definedName name="rngIncomeCategories">Helpers!$F$2:$F$201</definedName>
    <definedName name="rngIncomeSources">'Income Sources'!$B$2:$B$200</definedName>
    <definedName name="rngIncomeType">Helpers!$AI$2:$AI$10</definedName>
    <definedName name="rngLiabilities">Liabilities!$B$2:$B$200</definedName>
    <definedName name="rngLiabilityStatus">Helpers!$A$65:$A$66</definedName>
    <definedName name="rngLiabilityType">Helpers!$AH$2:$AH$11</definedName>
    <definedName name="rngMonths">Helpers!$B$111:$B$122</definedName>
    <definedName name="rngOwnershipType">Helpers!$A$81:$A$82</definedName>
    <definedName name="rngPaymentMethods">Helpers!$A$10:$A$17</definedName>
    <definedName name="rngPriority">Helpers!$A$45:$A$47</definedName>
    <definedName name="rngTransactionStatus">Helpers!$D$1:$D$4</definedName>
    <definedName name="rngTransactionType">Helpers!$A$21:$A$24</definedName>
    <definedName name="rngYesNo">Helpers!$A$86:$A$87</definedName>
    <definedName name="valAccountStatus">Helpers!$B$147</definedName>
    <definedName name="valAccountTypes">Helpers!$B$140</definedName>
    <definedName name="valActiveAccounts">Helpers!$G$2:$G$201</definedName>
    <definedName name="valActiveAssets">Helpers!$I$2:$I$201</definedName>
    <definedName name="valActiveGoals">Helpers!$H$2:$H$201</definedName>
    <definedName name="valActiveLiabilities">Helpers!$J$2:$J$201</definedName>
    <definedName name="valBlank">Helpers!$L$2</definedName>
    <definedName name="valCategoryTypes">Helpers!$B$141</definedName>
    <definedName name="valCommitmentStatus">Helpers!$B$148</definedName>
    <definedName name="valCurrencies">Helpers!$B$143</definedName>
    <definedName name="valDestinationTypes">Helpers!$B$144</definedName>
    <definedName name="valExpenseCategories">Helpers!$E$2:$E$201</definedName>
    <definedName name="valFrequency">Helpers!$B$138</definedName>
    <definedName name="valGoalStatus">Helpers!$B$146</definedName>
    <definedName name="valIncomeCategories">Helpers!$F$2:$F$201</definedName>
    <definedName name="valIncomeSources">Helpers!$K$2:$K$201</definedName>
    <definedName name="valPaymentMethods">Helpers!$B$137</definedName>
    <definedName name="valPriority">Helpers!$B$139</definedName>
    <definedName name="valThemes">Helpers!$B$142</definedName>
    <definedName name="valTransactionTypes">Helpers!$B$145</definedName>
    <definedName name="outLiabilityPaymentTotal">'Business Engine'!$B$46</definedName>
    <definedName name="outAssetPurchaseTotal">'Business Engine'!$B$39</definedName>
    <definedName name="analysisSavingsHealth">'Analysis Engine'!$B$158</definedName>
    <definedName name="analysisExpenseHealth">'Analysis Engine'!$B$159</definedName>
    <definedName name="analysisDebtHealth">'Analysis Engine'!$B$160</definedName>
    <definedName name="analysisAssetHealth">'Analysis Engine'!$B$161</definedName>
    <definedName name="analysisGoalHealth">'Analysis Engine'!$B$162</definedName>
    <definedName name="analysisLiquidityHealth">'Analysis Engine'!$B$163</definedName>
    <definedName name="analysisNetWorthHealth">'Analysis Engine'!$B$164</definedName>
    <definedName name="analysisCashFlowHealth">'Analysis Engine'!$B$165</definedName>
    <definedName name="outNetWorth">'Business Engine'!$B$48</definedName>
    <definedName name="outAssetValue">'Business Engine'!$B$35</definedName>
    <definedName name="outOutstandingDebt">'Business Engine'!$B$42</definedName>
    <definedName name="outTotalCash">'Business Engine'!$B$4</definedName>
    <definedName name="outMonthlyIncome">'Business Engine'!$B$16</definedName>
    <definedName name="outMonthlyExpense">'Business Engine'!$B$22</definedName>
    <definedName name="outMonthlySavings">'Business Engine'!$B$29</definedName>
    <definedName name="outSavingsRate">'Business Engine'!$B$30</definedName>
    <definedName name="outMonthlyEMI">'Business Engine'!$B$43</definedName>
    <definedName name="outGoalTarget">'Business Engine'!$B$53</definedName>
    <definedName name="outGoalSaved">'Business Engine'!$B$54</definedName>
    <definedName name="outGoalRemaining">'Business Engine'!$B$55</definedName>
    <definedName name="outActiveGoalCount">'Business Engine'!$B$56</definedName>
    <definedName name="outCompletedGoalCount">'Business Engine'!$B$57</definedName>
    <definedName name="outGoalCompletion">'Business Engine'!$B$58</definedName>
    <definedName name="outActiveLiabilityCount">'Business Engine'!$B$45</definedName>
    <definedName name="outInvestmentValue">'Business Engine'!$B$70</definedName>
    <definedName name="outPhysicalAssetValue">'Business Engine'!$B$71</definedName>
    <definedName name="outPropertyValue">'Business Engine'!$B$72</definedName>
    <definedName name="outRetirementAssetValue">'Business Engine'!$B$73</definedName>
    <definedName name="outCashEquivalentValue">'Business Engine'!$B$74</definedName>
    <definedName name="outOtherAssetValue">'Business Engine'!$B$75</definedName>
    <definedName name="outActiveAssetCount">'Business Engine'!$B$38</definedName>
    <definedName name="analysisSavingsHealthScore">'Analysis Engine'!$C$158</definedName>
    <definedName name="analysisSavingsHealthSeverity">'Analysis Engine'!$D$158</definedName>
    <definedName name="analysisExpenseHealthScore">'Analysis Engine'!$C$159</definedName>
    <definedName name="analysisExpenseHealthSeverity">'Analysis Engine'!$D$159</definedName>
    <definedName name="analysisDebtHealthScore">'Analysis Engine'!$C$160</definedName>
    <definedName name="analysisDebtHealthSeverity">'Analysis Engine'!$D$160</definedName>
    <definedName name="analysisAssetHealthScore">'Analysis Engine'!$C$161</definedName>
    <definedName name="analysisAssetHealthSeverity">'Analysis Engine'!$D$161</definedName>
    <definedName name="analysisGoalHealthScore">'Analysis Engine'!$C$162</definedName>
    <definedName name="analysisGoalHealthSeverity">'Analysis Engine'!$D$162</definedName>
    <definedName name="analysisLiquidityHealthScore">'Analysis Engine'!$C$163</definedName>
    <definedName name="analysisLiquidityHealthSeverity">'Analysis Engine'!$D$163</definedName>
    <definedName name="analysisNetWorthHealthScore">'Analysis Engine'!$C$164</definedName>
    <definedName name="analysisNetWorthHealthSeverity">'Analysis Engine'!$D$164</definedName>
    <definedName name="analysisCashFlowHealthScore">'Analysis Engine'!$C$165</definedName>
    <definedName name="analysisCashFlowHealthSeverity">'Analysis Engine'!$D$165</definedName>
  </definedNames>
  <calcPr calcId="181029" forceFullCalc="1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05" i="12" l="1"/>
  <c r="A105" i="12"/>
  <c r="B104" i="12"/>
  <c r="A104" i="12"/>
  <c r="B103" i="12"/>
  <c r="A103" i="12"/>
  <c r="B102" i="12"/>
  <c r="A102" i="12"/>
  <c r="B101" i="12"/>
  <c r="A101" i="12"/>
  <c r="B100" i="12"/>
  <c r="A100" i="12"/>
  <c r="B99" i="12"/>
  <c r="A99" i="12"/>
  <c r="B98" i="12"/>
  <c r="A98" i="12"/>
  <c r="A94" i="12"/>
  <c r="B94" i="12" s="1"/>
  <c r="A93" i="12"/>
  <c r="B93" i="12" s="1"/>
  <c r="A92" i="12"/>
  <c r="B92" i="12" s="1"/>
  <c r="A91" i="12"/>
  <c r="B91" i="12" s="1"/>
  <c r="A90" i="12"/>
  <c r="B90" i="12" s="1"/>
  <c r="A89" i="12"/>
  <c r="B89" i="12" s="1"/>
  <c r="A88" i="12"/>
  <c r="B88" i="12" s="1"/>
  <c r="A87" i="12"/>
  <c r="B87" i="12" s="1"/>
  <c r="A86" i="12"/>
  <c r="B86" i="12" s="1"/>
  <c r="A85" i="12"/>
  <c r="B85" i="12" s="1"/>
  <c r="A71" i="12"/>
  <c r="B71" i="12" s="1"/>
  <c r="A70" i="12"/>
  <c r="B70" i="12" s="1"/>
  <c r="A69" i="12"/>
  <c r="B69" i="12" s="1"/>
  <c r="A68" i="12"/>
  <c r="B68" i="12" s="1"/>
  <c r="A67" i="12"/>
  <c r="B67" i="12" s="1"/>
  <c r="A66" i="12"/>
  <c r="B66" i="12" s="1"/>
  <c r="A65" i="12"/>
  <c r="B65" i="12" s="1"/>
  <c r="A64" i="12"/>
  <c r="B64" i="12" s="1"/>
  <c r="A63" i="12"/>
  <c r="B63" i="12" s="1"/>
  <c r="A62" i="12"/>
  <c r="B62" i="12" s="1"/>
  <c r="A26" i="12"/>
  <c r="A25" i="12"/>
  <c r="A24" i="12"/>
  <c r="A23" i="12"/>
  <c r="A22" i="12"/>
  <c r="A21" i="12"/>
  <c r="A20" i="12"/>
  <c r="A19" i="12"/>
  <c r="A18" i="12"/>
  <c r="A17" i="12"/>
  <c r="C10" i="12"/>
  <c r="AA6" i="12"/>
  <c r="AA5" i="12"/>
  <c r="A38" i="12" s="1"/>
  <c r="C38" i="12" s="1"/>
  <c r="AA4" i="12"/>
  <c r="D7" i="12" s="1"/>
  <c r="AA3" i="12"/>
  <c r="AA2" i="12"/>
  <c r="B2" i="12"/>
  <c r="B136" i="12" s="1"/>
  <c r="AA1" i="12"/>
  <c r="L200" i="11"/>
  <c r="K200" i="11"/>
  <c r="J200" i="11"/>
  <c r="I200" i="11"/>
  <c r="G200" i="11"/>
  <c r="F200" i="11"/>
  <c r="E200" i="11"/>
  <c r="D200" i="11"/>
  <c r="H200" i="11" s="1"/>
  <c r="L199" i="11"/>
  <c r="K199" i="11"/>
  <c r="J199" i="11"/>
  <c r="I199" i="11"/>
  <c r="G199" i="11"/>
  <c r="F199" i="11"/>
  <c r="E199" i="11"/>
  <c r="D199" i="11"/>
  <c r="H199" i="11" s="1"/>
  <c r="L198" i="11"/>
  <c r="K198" i="11"/>
  <c r="J198" i="11"/>
  <c r="I198" i="11"/>
  <c r="G198" i="11"/>
  <c r="F198" i="11"/>
  <c r="E198" i="11"/>
  <c r="D198" i="11"/>
  <c r="H198" i="11" s="1"/>
  <c r="L197" i="11"/>
  <c r="K197" i="11"/>
  <c r="J197" i="11"/>
  <c r="I197" i="11"/>
  <c r="G197" i="11"/>
  <c r="F197" i="11"/>
  <c r="E197" i="11"/>
  <c r="D197" i="11"/>
  <c r="H197" i="11" s="1"/>
  <c r="L196" i="11"/>
  <c r="K196" i="11"/>
  <c r="J196" i="11"/>
  <c r="I196" i="11"/>
  <c r="G196" i="11"/>
  <c r="F196" i="11"/>
  <c r="E196" i="11"/>
  <c r="D196" i="11"/>
  <c r="H196" i="11" s="1"/>
  <c r="L195" i="11"/>
  <c r="K195" i="11"/>
  <c r="J195" i="11"/>
  <c r="I195" i="11"/>
  <c r="G195" i="11"/>
  <c r="F195" i="11"/>
  <c r="E195" i="11"/>
  <c r="D195" i="11"/>
  <c r="H195" i="11" s="1"/>
  <c r="L194" i="11"/>
  <c r="K194" i="11"/>
  <c r="J194" i="11"/>
  <c r="I194" i="11"/>
  <c r="G194" i="11"/>
  <c r="F194" i="11"/>
  <c r="E194" i="11"/>
  <c r="D194" i="11"/>
  <c r="H194" i="11" s="1"/>
  <c r="L193" i="11"/>
  <c r="K193" i="11"/>
  <c r="J193" i="11"/>
  <c r="I193" i="11"/>
  <c r="G193" i="11"/>
  <c r="F193" i="11"/>
  <c r="E193" i="11"/>
  <c r="D193" i="11"/>
  <c r="H193" i="11" s="1"/>
  <c r="L192" i="11"/>
  <c r="K192" i="11"/>
  <c r="J192" i="11"/>
  <c r="I192" i="11"/>
  <c r="G192" i="11"/>
  <c r="F192" i="11"/>
  <c r="E192" i="11"/>
  <c r="D192" i="11"/>
  <c r="H192" i="11" s="1"/>
  <c r="L191" i="11"/>
  <c r="K191" i="11"/>
  <c r="J191" i="11"/>
  <c r="I191" i="11"/>
  <c r="G191" i="11"/>
  <c r="F191" i="11"/>
  <c r="E191" i="11"/>
  <c r="D191" i="11"/>
  <c r="H191" i="11" s="1"/>
  <c r="L190" i="11"/>
  <c r="K190" i="11"/>
  <c r="J190" i="11"/>
  <c r="I190" i="11"/>
  <c r="G190" i="11"/>
  <c r="F190" i="11"/>
  <c r="E190" i="11"/>
  <c r="D190" i="11"/>
  <c r="H190" i="11" s="1"/>
  <c r="L189" i="11"/>
  <c r="K189" i="11"/>
  <c r="J189" i="11"/>
  <c r="I189" i="11"/>
  <c r="G189" i="11"/>
  <c r="F189" i="11"/>
  <c r="E189" i="11"/>
  <c r="D189" i="11"/>
  <c r="H189" i="11" s="1"/>
  <c r="L188" i="11"/>
  <c r="K188" i="11"/>
  <c r="J188" i="11"/>
  <c r="I188" i="11"/>
  <c r="G188" i="11"/>
  <c r="F188" i="11"/>
  <c r="E188" i="11"/>
  <c r="D188" i="11"/>
  <c r="H188" i="11" s="1"/>
  <c r="L187" i="11"/>
  <c r="K187" i="11"/>
  <c r="J187" i="11"/>
  <c r="I187" i="11"/>
  <c r="G187" i="11"/>
  <c r="F187" i="11"/>
  <c r="E187" i="11"/>
  <c r="D187" i="11"/>
  <c r="H187" i="11" s="1"/>
  <c r="L186" i="11"/>
  <c r="K186" i="11"/>
  <c r="J186" i="11"/>
  <c r="I186" i="11"/>
  <c r="G186" i="11"/>
  <c r="F186" i="11"/>
  <c r="E186" i="11"/>
  <c r="D186" i="11"/>
  <c r="H186" i="11" s="1"/>
  <c r="L185" i="11"/>
  <c r="K185" i="11"/>
  <c r="J185" i="11"/>
  <c r="I185" i="11"/>
  <c r="G185" i="11"/>
  <c r="F185" i="11"/>
  <c r="E185" i="11"/>
  <c r="D185" i="11"/>
  <c r="H185" i="11" s="1"/>
  <c r="L184" i="11"/>
  <c r="K184" i="11"/>
  <c r="J184" i="11"/>
  <c r="I184" i="11"/>
  <c r="G184" i="11"/>
  <c r="F184" i="11"/>
  <c r="E184" i="11"/>
  <c r="D184" i="11"/>
  <c r="H184" i="11" s="1"/>
  <c r="L183" i="11"/>
  <c r="K183" i="11"/>
  <c r="J183" i="11"/>
  <c r="I183" i="11"/>
  <c r="G183" i="11"/>
  <c r="F183" i="11"/>
  <c r="E183" i="11"/>
  <c r="D183" i="11"/>
  <c r="H183" i="11" s="1"/>
  <c r="L182" i="11"/>
  <c r="K182" i="11"/>
  <c r="J182" i="11"/>
  <c r="I182" i="11"/>
  <c r="G182" i="11"/>
  <c r="F182" i="11"/>
  <c r="E182" i="11"/>
  <c r="D182" i="11"/>
  <c r="H182" i="11" s="1"/>
  <c r="L181" i="11"/>
  <c r="K181" i="11"/>
  <c r="J181" i="11"/>
  <c r="I181" i="11"/>
  <c r="G181" i="11"/>
  <c r="F181" i="11"/>
  <c r="E181" i="11"/>
  <c r="D181" i="11"/>
  <c r="H181" i="11" s="1"/>
  <c r="L180" i="11"/>
  <c r="K180" i="11"/>
  <c r="J180" i="11"/>
  <c r="I180" i="11"/>
  <c r="G180" i="11"/>
  <c r="F180" i="11"/>
  <c r="E180" i="11"/>
  <c r="D180" i="11"/>
  <c r="H180" i="11" s="1"/>
  <c r="L179" i="11"/>
  <c r="K179" i="11"/>
  <c r="J179" i="11"/>
  <c r="I179" i="11"/>
  <c r="G179" i="11"/>
  <c r="F179" i="11"/>
  <c r="E179" i="11"/>
  <c r="D179" i="11"/>
  <c r="H179" i="11" s="1"/>
  <c r="L178" i="11"/>
  <c r="K178" i="11"/>
  <c r="J178" i="11"/>
  <c r="I178" i="11"/>
  <c r="G178" i="11"/>
  <c r="F178" i="11"/>
  <c r="E178" i="11"/>
  <c r="D178" i="11"/>
  <c r="H178" i="11" s="1"/>
  <c r="L177" i="11"/>
  <c r="K177" i="11"/>
  <c r="J177" i="11"/>
  <c r="I177" i="11"/>
  <c r="G177" i="11"/>
  <c r="F177" i="11"/>
  <c r="E177" i="11"/>
  <c r="D177" i="11"/>
  <c r="H177" i="11" s="1"/>
  <c r="L176" i="11"/>
  <c r="K176" i="11"/>
  <c r="J176" i="11"/>
  <c r="I176" i="11"/>
  <c r="G176" i="11"/>
  <c r="F176" i="11"/>
  <c r="E176" i="11"/>
  <c r="D176" i="11"/>
  <c r="H176" i="11" s="1"/>
  <c r="L175" i="11"/>
  <c r="K175" i="11"/>
  <c r="J175" i="11"/>
  <c r="I175" i="11"/>
  <c r="G175" i="11"/>
  <c r="F175" i="11"/>
  <c r="E175" i="11"/>
  <c r="D175" i="11"/>
  <c r="H175" i="11" s="1"/>
  <c r="L174" i="11"/>
  <c r="K174" i="11"/>
  <c r="J174" i="11"/>
  <c r="I174" i="11"/>
  <c r="G174" i="11"/>
  <c r="F174" i="11"/>
  <c r="E174" i="11"/>
  <c r="D174" i="11"/>
  <c r="H174" i="11" s="1"/>
  <c r="L173" i="11"/>
  <c r="K173" i="11"/>
  <c r="J173" i="11"/>
  <c r="I173" i="11"/>
  <c r="G173" i="11"/>
  <c r="F173" i="11"/>
  <c r="E173" i="11"/>
  <c r="D173" i="11"/>
  <c r="H173" i="11" s="1"/>
  <c r="L172" i="11"/>
  <c r="K172" i="11"/>
  <c r="J172" i="11"/>
  <c r="I172" i="11"/>
  <c r="G172" i="11"/>
  <c r="F172" i="11"/>
  <c r="E172" i="11"/>
  <c r="D172" i="11"/>
  <c r="H172" i="11" s="1"/>
  <c r="L171" i="11"/>
  <c r="K171" i="11"/>
  <c r="J171" i="11"/>
  <c r="I171" i="11"/>
  <c r="G171" i="11"/>
  <c r="F171" i="11"/>
  <c r="E171" i="11"/>
  <c r="D171" i="11"/>
  <c r="H171" i="11" s="1"/>
  <c r="L170" i="11"/>
  <c r="K170" i="11"/>
  <c r="J170" i="11"/>
  <c r="I170" i="11"/>
  <c r="G170" i="11"/>
  <c r="F170" i="11"/>
  <c r="E170" i="11"/>
  <c r="D170" i="11"/>
  <c r="H170" i="11" s="1"/>
  <c r="L169" i="11"/>
  <c r="K169" i="11"/>
  <c r="J169" i="11"/>
  <c r="I169" i="11"/>
  <c r="G169" i="11"/>
  <c r="F169" i="11"/>
  <c r="E169" i="11"/>
  <c r="D169" i="11"/>
  <c r="H169" i="11" s="1"/>
  <c r="L168" i="11"/>
  <c r="K168" i="11"/>
  <c r="J168" i="11"/>
  <c r="I168" i="11"/>
  <c r="G168" i="11"/>
  <c r="F168" i="11"/>
  <c r="E168" i="11"/>
  <c r="D168" i="11"/>
  <c r="H168" i="11" s="1"/>
  <c r="L167" i="11"/>
  <c r="K167" i="11"/>
  <c r="J167" i="11"/>
  <c r="I167" i="11"/>
  <c r="G167" i="11"/>
  <c r="F167" i="11"/>
  <c r="E167" i="11"/>
  <c r="D167" i="11"/>
  <c r="H167" i="11" s="1"/>
  <c r="L166" i="11"/>
  <c r="K166" i="11"/>
  <c r="J166" i="11"/>
  <c r="I166" i="11"/>
  <c r="G166" i="11"/>
  <c r="F166" i="11"/>
  <c r="E166" i="11"/>
  <c r="D166" i="11"/>
  <c r="H166" i="11" s="1"/>
  <c r="L165" i="11"/>
  <c r="K165" i="11"/>
  <c r="J165" i="11"/>
  <c r="I165" i="11"/>
  <c r="G165" i="11"/>
  <c r="F165" i="11"/>
  <c r="E165" i="11"/>
  <c r="D165" i="11"/>
  <c r="H165" i="11" s="1"/>
  <c r="L164" i="11"/>
  <c r="K164" i="11"/>
  <c r="J164" i="11"/>
  <c r="I164" i="11"/>
  <c r="G164" i="11"/>
  <c r="F164" i="11"/>
  <c r="E164" i="11"/>
  <c r="D164" i="11"/>
  <c r="H164" i="11" s="1"/>
  <c r="L163" i="11"/>
  <c r="K163" i="11"/>
  <c r="J163" i="11"/>
  <c r="I163" i="11"/>
  <c r="G163" i="11"/>
  <c r="F163" i="11"/>
  <c r="E163" i="11"/>
  <c r="D163" i="11"/>
  <c r="H163" i="11" s="1"/>
  <c r="L162" i="11"/>
  <c r="K162" i="11"/>
  <c r="J162" i="11"/>
  <c r="I162" i="11"/>
  <c r="G162" i="11"/>
  <c r="F162" i="11"/>
  <c r="E162" i="11"/>
  <c r="D162" i="11"/>
  <c r="H162" i="11" s="1"/>
  <c r="L161" i="11"/>
  <c r="K161" i="11"/>
  <c r="J161" i="11"/>
  <c r="I161" i="11"/>
  <c r="G161" i="11"/>
  <c r="F161" i="11"/>
  <c r="E161" i="11"/>
  <c r="D161" i="11"/>
  <c r="H161" i="11" s="1"/>
  <c r="L160" i="11"/>
  <c r="K160" i="11"/>
  <c r="J160" i="11"/>
  <c r="I160" i="11"/>
  <c r="G160" i="11"/>
  <c r="F160" i="11"/>
  <c r="E160" i="11"/>
  <c r="D160" i="11"/>
  <c r="H160" i="11" s="1"/>
  <c r="L159" i="11"/>
  <c r="K159" i="11"/>
  <c r="J159" i="11"/>
  <c r="I159" i="11"/>
  <c r="G159" i="11"/>
  <c r="F159" i="11"/>
  <c r="E159" i="11"/>
  <c r="D159" i="11"/>
  <c r="H159" i="11" s="1"/>
  <c r="L158" i="11"/>
  <c r="K158" i="11"/>
  <c r="J158" i="11"/>
  <c r="I158" i="11"/>
  <c r="G158" i="11"/>
  <c r="F158" i="11"/>
  <c r="E158" i="11"/>
  <c r="D158" i="11"/>
  <c r="H158" i="11" s="1"/>
  <c r="L157" i="11"/>
  <c r="K157" i="11"/>
  <c r="J157" i="11"/>
  <c r="I157" i="11"/>
  <c r="G157" i="11"/>
  <c r="F157" i="11"/>
  <c r="E157" i="11"/>
  <c r="D157" i="11"/>
  <c r="H157" i="11" s="1"/>
  <c r="L156" i="11"/>
  <c r="K156" i="11"/>
  <c r="J156" i="11"/>
  <c r="I156" i="11"/>
  <c r="G156" i="11"/>
  <c r="F156" i="11"/>
  <c r="E156" i="11"/>
  <c r="D156" i="11"/>
  <c r="H156" i="11" s="1"/>
  <c r="L155" i="11"/>
  <c r="K155" i="11"/>
  <c r="J155" i="11"/>
  <c r="I155" i="11"/>
  <c r="G155" i="11"/>
  <c r="F155" i="11"/>
  <c r="E155" i="11"/>
  <c r="D155" i="11"/>
  <c r="H155" i="11" s="1"/>
  <c r="L154" i="11"/>
  <c r="K154" i="11"/>
  <c r="J154" i="11"/>
  <c r="I154" i="11"/>
  <c r="G154" i="11"/>
  <c r="F154" i="11"/>
  <c r="E154" i="11"/>
  <c r="D154" i="11"/>
  <c r="H154" i="11" s="1"/>
  <c r="L153" i="11"/>
  <c r="K153" i="11"/>
  <c r="J153" i="11"/>
  <c r="I153" i="11"/>
  <c r="G153" i="11"/>
  <c r="F153" i="11"/>
  <c r="E153" i="11"/>
  <c r="D153" i="11"/>
  <c r="H153" i="11" s="1"/>
  <c r="L152" i="11"/>
  <c r="K152" i="11"/>
  <c r="J152" i="11"/>
  <c r="I152" i="11"/>
  <c r="G152" i="11"/>
  <c r="F152" i="11"/>
  <c r="E152" i="11"/>
  <c r="D152" i="11"/>
  <c r="H152" i="11" s="1"/>
  <c r="L151" i="11"/>
  <c r="K151" i="11"/>
  <c r="J151" i="11"/>
  <c r="I151" i="11"/>
  <c r="G151" i="11"/>
  <c r="F151" i="11"/>
  <c r="E151" i="11"/>
  <c r="D151" i="11"/>
  <c r="H151" i="11" s="1"/>
  <c r="L150" i="11"/>
  <c r="K150" i="11"/>
  <c r="J150" i="11"/>
  <c r="I150" i="11"/>
  <c r="G150" i="11"/>
  <c r="F150" i="11"/>
  <c r="E150" i="11"/>
  <c r="D150" i="11"/>
  <c r="H150" i="11" s="1"/>
  <c r="L149" i="11"/>
  <c r="K149" i="11"/>
  <c r="J149" i="11"/>
  <c r="I149" i="11"/>
  <c r="G149" i="11"/>
  <c r="F149" i="11"/>
  <c r="E149" i="11"/>
  <c r="D149" i="11"/>
  <c r="H149" i="11" s="1"/>
  <c r="L148" i="11"/>
  <c r="K148" i="11"/>
  <c r="J148" i="11"/>
  <c r="I148" i="11"/>
  <c r="G148" i="11"/>
  <c r="F148" i="11"/>
  <c r="E148" i="11"/>
  <c r="D148" i="11"/>
  <c r="H148" i="11" s="1"/>
  <c r="L147" i="11"/>
  <c r="K147" i="11"/>
  <c r="J147" i="11"/>
  <c r="I147" i="11"/>
  <c r="G147" i="11"/>
  <c r="F147" i="11"/>
  <c r="E147" i="11"/>
  <c r="D147" i="11"/>
  <c r="H147" i="11" s="1"/>
  <c r="L146" i="11"/>
  <c r="K146" i="11"/>
  <c r="J146" i="11"/>
  <c r="I146" i="11"/>
  <c r="G146" i="11"/>
  <c r="F146" i="11"/>
  <c r="E146" i="11"/>
  <c r="D146" i="11"/>
  <c r="H146" i="11" s="1"/>
  <c r="L145" i="11"/>
  <c r="K145" i="11"/>
  <c r="J145" i="11"/>
  <c r="I145" i="11"/>
  <c r="G145" i="11"/>
  <c r="F145" i="11"/>
  <c r="E145" i="11"/>
  <c r="D145" i="11"/>
  <c r="H145" i="11" s="1"/>
  <c r="L144" i="11"/>
  <c r="K144" i="11"/>
  <c r="J144" i="11"/>
  <c r="I144" i="11"/>
  <c r="G144" i="11"/>
  <c r="F144" i="11"/>
  <c r="E144" i="11"/>
  <c r="D144" i="11"/>
  <c r="H144" i="11" s="1"/>
  <c r="L143" i="11"/>
  <c r="K143" i="11"/>
  <c r="J143" i="11"/>
  <c r="I143" i="11"/>
  <c r="G143" i="11"/>
  <c r="F143" i="11"/>
  <c r="E143" i="11"/>
  <c r="D143" i="11"/>
  <c r="H143" i="11" s="1"/>
  <c r="L142" i="11"/>
  <c r="K142" i="11"/>
  <c r="J142" i="11"/>
  <c r="I142" i="11"/>
  <c r="G142" i="11"/>
  <c r="F142" i="11"/>
  <c r="E142" i="11"/>
  <c r="D142" i="11"/>
  <c r="H142" i="11" s="1"/>
  <c r="L141" i="11"/>
  <c r="K141" i="11"/>
  <c r="J141" i="11"/>
  <c r="I141" i="11"/>
  <c r="G141" i="11"/>
  <c r="F141" i="11"/>
  <c r="E141" i="11"/>
  <c r="D141" i="11"/>
  <c r="H141" i="11" s="1"/>
  <c r="L140" i="11"/>
  <c r="K140" i="11"/>
  <c r="J140" i="11"/>
  <c r="I140" i="11"/>
  <c r="G140" i="11"/>
  <c r="F140" i="11"/>
  <c r="E140" i="11"/>
  <c r="D140" i="11"/>
  <c r="H140" i="11" s="1"/>
  <c r="L139" i="11"/>
  <c r="K139" i="11"/>
  <c r="J139" i="11"/>
  <c r="I139" i="11"/>
  <c r="G139" i="11"/>
  <c r="F139" i="11"/>
  <c r="E139" i="11"/>
  <c r="D139" i="11"/>
  <c r="H139" i="11" s="1"/>
  <c r="L138" i="11"/>
  <c r="K138" i="11"/>
  <c r="J138" i="11"/>
  <c r="I138" i="11"/>
  <c r="G138" i="11"/>
  <c r="F138" i="11"/>
  <c r="E138" i="11"/>
  <c r="D138" i="11"/>
  <c r="H138" i="11" s="1"/>
  <c r="L137" i="11"/>
  <c r="K137" i="11"/>
  <c r="J137" i="11"/>
  <c r="I137" i="11"/>
  <c r="G137" i="11"/>
  <c r="F137" i="11"/>
  <c r="E137" i="11"/>
  <c r="D137" i="11"/>
  <c r="H137" i="11" s="1"/>
  <c r="L136" i="11"/>
  <c r="K136" i="11"/>
  <c r="J136" i="11"/>
  <c r="I136" i="11"/>
  <c r="G136" i="11"/>
  <c r="F136" i="11"/>
  <c r="E136" i="11"/>
  <c r="D136" i="11"/>
  <c r="H136" i="11" s="1"/>
  <c r="L135" i="11"/>
  <c r="K135" i="11"/>
  <c r="J135" i="11"/>
  <c r="I135" i="11"/>
  <c r="G135" i="11"/>
  <c r="F135" i="11"/>
  <c r="E135" i="11"/>
  <c r="D135" i="11"/>
  <c r="H135" i="11" s="1"/>
  <c r="L134" i="11"/>
  <c r="K134" i="11"/>
  <c r="J134" i="11"/>
  <c r="I134" i="11"/>
  <c r="G134" i="11"/>
  <c r="F134" i="11"/>
  <c r="E134" i="11"/>
  <c r="D134" i="11"/>
  <c r="H134" i="11" s="1"/>
  <c r="L133" i="11"/>
  <c r="K133" i="11"/>
  <c r="J133" i="11"/>
  <c r="I133" i="11"/>
  <c r="G133" i="11"/>
  <c r="F133" i="11"/>
  <c r="E133" i="11"/>
  <c r="D133" i="11"/>
  <c r="H133" i="11" s="1"/>
  <c r="L132" i="11"/>
  <c r="K132" i="11"/>
  <c r="J132" i="11"/>
  <c r="I132" i="11"/>
  <c r="G132" i="11"/>
  <c r="F132" i="11"/>
  <c r="E132" i="11"/>
  <c r="D132" i="11"/>
  <c r="H132" i="11" s="1"/>
  <c r="L131" i="11"/>
  <c r="K131" i="11"/>
  <c r="J131" i="11"/>
  <c r="I131" i="11"/>
  <c r="G131" i="11"/>
  <c r="F131" i="11"/>
  <c r="E131" i="11"/>
  <c r="D131" i="11"/>
  <c r="H131" i="11" s="1"/>
  <c r="L130" i="11"/>
  <c r="K130" i="11"/>
  <c r="J130" i="11"/>
  <c r="I130" i="11"/>
  <c r="G130" i="11"/>
  <c r="F130" i="11"/>
  <c r="E130" i="11"/>
  <c r="D130" i="11"/>
  <c r="H130" i="11" s="1"/>
  <c r="L129" i="11"/>
  <c r="K129" i="11"/>
  <c r="J129" i="11"/>
  <c r="I129" i="11"/>
  <c r="G129" i="11"/>
  <c r="F129" i="11"/>
  <c r="E129" i="11"/>
  <c r="D129" i="11"/>
  <c r="H129" i="11" s="1"/>
  <c r="L128" i="11"/>
  <c r="K128" i="11"/>
  <c r="J128" i="11"/>
  <c r="I128" i="11"/>
  <c r="G128" i="11"/>
  <c r="F128" i="11"/>
  <c r="E128" i="11"/>
  <c r="D128" i="11"/>
  <c r="H128" i="11" s="1"/>
  <c r="L127" i="11"/>
  <c r="K127" i="11"/>
  <c r="J127" i="11"/>
  <c r="I127" i="11"/>
  <c r="G127" i="11"/>
  <c r="F127" i="11"/>
  <c r="E127" i="11"/>
  <c r="D127" i="11"/>
  <c r="H127" i="11" s="1"/>
  <c r="L126" i="11"/>
  <c r="K126" i="11"/>
  <c r="J126" i="11"/>
  <c r="I126" i="11"/>
  <c r="G126" i="11"/>
  <c r="F126" i="11"/>
  <c r="E126" i="11"/>
  <c r="D126" i="11"/>
  <c r="H126" i="11" s="1"/>
  <c r="L125" i="11"/>
  <c r="K125" i="11"/>
  <c r="J125" i="11"/>
  <c r="I125" i="11"/>
  <c r="G125" i="11"/>
  <c r="F125" i="11"/>
  <c r="E125" i="11"/>
  <c r="D125" i="11"/>
  <c r="H125" i="11" s="1"/>
  <c r="L124" i="11"/>
  <c r="K124" i="11"/>
  <c r="J124" i="11"/>
  <c r="I124" i="11"/>
  <c r="G124" i="11"/>
  <c r="F124" i="11"/>
  <c r="E124" i="11"/>
  <c r="D124" i="11"/>
  <c r="H124" i="11" s="1"/>
  <c r="L123" i="11"/>
  <c r="K123" i="11"/>
  <c r="J123" i="11"/>
  <c r="I123" i="11"/>
  <c r="G123" i="11"/>
  <c r="F123" i="11"/>
  <c r="E123" i="11"/>
  <c r="D123" i="11"/>
  <c r="H123" i="11" s="1"/>
  <c r="L122" i="11"/>
  <c r="K122" i="11"/>
  <c r="J122" i="11"/>
  <c r="I122" i="11"/>
  <c r="G122" i="11"/>
  <c r="F122" i="11"/>
  <c r="E122" i="11"/>
  <c r="D122" i="11"/>
  <c r="H122" i="11" s="1"/>
  <c r="L121" i="11"/>
  <c r="K121" i="11"/>
  <c r="J121" i="11"/>
  <c r="I121" i="11"/>
  <c r="G121" i="11"/>
  <c r="F121" i="11"/>
  <c r="E121" i="11"/>
  <c r="D121" i="11"/>
  <c r="H121" i="11" s="1"/>
  <c r="L120" i="11"/>
  <c r="K120" i="11"/>
  <c r="J120" i="11"/>
  <c r="I120" i="11"/>
  <c r="G120" i="11"/>
  <c r="F120" i="11"/>
  <c r="E120" i="11"/>
  <c r="D120" i="11"/>
  <c r="H120" i="11" s="1"/>
  <c r="L119" i="11"/>
  <c r="K119" i="11"/>
  <c r="J119" i="11"/>
  <c r="I119" i="11"/>
  <c r="G119" i="11"/>
  <c r="F119" i="11"/>
  <c r="E119" i="11"/>
  <c r="D119" i="11"/>
  <c r="H119" i="11" s="1"/>
  <c r="L118" i="11"/>
  <c r="K118" i="11"/>
  <c r="J118" i="11"/>
  <c r="I118" i="11"/>
  <c r="G118" i="11"/>
  <c r="F118" i="11"/>
  <c r="E118" i="11"/>
  <c r="D118" i="11"/>
  <c r="H118" i="11" s="1"/>
  <c r="L117" i="11"/>
  <c r="K117" i="11"/>
  <c r="J117" i="11"/>
  <c r="I117" i="11"/>
  <c r="G117" i="11"/>
  <c r="F117" i="11"/>
  <c r="E117" i="11"/>
  <c r="D117" i="11"/>
  <c r="H117" i="11" s="1"/>
  <c r="L116" i="11"/>
  <c r="K116" i="11"/>
  <c r="J116" i="11"/>
  <c r="I116" i="11"/>
  <c r="G116" i="11"/>
  <c r="F116" i="11"/>
  <c r="E116" i="11"/>
  <c r="D116" i="11"/>
  <c r="H116" i="11" s="1"/>
  <c r="L115" i="11"/>
  <c r="K115" i="11"/>
  <c r="J115" i="11"/>
  <c r="I115" i="11"/>
  <c r="G115" i="11"/>
  <c r="F115" i="11"/>
  <c r="E115" i="11"/>
  <c r="D115" i="11"/>
  <c r="H115" i="11" s="1"/>
  <c r="L114" i="11"/>
  <c r="K114" i="11"/>
  <c r="J114" i="11"/>
  <c r="I114" i="11"/>
  <c r="G114" i="11"/>
  <c r="F114" i="11"/>
  <c r="E114" i="11"/>
  <c r="D114" i="11"/>
  <c r="H114" i="11" s="1"/>
  <c r="L113" i="11"/>
  <c r="K113" i="11"/>
  <c r="J113" i="11"/>
  <c r="I113" i="11"/>
  <c r="G113" i="11"/>
  <c r="F113" i="11"/>
  <c r="E113" i="11"/>
  <c r="D113" i="11"/>
  <c r="H113" i="11" s="1"/>
  <c r="L112" i="11"/>
  <c r="K112" i="11"/>
  <c r="J112" i="11"/>
  <c r="I112" i="11"/>
  <c r="G112" i="11"/>
  <c r="F112" i="11"/>
  <c r="E112" i="11"/>
  <c r="D112" i="11"/>
  <c r="H112" i="11" s="1"/>
  <c r="L111" i="11"/>
  <c r="K111" i="11"/>
  <c r="J111" i="11"/>
  <c r="I111" i="11"/>
  <c r="G111" i="11"/>
  <c r="F111" i="11"/>
  <c r="E111" i="11"/>
  <c r="D111" i="11"/>
  <c r="H111" i="11" s="1"/>
  <c r="L110" i="11"/>
  <c r="K110" i="11"/>
  <c r="J110" i="11"/>
  <c r="I110" i="11"/>
  <c r="G110" i="11"/>
  <c r="F110" i="11"/>
  <c r="E110" i="11"/>
  <c r="D110" i="11"/>
  <c r="H110" i="11" s="1"/>
  <c r="L109" i="11"/>
  <c r="K109" i="11"/>
  <c r="J109" i="11"/>
  <c r="I109" i="11"/>
  <c r="G109" i="11"/>
  <c r="F109" i="11"/>
  <c r="E109" i="11"/>
  <c r="D109" i="11"/>
  <c r="H109" i="11" s="1"/>
  <c r="L108" i="11"/>
  <c r="K108" i="11"/>
  <c r="J108" i="11"/>
  <c r="I108" i="11"/>
  <c r="G108" i="11"/>
  <c r="F108" i="11"/>
  <c r="E108" i="11"/>
  <c r="D108" i="11"/>
  <c r="H108" i="11" s="1"/>
  <c r="L107" i="11"/>
  <c r="K107" i="11"/>
  <c r="J107" i="11"/>
  <c r="I107" i="11"/>
  <c r="G107" i="11"/>
  <c r="F107" i="11"/>
  <c r="E107" i="11"/>
  <c r="D107" i="11"/>
  <c r="H107" i="11" s="1"/>
  <c r="L106" i="11"/>
  <c r="K106" i="11"/>
  <c r="J106" i="11"/>
  <c r="I106" i="11"/>
  <c r="G106" i="11"/>
  <c r="F106" i="11"/>
  <c r="E106" i="11"/>
  <c r="D106" i="11"/>
  <c r="H106" i="11" s="1"/>
  <c r="L105" i="11"/>
  <c r="K105" i="11"/>
  <c r="J105" i="11"/>
  <c r="I105" i="11"/>
  <c r="G105" i="11"/>
  <c r="F105" i="11"/>
  <c r="E105" i="11"/>
  <c r="D105" i="11"/>
  <c r="H105" i="11" s="1"/>
  <c r="L104" i="11"/>
  <c r="K104" i="11"/>
  <c r="J104" i="11"/>
  <c r="I104" i="11"/>
  <c r="G104" i="11"/>
  <c r="F104" i="11"/>
  <c r="E104" i="11"/>
  <c r="D104" i="11"/>
  <c r="H104" i="11" s="1"/>
  <c r="L103" i="11"/>
  <c r="K103" i="11"/>
  <c r="J103" i="11"/>
  <c r="I103" i="11"/>
  <c r="G103" i="11"/>
  <c r="F103" i="11"/>
  <c r="E103" i="11"/>
  <c r="D103" i="11"/>
  <c r="H103" i="11" s="1"/>
  <c r="L102" i="11"/>
  <c r="K102" i="11"/>
  <c r="J102" i="11"/>
  <c r="I102" i="11"/>
  <c r="G102" i="11"/>
  <c r="F102" i="11"/>
  <c r="E102" i="11"/>
  <c r="D102" i="11"/>
  <c r="H102" i="11" s="1"/>
  <c r="L101" i="11"/>
  <c r="K101" i="11"/>
  <c r="J101" i="11"/>
  <c r="I101" i="11"/>
  <c r="G101" i="11"/>
  <c r="F101" i="11"/>
  <c r="E101" i="11"/>
  <c r="D101" i="11"/>
  <c r="H101" i="11" s="1"/>
  <c r="L100" i="11"/>
  <c r="K100" i="11"/>
  <c r="J100" i="11"/>
  <c r="I100" i="11"/>
  <c r="G100" i="11"/>
  <c r="F100" i="11"/>
  <c r="E100" i="11"/>
  <c r="D100" i="11"/>
  <c r="H100" i="11" s="1"/>
  <c r="L99" i="11"/>
  <c r="K99" i="11"/>
  <c r="J99" i="11"/>
  <c r="I99" i="11"/>
  <c r="G99" i="11"/>
  <c r="F99" i="11"/>
  <c r="E99" i="11"/>
  <c r="D99" i="11"/>
  <c r="H99" i="11" s="1"/>
  <c r="L98" i="11"/>
  <c r="K98" i="11"/>
  <c r="J98" i="11"/>
  <c r="I98" i="11"/>
  <c r="G98" i="11"/>
  <c r="F98" i="11"/>
  <c r="E98" i="11"/>
  <c r="D98" i="11"/>
  <c r="H98" i="11" s="1"/>
  <c r="L97" i="11"/>
  <c r="K97" i="11"/>
  <c r="J97" i="11"/>
  <c r="I97" i="11"/>
  <c r="G97" i="11"/>
  <c r="F97" i="11"/>
  <c r="E97" i="11"/>
  <c r="D97" i="11"/>
  <c r="H97" i="11" s="1"/>
  <c r="L96" i="11"/>
  <c r="K96" i="11"/>
  <c r="J96" i="11"/>
  <c r="I96" i="11"/>
  <c r="G96" i="11"/>
  <c r="F96" i="11"/>
  <c r="E96" i="11"/>
  <c r="D96" i="11"/>
  <c r="H96" i="11" s="1"/>
  <c r="L95" i="11"/>
  <c r="K95" i="11"/>
  <c r="J95" i="11"/>
  <c r="I95" i="11"/>
  <c r="G95" i="11"/>
  <c r="F95" i="11"/>
  <c r="E95" i="11"/>
  <c r="D95" i="11"/>
  <c r="H95" i="11" s="1"/>
  <c r="L94" i="11"/>
  <c r="K94" i="11"/>
  <c r="J94" i="11"/>
  <c r="I94" i="11"/>
  <c r="G94" i="11"/>
  <c r="F94" i="11"/>
  <c r="E94" i="11"/>
  <c r="D94" i="11"/>
  <c r="H94" i="11" s="1"/>
  <c r="L93" i="11"/>
  <c r="K93" i="11"/>
  <c r="J93" i="11"/>
  <c r="I93" i="11"/>
  <c r="G93" i="11"/>
  <c r="F93" i="11"/>
  <c r="E93" i="11"/>
  <c r="D93" i="11"/>
  <c r="H93" i="11" s="1"/>
  <c r="L92" i="11"/>
  <c r="K92" i="11"/>
  <c r="J92" i="11"/>
  <c r="I92" i="11"/>
  <c r="G92" i="11"/>
  <c r="F92" i="11"/>
  <c r="E92" i="11"/>
  <c r="D92" i="11"/>
  <c r="H92" i="11" s="1"/>
  <c r="L91" i="11"/>
  <c r="K91" i="11"/>
  <c r="J91" i="11"/>
  <c r="I91" i="11"/>
  <c r="G91" i="11"/>
  <c r="F91" i="11"/>
  <c r="E91" i="11"/>
  <c r="D91" i="11"/>
  <c r="H91" i="11" s="1"/>
  <c r="L90" i="11"/>
  <c r="K90" i="11"/>
  <c r="J90" i="11"/>
  <c r="I90" i="11"/>
  <c r="G90" i="11"/>
  <c r="F90" i="11"/>
  <c r="E90" i="11"/>
  <c r="D90" i="11"/>
  <c r="H90" i="11" s="1"/>
  <c r="L89" i="11"/>
  <c r="K89" i="11"/>
  <c r="J89" i="11"/>
  <c r="I89" i="11"/>
  <c r="G89" i="11"/>
  <c r="F89" i="11"/>
  <c r="E89" i="11"/>
  <c r="D89" i="11"/>
  <c r="H89" i="11" s="1"/>
  <c r="L88" i="11"/>
  <c r="K88" i="11"/>
  <c r="J88" i="11"/>
  <c r="I88" i="11"/>
  <c r="G88" i="11"/>
  <c r="F88" i="11"/>
  <c r="E88" i="11"/>
  <c r="D88" i="11"/>
  <c r="H88" i="11" s="1"/>
  <c r="L87" i="11"/>
  <c r="K87" i="11"/>
  <c r="J87" i="11"/>
  <c r="I87" i="11"/>
  <c r="G87" i="11"/>
  <c r="F87" i="11"/>
  <c r="E87" i="11"/>
  <c r="D87" i="11"/>
  <c r="H87" i="11" s="1"/>
  <c r="L86" i="11"/>
  <c r="K86" i="11"/>
  <c r="J86" i="11"/>
  <c r="I86" i="11"/>
  <c r="G86" i="11"/>
  <c r="F86" i="11"/>
  <c r="E86" i="11"/>
  <c r="D86" i="11"/>
  <c r="H86" i="11" s="1"/>
  <c r="L85" i="11"/>
  <c r="K85" i="11"/>
  <c r="J85" i="11"/>
  <c r="I85" i="11"/>
  <c r="G85" i="11"/>
  <c r="F85" i="11"/>
  <c r="E85" i="11"/>
  <c r="D85" i="11"/>
  <c r="H85" i="11" s="1"/>
  <c r="L84" i="11"/>
  <c r="K84" i="11"/>
  <c r="J84" i="11"/>
  <c r="I84" i="11"/>
  <c r="G84" i="11"/>
  <c r="F84" i="11"/>
  <c r="E84" i="11"/>
  <c r="D84" i="11"/>
  <c r="H84" i="11" s="1"/>
  <c r="L83" i="11"/>
  <c r="K83" i="11"/>
  <c r="J83" i="11"/>
  <c r="I83" i="11"/>
  <c r="G83" i="11"/>
  <c r="F83" i="11"/>
  <c r="E83" i="11"/>
  <c r="D83" i="11"/>
  <c r="H83" i="11" s="1"/>
  <c r="L82" i="11"/>
  <c r="K82" i="11"/>
  <c r="J82" i="11"/>
  <c r="I82" i="11"/>
  <c r="G82" i="11"/>
  <c r="F82" i="11"/>
  <c r="E82" i="11"/>
  <c r="D82" i="11"/>
  <c r="H82" i="11" s="1"/>
  <c r="L81" i="11"/>
  <c r="K81" i="11"/>
  <c r="J81" i="11"/>
  <c r="I81" i="11"/>
  <c r="G81" i="11"/>
  <c r="F81" i="11"/>
  <c r="E81" i="11"/>
  <c r="D81" i="11"/>
  <c r="H81" i="11" s="1"/>
  <c r="L80" i="11"/>
  <c r="K80" i="11"/>
  <c r="J80" i="11"/>
  <c r="I80" i="11"/>
  <c r="G80" i="11"/>
  <c r="F80" i="11"/>
  <c r="E80" i="11"/>
  <c r="D80" i="11"/>
  <c r="H80" i="11" s="1"/>
  <c r="L79" i="11"/>
  <c r="K79" i="11"/>
  <c r="J79" i="11"/>
  <c r="I79" i="11"/>
  <c r="G79" i="11"/>
  <c r="F79" i="11"/>
  <c r="E79" i="11"/>
  <c r="D79" i="11"/>
  <c r="H79" i="11" s="1"/>
  <c r="L78" i="11"/>
  <c r="K78" i="11"/>
  <c r="J78" i="11"/>
  <c r="I78" i="11"/>
  <c r="G78" i="11"/>
  <c r="F78" i="11"/>
  <c r="E78" i="11"/>
  <c r="D78" i="11"/>
  <c r="H78" i="11" s="1"/>
  <c r="L77" i="11"/>
  <c r="K77" i="11"/>
  <c r="J77" i="11"/>
  <c r="I77" i="11"/>
  <c r="G77" i="11"/>
  <c r="F77" i="11"/>
  <c r="E77" i="11"/>
  <c r="D77" i="11"/>
  <c r="H77" i="11" s="1"/>
  <c r="L76" i="11"/>
  <c r="K76" i="11"/>
  <c r="J76" i="11"/>
  <c r="I76" i="11"/>
  <c r="G76" i="11"/>
  <c r="F76" i="11"/>
  <c r="E76" i="11"/>
  <c r="D76" i="11"/>
  <c r="H76" i="11" s="1"/>
  <c r="L75" i="11"/>
  <c r="K75" i="11"/>
  <c r="J75" i="11"/>
  <c r="I75" i="11"/>
  <c r="G75" i="11"/>
  <c r="F75" i="11"/>
  <c r="E75" i="11"/>
  <c r="D75" i="11"/>
  <c r="H75" i="11" s="1"/>
  <c r="L74" i="11"/>
  <c r="K74" i="11"/>
  <c r="J74" i="11"/>
  <c r="I74" i="11"/>
  <c r="G74" i="11"/>
  <c r="F74" i="11"/>
  <c r="E74" i="11"/>
  <c r="D74" i="11"/>
  <c r="H74" i="11" s="1"/>
  <c r="L73" i="11"/>
  <c r="K73" i="11"/>
  <c r="J73" i="11"/>
  <c r="I73" i="11"/>
  <c r="G73" i="11"/>
  <c r="F73" i="11"/>
  <c r="E73" i="11"/>
  <c r="D73" i="11"/>
  <c r="H73" i="11" s="1"/>
  <c r="L72" i="11"/>
  <c r="K72" i="11"/>
  <c r="J72" i="11"/>
  <c r="I72" i="11"/>
  <c r="G72" i="11"/>
  <c r="F72" i="11"/>
  <c r="E72" i="11"/>
  <c r="D72" i="11"/>
  <c r="H72" i="11" s="1"/>
  <c r="L71" i="11"/>
  <c r="K71" i="11"/>
  <c r="J71" i="11"/>
  <c r="I71" i="11"/>
  <c r="G71" i="11"/>
  <c r="F71" i="11"/>
  <c r="E71" i="11"/>
  <c r="D71" i="11"/>
  <c r="H71" i="11" s="1"/>
  <c r="L70" i="11"/>
  <c r="K70" i="11"/>
  <c r="J70" i="11"/>
  <c r="I70" i="11"/>
  <c r="G70" i="11"/>
  <c r="F70" i="11"/>
  <c r="E70" i="11"/>
  <c r="D70" i="11"/>
  <c r="H70" i="11" s="1"/>
  <c r="L69" i="11"/>
  <c r="K69" i="11"/>
  <c r="J69" i="11"/>
  <c r="I69" i="11"/>
  <c r="G69" i="11"/>
  <c r="F69" i="11"/>
  <c r="E69" i="11"/>
  <c r="D69" i="11"/>
  <c r="H69" i="11" s="1"/>
  <c r="L68" i="11"/>
  <c r="K68" i="11"/>
  <c r="J68" i="11"/>
  <c r="I68" i="11"/>
  <c r="G68" i="11"/>
  <c r="F68" i="11"/>
  <c r="E68" i="11"/>
  <c r="D68" i="11"/>
  <c r="H68" i="11" s="1"/>
  <c r="L67" i="11"/>
  <c r="K67" i="11"/>
  <c r="J67" i="11"/>
  <c r="I67" i="11"/>
  <c r="G67" i="11"/>
  <c r="F67" i="11"/>
  <c r="E67" i="11"/>
  <c r="D67" i="11"/>
  <c r="H67" i="11" s="1"/>
  <c r="L66" i="11"/>
  <c r="K66" i="11"/>
  <c r="J66" i="11"/>
  <c r="I66" i="11"/>
  <c r="G66" i="11"/>
  <c r="F66" i="11"/>
  <c r="E66" i="11"/>
  <c r="D66" i="11"/>
  <c r="H66" i="11" s="1"/>
  <c r="L65" i="11"/>
  <c r="K65" i="11"/>
  <c r="J65" i="11"/>
  <c r="I65" i="11"/>
  <c r="G65" i="11"/>
  <c r="F65" i="11"/>
  <c r="E65" i="11"/>
  <c r="D65" i="11"/>
  <c r="H65" i="11" s="1"/>
  <c r="L64" i="11"/>
  <c r="K64" i="11"/>
  <c r="J64" i="11"/>
  <c r="I64" i="11"/>
  <c r="G64" i="11"/>
  <c r="F64" i="11"/>
  <c r="E64" i="11"/>
  <c r="D64" i="11"/>
  <c r="H64" i="11" s="1"/>
  <c r="L63" i="11"/>
  <c r="K63" i="11"/>
  <c r="J63" i="11"/>
  <c r="I63" i="11"/>
  <c r="G63" i="11"/>
  <c r="F63" i="11"/>
  <c r="E63" i="11"/>
  <c r="D63" i="11"/>
  <c r="H63" i="11" s="1"/>
  <c r="L62" i="11"/>
  <c r="K62" i="11"/>
  <c r="J62" i="11"/>
  <c r="I62" i="11"/>
  <c r="G62" i="11"/>
  <c r="F62" i="11"/>
  <c r="E62" i="11"/>
  <c r="D62" i="11"/>
  <c r="H62" i="11" s="1"/>
  <c r="L61" i="11"/>
  <c r="K61" i="11"/>
  <c r="J61" i="11"/>
  <c r="I61" i="11"/>
  <c r="G61" i="11"/>
  <c r="F61" i="11"/>
  <c r="E61" i="11"/>
  <c r="D61" i="11"/>
  <c r="H61" i="11" s="1"/>
  <c r="L60" i="11"/>
  <c r="K60" i="11"/>
  <c r="J60" i="11"/>
  <c r="I60" i="11"/>
  <c r="G60" i="11"/>
  <c r="F60" i="11"/>
  <c r="E60" i="11"/>
  <c r="D60" i="11"/>
  <c r="H60" i="11" s="1"/>
  <c r="L59" i="11"/>
  <c r="K59" i="11"/>
  <c r="J59" i="11"/>
  <c r="I59" i="11"/>
  <c r="G59" i="11"/>
  <c r="F59" i="11"/>
  <c r="E59" i="11"/>
  <c r="D59" i="11"/>
  <c r="H59" i="11" s="1"/>
  <c r="L58" i="11"/>
  <c r="K58" i="11"/>
  <c r="J58" i="11"/>
  <c r="I58" i="11"/>
  <c r="G58" i="11"/>
  <c r="F58" i="11"/>
  <c r="E58" i="11"/>
  <c r="D58" i="11"/>
  <c r="H58" i="11" s="1"/>
  <c r="L57" i="11"/>
  <c r="K57" i="11"/>
  <c r="J57" i="11"/>
  <c r="I57" i="11"/>
  <c r="G57" i="11"/>
  <c r="F57" i="11"/>
  <c r="E57" i="11"/>
  <c r="D57" i="11"/>
  <c r="H57" i="11" s="1"/>
  <c r="B57" i="11"/>
  <c r="L56" i="11"/>
  <c r="K56" i="11"/>
  <c r="J56" i="11"/>
  <c r="I56" i="11"/>
  <c r="G56" i="11"/>
  <c r="F56" i="11"/>
  <c r="E56" i="11"/>
  <c r="D56" i="11"/>
  <c r="H56" i="11" s="1"/>
  <c r="B56" i="11"/>
  <c r="B109" i="12" s="1"/>
  <c r="L55" i="11"/>
  <c r="K55" i="11"/>
  <c r="J55" i="11"/>
  <c r="I55" i="11"/>
  <c r="G55" i="11"/>
  <c r="F55" i="11"/>
  <c r="E55" i="11"/>
  <c r="D55" i="11"/>
  <c r="H55" i="11" s="1"/>
  <c r="B55" i="11"/>
  <c r="L54" i="11"/>
  <c r="K54" i="11"/>
  <c r="J54" i="11"/>
  <c r="I54" i="11"/>
  <c r="G54" i="11"/>
  <c r="F54" i="11"/>
  <c r="E54" i="11"/>
  <c r="D54" i="11"/>
  <c r="H54" i="11" s="1"/>
  <c r="B54" i="11"/>
  <c r="L53" i="11"/>
  <c r="K53" i="11"/>
  <c r="J53" i="11"/>
  <c r="I53" i="11"/>
  <c r="G53" i="11"/>
  <c r="F53" i="11"/>
  <c r="E53" i="11"/>
  <c r="D53" i="11"/>
  <c r="H53" i="11" s="1"/>
  <c r="B53" i="11"/>
  <c r="L52" i="11"/>
  <c r="K52" i="11"/>
  <c r="J52" i="11"/>
  <c r="I52" i="11"/>
  <c r="G52" i="11"/>
  <c r="F52" i="11"/>
  <c r="E52" i="11"/>
  <c r="D52" i="11"/>
  <c r="H52" i="11" s="1"/>
  <c r="L51" i="11"/>
  <c r="K51" i="11"/>
  <c r="J51" i="11"/>
  <c r="I51" i="11"/>
  <c r="G51" i="11"/>
  <c r="F51" i="11"/>
  <c r="E51" i="11"/>
  <c r="D51" i="11"/>
  <c r="H51" i="11" s="1"/>
  <c r="L50" i="11"/>
  <c r="K50" i="11"/>
  <c r="J50" i="11"/>
  <c r="I50" i="11"/>
  <c r="G50" i="11"/>
  <c r="F50" i="11"/>
  <c r="E50" i="11"/>
  <c r="D50" i="11"/>
  <c r="H50" i="11" s="1"/>
  <c r="L49" i="11"/>
  <c r="K49" i="11"/>
  <c r="J49" i="11"/>
  <c r="I49" i="11"/>
  <c r="G49" i="11"/>
  <c r="F49" i="11"/>
  <c r="E49" i="11"/>
  <c r="D49" i="11"/>
  <c r="H49" i="11" s="1"/>
  <c r="B49" i="11"/>
  <c r="B142" i="12" s="1"/>
  <c r="L48" i="11"/>
  <c r="K48" i="11"/>
  <c r="J48" i="11"/>
  <c r="I48" i="11"/>
  <c r="G48" i="11"/>
  <c r="F48" i="11"/>
  <c r="E48" i="11"/>
  <c r="D48" i="11"/>
  <c r="H48" i="11" s="1"/>
  <c r="L47" i="11"/>
  <c r="K47" i="11"/>
  <c r="J47" i="11"/>
  <c r="I47" i="11"/>
  <c r="G47" i="11"/>
  <c r="F47" i="11"/>
  <c r="E47" i="11"/>
  <c r="D47" i="11"/>
  <c r="H47" i="11" s="1"/>
  <c r="L46" i="11"/>
  <c r="K46" i="11"/>
  <c r="J46" i="11"/>
  <c r="I46" i="11"/>
  <c r="G46" i="11"/>
  <c r="F46" i="11"/>
  <c r="E46" i="11"/>
  <c r="D46" i="11"/>
  <c r="H46" i="11" s="1"/>
  <c r="L45" i="11"/>
  <c r="K45" i="11"/>
  <c r="J45" i="11"/>
  <c r="I45" i="11"/>
  <c r="G45" i="11"/>
  <c r="F45" i="11"/>
  <c r="E45" i="11"/>
  <c r="D45" i="11"/>
  <c r="H45" i="11" s="1"/>
  <c r="B46" i="11"/>
  <c r="B45" i="11"/>
  <c r="B79" i="12" s="1"/>
  <c r="L44" i="11"/>
  <c r="K44" i="11"/>
  <c r="J44" i="11"/>
  <c r="I44" i="11"/>
  <c r="G44" i="11"/>
  <c r="F44" i="11"/>
  <c r="E44" i="11"/>
  <c r="D44" i="11"/>
  <c r="H44" i="11" s="1"/>
  <c r="L43" i="11"/>
  <c r="K43" i="11"/>
  <c r="J43" i="11"/>
  <c r="I43" i="11"/>
  <c r="G43" i="11"/>
  <c r="F43" i="11"/>
  <c r="E43" i="11"/>
  <c r="D43" i="11"/>
  <c r="H43" i="11" s="1"/>
  <c r="B43" i="11"/>
  <c r="B76" i="12" s="1"/>
  <c r="L42" i="11"/>
  <c r="K42" i="11"/>
  <c r="J42" i="11"/>
  <c r="I42" i="11"/>
  <c r="G42" i="11"/>
  <c r="F42" i="11"/>
  <c r="E42" i="11"/>
  <c r="D42" i="11"/>
  <c r="H42" i="11" s="1"/>
  <c r="B42" i="11"/>
  <c r="L41" i="11"/>
  <c r="K41" i="11"/>
  <c r="J41" i="11"/>
  <c r="I41" i="11"/>
  <c r="G41" i="11"/>
  <c r="F41" i="11"/>
  <c r="E41" i="11"/>
  <c r="D41" i="11"/>
  <c r="H41" i="11" s="1"/>
  <c r="B41" i="11"/>
  <c r="B74" i="12" s="1"/>
  <c r="L40" i="11"/>
  <c r="K40" i="11"/>
  <c r="J40" i="11"/>
  <c r="I40" i="11"/>
  <c r="G40" i="11"/>
  <c r="F40" i="11"/>
  <c r="E40" i="11"/>
  <c r="D40" i="11"/>
  <c r="H40" i="11" s="1"/>
  <c r="L39" i="11"/>
  <c r="K39" i="11"/>
  <c r="J39" i="11"/>
  <c r="I39" i="11"/>
  <c r="G39" i="11"/>
  <c r="F39" i="11"/>
  <c r="E39" i="11"/>
  <c r="D39" i="11"/>
  <c r="H39" i="11" s="1"/>
  <c r="L38" i="11"/>
  <c r="K38" i="11"/>
  <c r="J38" i="11"/>
  <c r="I38" i="11"/>
  <c r="G38" i="11"/>
  <c r="F38" i="11"/>
  <c r="E38" i="11"/>
  <c r="D38" i="11"/>
  <c r="H38" i="11" s="1"/>
  <c r="B38" i="11"/>
  <c r="B58" i="12" s="1"/>
  <c r="L37" i="11"/>
  <c r="K37" i="11"/>
  <c r="J37" i="11"/>
  <c r="I37" i="11"/>
  <c r="G37" i="11"/>
  <c r="F37" i="11"/>
  <c r="E37" i="11"/>
  <c r="D37" i="11"/>
  <c r="H37" i="11" s="1"/>
  <c r="L36" i="11"/>
  <c r="K36" i="11"/>
  <c r="J36" i="11"/>
  <c r="I36" i="11"/>
  <c r="G36" i="11"/>
  <c r="F36" i="11"/>
  <c r="E36" i="11"/>
  <c r="D36" i="11"/>
  <c r="H36" i="11" s="1"/>
  <c r="B36" i="11"/>
  <c r="B56" i="12" s="1"/>
  <c r="L35" i="11"/>
  <c r="K35" i="11"/>
  <c r="J35" i="11"/>
  <c r="I35" i="11"/>
  <c r="G35" i="11"/>
  <c r="F35" i="11"/>
  <c r="E35" i="11"/>
  <c r="D35" i="11"/>
  <c r="H35" i="11" s="1"/>
  <c r="B35" i="11"/>
  <c r="B50" i="11" s="1"/>
  <c r="B143" i="12" s="1"/>
  <c r="L34" i="11"/>
  <c r="K34" i="11"/>
  <c r="J34" i="11"/>
  <c r="I34" i="11"/>
  <c r="G34" i="11"/>
  <c r="F34" i="11"/>
  <c r="E34" i="11"/>
  <c r="D34" i="11"/>
  <c r="H34" i="11" s="1"/>
  <c r="B34" i="11"/>
  <c r="B54" i="12" s="1"/>
  <c r="L33" i="11"/>
  <c r="K33" i="11"/>
  <c r="J33" i="11"/>
  <c r="I33" i="11"/>
  <c r="G33" i="11"/>
  <c r="F33" i="11"/>
  <c r="E33" i="11"/>
  <c r="D33" i="11"/>
  <c r="H33" i="11" s="1"/>
  <c r="L32" i="11"/>
  <c r="K32" i="11"/>
  <c r="J32" i="11"/>
  <c r="I32" i="11"/>
  <c r="G32" i="11"/>
  <c r="F32" i="11"/>
  <c r="E32" i="11"/>
  <c r="D32" i="11"/>
  <c r="H32" i="11" s="1"/>
  <c r="L31" i="11"/>
  <c r="K31" i="11"/>
  <c r="J31" i="11"/>
  <c r="I31" i="11"/>
  <c r="G31" i="11"/>
  <c r="F31" i="11"/>
  <c r="E31" i="11"/>
  <c r="D31" i="11"/>
  <c r="H31" i="11" s="1"/>
  <c r="L30" i="11"/>
  <c r="K30" i="11"/>
  <c r="J30" i="11"/>
  <c r="I30" i="11"/>
  <c r="G30" i="11"/>
  <c r="F30" i="11"/>
  <c r="E30" i="11"/>
  <c r="D30" i="11"/>
  <c r="H30" i="11" s="1"/>
  <c r="L29" i="11"/>
  <c r="K29" i="11"/>
  <c r="J29" i="11"/>
  <c r="I29" i="11"/>
  <c r="G29" i="11"/>
  <c r="F29" i="11"/>
  <c r="E29" i="11"/>
  <c r="D29" i="11"/>
  <c r="H29" i="11" s="1"/>
  <c r="L28" i="11"/>
  <c r="K28" i="11"/>
  <c r="J28" i="11"/>
  <c r="I28" i="11"/>
  <c r="G28" i="11"/>
  <c r="F28" i="11"/>
  <c r="E28" i="11"/>
  <c r="D28" i="11"/>
  <c r="H28" i="11" s="1"/>
  <c r="L27" i="11"/>
  <c r="K27" i="11"/>
  <c r="J27" i="11"/>
  <c r="I27" i="11"/>
  <c r="G27" i="11"/>
  <c r="F27" i="11"/>
  <c r="E27" i="11"/>
  <c r="D27" i="11"/>
  <c r="H27" i="11" s="1"/>
  <c r="L26" i="11"/>
  <c r="K26" i="11"/>
  <c r="J26" i="11"/>
  <c r="I26" i="11"/>
  <c r="G26" i="11"/>
  <c r="F26" i="11"/>
  <c r="E26" i="11"/>
  <c r="D26" i="11"/>
  <c r="H26" i="11" s="1"/>
  <c r="L25" i="11"/>
  <c r="K25" i="11"/>
  <c r="J25" i="11"/>
  <c r="I25" i="11"/>
  <c r="G25" i="11"/>
  <c r="F25" i="11"/>
  <c r="E25" i="11"/>
  <c r="D25" i="11"/>
  <c r="H25" i="11" s="1"/>
  <c r="B25" i="11"/>
  <c r="L24" i="11"/>
  <c r="K24" i="11"/>
  <c r="J24" i="11"/>
  <c r="I24" i="11"/>
  <c r="G24" i="11"/>
  <c r="F24" i="11"/>
  <c r="E24" i="11"/>
  <c r="D24" i="11"/>
  <c r="H24" i="11" s="1"/>
  <c r="B24" i="11"/>
  <c r="D14" i="12" s="1"/>
  <c r="L23" i="11"/>
  <c r="K23" i="11"/>
  <c r="J23" i="11"/>
  <c r="I23" i="11"/>
  <c r="G23" i="11"/>
  <c r="F23" i="11"/>
  <c r="E23" i="11"/>
  <c r="D23" i="11"/>
  <c r="H23" i="11" s="1"/>
  <c r="B23" i="11"/>
  <c r="B48" i="12" s="1"/>
  <c r="L22" i="11"/>
  <c r="K22" i="11"/>
  <c r="J22" i="11"/>
  <c r="I22" i="11"/>
  <c r="G22" i="11"/>
  <c r="F22" i="11"/>
  <c r="E22" i="11"/>
  <c r="D22" i="11"/>
  <c r="H22" i="11" s="1"/>
  <c r="B22" i="11"/>
  <c r="B14" i="12" s="1"/>
  <c r="L21" i="11"/>
  <c r="K21" i="11"/>
  <c r="J21" i="11"/>
  <c r="I21" i="11"/>
  <c r="G21" i="11"/>
  <c r="F21" i="11"/>
  <c r="E21" i="11"/>
  <c r="D21" i="11"/>
  <c r="H21" i="11" s="1"/>
  <c r="L20" i="11"/>
  <c r="K20" i="11"/>
  <c r="J20" i="11"/>
  <c r="I20" i="11"/>
  <c r="G20" i="11"/>
  <c r="F20" i="11"/>
  <c r="E20" i="11"/>
  <c r="D20" i="11"/>
  <c r="H20" i="11" s="1"/>
  <c r="L19" i="11"/>
  <c r="K19" i="11"/>
  <c r="J19" i="11"/>
  <c r="I19" i="11"/>
  <c r="G19" i="11"/>
  <c r="F19" i="11"/>
  <c r="E19" i="11"/>
  <c r="D19" i="11"/>
  <c r="H19" i="11" s="1"/>
  <c r="B19" i="11"/>
  <c r="L18" i="11"/>
  <c r="K18" i="11"/>
  <c r="J18" i="11"/>
  <c r="I18" i="11"/>
  <c r="G18" i="11"/>
  <c r="F18" i="11"/>
  <c r="E18" i="11"/>
  <c r="D18" i="11"/>
  <c r="H18" i="11" s="1"/>
  <c r="B18" i="11"/>
  <c r="L17" i="11"/>
  <c r="K17" i="11"/>
  <c r="J17" i="11"/>
  <c r="I17" i="11"/>
  <c r="G17" i="11"/>
  <c r="F17" i="11"/>
  <c r="E17" i="11"/>
  <c r="D17" i="11"/>
  <c r="H17" i="11" s="1"/>
  <c r="L16" i="11"/>
  <c r="K16" i="11"/>
  <c r="J16" i="11"/>
  <c r="I16" i="11"/>
  <c r="G16" i="11"/>
  <c r="F16" i="11"/>
  <c r="E16" i="11"/>
  <c r="D16" i="11"/>
  <c r="H16" i="11" s="1"/>
  <c r="B16" i="11"/>
  <c r="B61" i="11" s="1"/>
  <c r="L15" i="11"/>
  <c r="K15" i="11"/>
  <c r="J15" i="11"/>
  <c r="I15" i="11"/>
  <c r="G15" i="11"/>
  <c r="F15" i="11"/>
  <c r="E15" i="11"/>
  <c r="D15" i="11"/>
  <c r="H15" i="11" s="1"/>
  <c r="B15" i="11"/>
  <c r="B10" i="12" s="1"/>
  <c r="B117" i="12" s="1"/>
  <c r="L14" i="11"/>
  <c r="K14" i="11"/>
  <c r="J14" i="11"/>
  <c r="I14" i="11"/>
  <c r="G14" i="11"/>
  <c r="F14" i="11"/>
  <c r="E14" i="11"/>
  <c r="D14" i="11"/>
  <c r="H14" i="11" s="1"/>
  <c r="B14" i="11"/>
  <c r="B9" i="12" s="1"/>
  <c r="B115" i="12" s="1"/>
  <c r="L13" i="11"/>
  <c r="K13" i="11"/>
  <c r="J13" i="11"/>
  <c r="I13" i="11"/>
  <c r="G13" i="11"/>
  <c r="F13" i="11"/>
  <c r="E13" i="11"/>
  <c r="D13" i="11"/>
  <c r="H13" i="11" s="1"/>
  <c r="B13" i="11"/>
  <c r="B8" i="12" s="1"/>
  <c r="B116" i="12" s="1"/>
  <c r="L12" i="11"/>
  <c r="K12" i="11"/>
  <c r="J12" i="11"/>
  <c r="I12" i="11"/>
  <c r="G12" i="11"/>
  <c r="F12" i="11"/>
  <c r="E12" i="11"/>
  <c r="D12" i="11"/>
  <c r="H12" i="11" s="1"/>
  <c r="B12" i="11"/>
  <c r="B7" i="12" s="1"/>
  <c r="B114" i="12" s="1"/>
  <c r="L11" i="11"/>
  <c r="K11" i="11"/>
  <c r="J11" i="11"/>
  <c r="I11" i="11"/>
  <c r="G11" i="11"/>
  <c r="F11" i="11"/>
  <c r="E11" i="11"/>
  <c r="D11" i="11"/>
  <c r="H11" i="11" s="1"/>
  <c r="L10" i="11"/>
  <c r="K10" i="11"/>
  <c r="J10" i="11"/>
  <c r="I10" i="11"/>
  <c r="G10" i="11"/>
  <c r="F10" i="11"/>
  <c r="E10" i="11"/>
  <c r="D10" i="11"/>
  <c r="H10" i="11" s="1"/>
  <c r="L9" i="11"/>
  <c r="K9" i="11"/>
  <c r="J9" i="11"/>
  <c r="I9" i="11"/>
  <c r="G9" i="11"/>
  <c r="F9" i="11"/>
  <c r="E9" i="11"/>
  <c r="D9" i="11"/>
  <c r="H9" i="11" s="1"/>
  <c r="L8" i="11"/>
  <c r="K8" i="11"/>
  <c r="J8" i="11"/>
  <c r="I8" i="11"/>
  <c r="G8" i="11"/>
  <c r="F8" i="11"/>
  <c r="E8" i="11"/>
  <c r="D8" i="11"/>
  <c r="H8" i="11" s="1"/>
  <c r="L7" i="11"/>
  <c r="K7" i="11"/>
  <c r="J7" i="11"/>
  <c r="I7" i="11"/>
  <c r="G7" i="11"/>
  <c r="F7" i="11"/>
  <c r="E7" i="11"/>
  <c r="D7" i="11"/>
  <c r="H7" i="11" s="1"/>
  <c r="L6" i="11"/>
  <c r="K6" i="11"/>
  <c r="J6" i="11"/>
  <c r="I6" i="11"/>
  <c r="G6" i="11"/>
  <c r="F6" i="11"/>
  <c r="E6" i="11"/>
  <c r="D6" i="11"/>
  <c r="H6" i="11" s="1"/>
  <c r="L5" i="11"/>
  <c r="K5" i="11"/>
  <c r="J5" i="11"/>
  <c r="I5" i="11"/>
  <c r="G5" i="11"/>
  <c r="F5" i="11"/>
  <c r="E5" i="11"/>
  <c r="D5" i="11"/>
  <c r="H5" i="11" s="1"/>
  <c r="L4" i="11"/>
  <c r="K4" i="11"/>
  <c r="J4" i="11"/>
  <c r="I4" i="11"/>
  <c r="G4" i="11"/>
  <c r="F4" i="11"/>
  <c r="E4" i="11"/>
  <c r="D4" i="11"/>
  <c r="H4" i="11" s="1"/>
  <c r="L3" i="11"/>
  <c r="K3" i="11"/>
  <c r="J3" i="11"/>
  <c r="I3" i="11"/>
  <c r="G3" i="11"/>
  <c r="F3" i="11"/>
  <c r="E3" i="11"/>
  <c r="D3" i="11"/>
  <c r="H3" i="11" s="1"/>
  <c r="L2" i="11"/>
  <c r="K2" i="11"/>
  <c r="J2" i="11"/>
  <c r="I2" i="11"/>
  <c r="G2" i="11"/>
  <c r="F2" i="11"/>
  <c r="E2" i="11"/>
  <c r="D2" i="11"/>
  <c r="F200" i="9"/>
  <c r="G200" i="9"/>
  <c r="F199" i="9"/>
  <c r="G199" i="9"/>
  <c r="F198" i="9"/>
  <c r="G198" i="9"/>
  <c r="F197" i="9"/>
  <c r="G197" i="9"/>
  <c r="F196" i="9"/>
  <c r="G196" i="9"/>
  <c r="F195" i="9"/>
  <c r="G195" i="9"/>
  <c r="F194" i="9"/>
  <c r="G194" i="9"/>
  <c r="F193" i="9"/>
  <c r="G193" i="9"/>
  <c r="F192" i="9"/>
  <c r="G192" i="9"/>
  <c r="F191" i="9"/>
  <c r="G191" i="9"/>
  <c r="F190" i="9"/>
  <c r="G190" i="9"/>
  <c r="F189" i="9"/>
  <c r="G189" i="9"/>
  <c r="F188" i="9"/>
  <c r="G188" i="9"/>
  <c r="F187" i="9"/>
  <c r="G187" i="9"/>
  <c r="F186" i="9"/>
  <c r="G186" i="9"/>
  <c r="F185" i="9"/>
  <c r="G185" i="9"/>
  <c r="F184" i="9"/>
  <c r="G184" i="9"/>
  <c r="F183" i="9"/>
  <c r="G183" i="9"/>
  <c r="F182" i="9"/>
  <c r="G182" i="9"/>
  <c r="F181" i="9"/>
  <c r="G181" i="9"/>
  <c r="F180" i="9"/>
  <c r="G180" i="9"/>
  <c r="F179" i="9"/>
  <c r="G179" i="9"/>
  <c r="F178" i="9"/>
  <c r="G178" i="9"/>
  <c r="F177" i="9"/>
  <c r="G177" i="9"/>
  <c r="F176" i="9"/>
  <c r="G176" i="9"/>
  <c r="F175" i="9"/>
  <c r="G175" i="9"/>
  <c r="F174" i="9"/>
  <c r="G174" i="9"/>
  <c r="F173" i="9"/>
  <c r="G173" i="9"/>
  <c r="F172" i="9"/>
  <c r="G172" i="9"/>
  <c r="F171" i="9"/>
  <c r="G171" i="9"/>
  <c r="F170" i="9"/>
  <c r="G170" i="9"/>
  <c r="F169" i="9"/>
  <c r="G169" i="9"/>
  <c r="F168" i="9"/>
  <c r="G168" i="9"/>
  <c r="F167" i="9"/>
  <c r="G167" i="9"/>
  <c r="F166" i="9"/>
  <c r="G166" i="9"/>
  <c r="F165" i="9"/>
  <c r="G165" i="9"/>
  <c r="F164" i="9"/>
  <c r="G164" i="9"/>
  <c r="F163" i="9"/>
  <c r="G163" i="9"/>
  <c r="F162" i="9"/>
  <c r="G162" i="9"/>
  <c r="F161" i="9"/>
  <c r="G161" i="9"/>
  <c r="F160" i="9"/>
  <c r="G160" i="9"/>
  <c r="F159" i="9"/>
  <c r="G159" i="9"/>
  <c r="F158" i="9"/>
  <c r="G158" i="9"/>
  <c r="F157" i="9"/>
  <c r="G157" i="9"/>
  <c r="F156" i="9"/>
  <c r="G156" i="9"/>
  <c r="F155" i="9"/>
  <c r="G155" i="9"/>
  <c r="F154" i="9"/>
  <c r="G154" i="9"/>
  <c r="F153" i="9"/>
  <c r="G153" i="9"/>
  <c r="F152" i="9"/>
  <c r="G152" i="9"/>
  <c r="F151" i="9"/>
  <c r="G151" i="9"/>
  <c r="F150" i="9"/>
  <c r="G150" i="9"/>
  <c r="F149" i="9"/>
  <c r="G149" i="9"/>
  <c r="F148" i="9"/>
  <c r="G148" i="9"/>
  <c r="F147" i="9"/>
  <c r="G147" i="9"/>
  <c r="F146" i="9"/>
  <c r="G146" i="9"/>
  <c r="F145" i="9"/>
  <c r="G145" i="9"/>
  <c r="F144" i="9"/>
  <c r="G144" i="9"/>
  <c r="F143" i="9"/>
  <c r="G143" i="9"/>
  <c r="F142" i="9"/>
  <c r="G142" i="9"/>
  <c r="F141" i="9"/>
  <c r="G141" i="9"/>
  <c r="F140" i="9"/>
  <c r="G140" i="9"/>
  <c r="F139" i="9"/>
  <c r="G139" i="9"/>
  <c r="F138" i="9"/>
  <c r="G138" i="9"/>
  <c r="F137" i="9"/>
  <c r="G137" i="9"/>
  <c r="F136" i="9"/>
  <c r="G136" i="9"/>
  <c r="F135" i="9"/>
  <c r="G135" i="9"/>
  <c r="F134" i="9"/>
  <c r="G134" i="9"/>
  <c r="F133" i="9"/>
  <c r="G133" i="9"/>
  <c r="F132" i="9"/>
  <c r="G132" i="9"/>
  <c r="F131" i="9"/>
  <c r="G131" i="9"/>
  <c r="F130" i="9"/>
  <c r="G130" i="9"/>
  <c r="F129" i="9"/>
  <c r="G129" i="9"/>
  <c r="F128" i="9"/>
  <c r="G128" i="9"/>
  <c r="F127" i="9"/>
  <c r="G127" i="9"/>
  <c r="F126" i="9"/>
  <c r="G126" i="9"/>
  <c r="F125" i="9"/>
  <c r="G125" i="9"/>
  <c r="F124" i="9"/>
  <c r="G124" i="9"/>
  <c r="F123" i="9"/>
  <c r="G123" i="9"/>
  <c r="F122" i="9"/>
  <c r="G122" i="9"/>
  <c r="F121" i="9"/>
  <c r="G121" i="9"/>
  <c r="F120" i="9"/>
  <c r="G120" i="9"/>
  <c r="F119" i="9"/>
  <c r="G119" i="9"/>
  <c r="F118" i="9"/>
  <c r="G118" i="9"/>
  <c r="F117" i="9"/>
  <c r="G117" i="9"/>
  <c r="F116" i="9"/>
  <c r="G116" i="9"/>
  <c r="F115" i="9"/>
  <c r="G115" i="9"/>
  <c r="F114" i="9"/>
  <c r="G114" i="9"/>
  <c r="F113" i="9"/>
  <c r="G113" i="9"/>
  <c r="F112" i="9"/>
  <c r="G112" i="9"/>
  <c r="F111" i="9"/>
  <c r="G111" i="9"/>
  <c r="F110" i="9"/>
  <c r="G110" i="9"/>
  <c r="F109" i="9"/>
  <c r="G109" i="9"/>
  <c r="F108" i="9"/>
  <c r="G108" i="9"/>
  <c r="F107" i="9"/>
  <c r="G107" i="9"/>
  <c r="F106" i="9"/>
  <c r="G106" i="9"/>
  <c r="F105" i="9"/>
  <c r="G105" i="9"/>
  <c r="F104" i="9"/>
  <c r="G104" i="9"/>
  <c r="F103" i="9"/>
  <c r="G103" i="9"/>
  <c r="F102" i="9"/>
  <c r="G102" i="9"/>
  <c r="F101" i="9"/>
  <c r="G101" i="9"/>
  <c r="F100" i="9"/>
  <c r="G100" i="9"/>
  <c r="F99" i="9"/>
  <c r="G99" i="9"/>
  <c r="F98" i="9"/>
  <c r="G98" i="9"/>
  <c r="F97" i="9"/>
  <c r="G97" i="9"/>
  <c r="F96" i="9"/>
  <c r="G96" i="9"/>
  <c r="F95" i="9"/>
  <c r="G95" i="9"/>
  <c r="F94" i="9"/>
  <c r="G94" i="9"/>
  <c r="F93" i="9"/>
  <c r="G93" i="9"/>
  <c r="F92" i="9"/>
  <c r="G92" i="9"/>
  <c r="F91" i="9"/>
  <c r="G91" i="9"/>
  <c r="F90" i="9"/>
  <c r="G90" i="9"/>
  <c r="F89" i="9"/>
  <c r="G89" i="9"/>
  <c r="F88" i="9"/>
  <c r="G88" i="9"/>
  <c r="F87" i="9"/>
  <c r="G87" i="9"/>
  <c r="F86" i="9"/>
  <c r="G86" i="9"/>
  <c r="F85" i="9"/>
  <c r="G85" i="9"/>
  <c r="F84" i="9"/>
  <c r="G84" i="9"/>
  <c r="F83" i="9"/>
  <c r="G83" i="9"/>
  <c r="F82" i="9"/>
  <c r="G82" i="9"/>
  <c r="F81" i="9"/>
  <c r="G81" i="9"/>
  <c r="F80" i="9"/>
  <c r="G80" i="9"/>
  <c r="F79" i="9"/>
  <c r="G79" i="9"/>
  <c r="F78" i="9"/>
  <c r="G78" i="9"/>
  <c r="F77" i="9"/>
  <c r="G77" i="9"/>
  <c r="F76" i="9"/>
  <c r="G76" i="9"/>
  <c r="F75" i="9"/>
  <c r="G75" i="9"/>
  <c r="F74" i="9"/>
  <c r="G74" i="9"/>
  <c r="F73" i="9"/>
  <c r="G73" i="9"/>
  <c r="F72" i="9"/>
  <c r="G72" i="9"/>
  <c r="F71" i="9"/>
  <c r="G71" i="9"/>
  <c r="F70" i="9"/>
  <c r="G70" i="9"/>
  <c r="F69" i="9"/>
  <c r="G69" i="9"/>
  <c r="F68" i="9"/>
  <c r="G68" i="9"/>
  <c r="F67" i="9"/>
  <c r="G67" i="9"/>
  <c r="F66" i="9"/>
  <c r="G66" i="9"/>
  <c r="F65" i="9"/>
  <c r="G65" i="9"/>
  <c r="F64" i="9"/>
  <c r="G64" i="9"/>
  <c r="F63" i="9"/>
  <c r="G63" i="9"/>
  <c r="F62" i="9"/>
  <c r="G62" i="9"/>
  <c r="F61" i="9"/>
  <c r="G61" i="9"/>
  <c r="F60" i="9"/>
  <c r="G60" i="9"/>
  <c r="F59" i="9"/>
  <c r="G59" i="9"/>
  <c r="F58" i="9"/>
  <c r="G58" i="9"/>
  <c r="F57" i="9"/>
  <c r="G57" i="9"/>
  <c r="F56" i="9"/>
  <c r="G56" i="9"/>
  <c r="F55" i="9"/>
  <c r="G55" i="9"/>
  <c r="F54" i="9"/>
  <c r="G54" i="9"/>
  <c r="F53" i="9"/>
  <c r="G53" i="9"/>
  <c r="F52" i="9"/>
  <c r="G52" i="9"/>
  <c r="F51" i="9"/>
  <c r="G51" i="9"/>
  <c r="F50" i="9"/>
  <c r="G50" i="9"/>
  <c r="F49" i="9"/>
  <c r="G49" i="9"/>
  <c r="F48" i="9"/>
  <c r="G48" i="9"/>
  <c r="F47" i="9"/>
  <c r="G47" i="9"/>
  <c r="F46" i="9"/>
  <c r="G46" i="9"/>
  <c r="F45" i="9"/>
  <c r="G45" i="9"/>
  <c r="F44" i="9"/>
  <c r="G44" i="9"/>
  <c r="F43" i="9"/>
  <c r="G43" i="9"/>
  <c r="F42" i="9"/>
  <c r="G42" i="9"/>
  <c r="F41" i="9"/>
  <c r="G41" i="9"/>
  <c r="F40" i="9"/>
  <c r="G40" i="9"/>
  <c r="F39" i="9"/>
  <c r="G39" i="9"/>
  <c r="F38" i="9"/>
  <c r="G38" i="9"/>
  <c r="F37" i="9"/>
  <c r="G37" i="9"/>
  <c r="F36" i="9"/>
  <c r="G36" i="9"/>
  <c r="F35" i="9"/>
  <c r="G35" i="9"/>
  <c r="F34" i="9"/>
  <c r="G34" i="9"/>
  <c r="F33" i="9"/>
  <c r="G33" i="9"/>
  <c r="F32" i="9"/>
  <c r="G32" i="9"/>
  <c r="F31" i="9"/>
  <c r="G31" i="9"/>
  <c r="F30" i="9"/>
  <c r="G30" i="9"/>
  <c r="F29" i="9"/>
  <c r="G29" i="9"/>
  <c r="F28" i="9"/>
  <c r="G28" i="9"/>
  <c r="F27" i="9"/>
  <c r="G27" i="9"/>
  <c r="F26" i="9"/>
  <c r="G26" i="9"/>
  <c r="F25" i="9"/>
  <c r="G25" i="9"/>
  <c r="F24" i="9"/>
  <c r="G24" i="9"/>
  <c r="F23" i="9"/>
  <c r="G23" i="9"/>
  <c r="F22" i="9"/>
  <c r="G22" i="9"/>
  <c r="F21" i="9"/>
  <c r="G21" i="9"/>
  <c r="F20" i="9"/>
  <c r="G20" i="9"/>
  <c r="F19" i="9"/>
  <c r="G19" i="9"/>
  <c r="F18" i="9"/>
  <c r="G18" i="9"/>
  <c r="F17" i="9"/>
  <c r="G17" i="9"/>
  <c r="F16" i="9"/>
  <c r="G16" i="9"/>
  <c r="F15" i="9"/>
  <c r="G15" i="9"/>
  <c r="F14" i="9"/>
  <c r="G14" i="9"/>
  <c r="F13" i="9"/>
  <c r="G13" i="9"/>
  <c r="F12" i="9"/>
  <c r="G12" i="9"/>
  <c r="F11" i="9"/>
  <c r="G11" i="9"/>
  <c r="F10" i="9"/>
  <c r="G10" i="9"/>
  <c r="F9" i="9"/>
  <c r="G9" i="9"/>
  <c r="C105" i="12" s="1"/>
  <c r="F8" i="9"/>
  <c r="G8" i="9"/>
  <c r="C104" i="12" s="1"/>
  <c r="F7" i="9"/>
  <c r="G7" i="9"/>
  <c r="E103" i="12" s="1"/>
  <c r="F6" i="9"/>
  <c r="G6" i="9"/>
  <c r="C102" i="12" s="1"/>
  <c r="F5" i="9"/>
  <c r="G5" i="9"/>
  <c r="E101" i="12" s="1"/>
  <c r="F4" i="9"/>
  <c r="G4" i="9"/>
  <c r="D100" i="12" s="1"/>
  <c r="F3" i="9"/>
  <c r="G3" i="9"/>
  <c r="C99" i="12" s="1"/>
  <c r="F2" i="9"/>
  <c r="G2" i="9"/>
  <c r="E98" i="12" s="1"/>
  <c r="I200" i="5"/>
  <c r="J200" i="5" s="1"/>
  <c r="I199" i="5"/>
  <c r="J199" i="5" s="1"/>
  <c r="I198" i="5"/>
  <c r="J198" i="5" s="1"/>
  <c r="I197" i="5"/>
  <c r="J197" i="5" s="1"/>
  <c r="I196" i="5"/>
  <c r="J196" i="5" s="1"/>
  <c r="I195" i="5"/>
  <c r="J195" i="5" s="1"/>
  <c r="I194" i="5"/>
  <c r="J194" i="5" s="1"/>
  <c r="I193" i="5"/>
  <c r="J193" i="5" s="1"/>
  <c r="I192" i="5"/>
  <c r="J192" i="5" s="1"/>
  <c r="I191" i="5"/>
  <c r="J191" i="5" s="1"/>
  <c r="I190" i="5"/>
  <c r="J190" i="5" s="1"/>
  <c r="I189" i="5"/>
  <c r="J189" i="5" s="1"/>
  <c r="I188" i="5"/>
  <c r="J188" i="5" s="1"/>
  <c r="I187" i="5"/>
  <c r="J187" i="5" s="1"/>
  <c r="I186" i="5"/>
  <c r="J186" i="5" s="1"/>
  <c r="I185" i="5"/>
  <c r="J185" i="5" s="1"/>
  <c r="I184" i="5"/>
  <c r="J184" i="5" s="1"/>
  <c r="I183" i="5"/>
  <c r="J183" i="5" s="1"/>
  <c r="I182" i="5"/>
  <c r="J182" i="5" s="1"/>
  <c r="I181" i="5"/>
  <c r="J181" i="5" s="1"/>
  <c r="I180" i="5"/>
  <c r="J180" i="5" s="1"/>
  <c r="I179" i="5"/>
  <c r="J179" i="5" s="1"/>
  <c r="I178" i="5"/>
  <c r="J178" i="5" s="1"/>
  <c r="I177" i="5"/>
  <c r="J177" i="5" s="1"/>
  <c r="I176" i="5"/>
  <c r="J176" i="5" s="1"/>
  <c r="I175" i="5"/>
  <c r="J175" i="5" s="1"/>
  <c r="I174" i="5"/>
  <c r="J174" i="5" s="1"/>
  <c r="I173" i="5"/>
  <c r="J173" i="5" s="1"/>
  <c r="I172" i="5"/>
  <c r="J172" i="5" s="1"/>
  <c r="I171" i="5"/>
  <c r="J171" i="5" s="1"/>
  <c r="I170" i="5"/>
  <c r="J170" i="5" s="1"/>
  <c r="I169" i="5"/>
  <c r="J169" i="5" s="1"/>
  <c r="I168" i="5"/>
  <c r="J168" i="5" s="1"/>
  <c r="I167" i="5"/>
  <c r="J167" i="5" s="1"/>
  <c r="I166" i="5"/>
  <c r="J166" i="5" s="1"/>
  <c r="I165" i="5"/>
  <c r="J165" i="5" s="1"/>
  <c r="I164" i="5"/>
  <c r="J164" i="5" s="1"/>
  <c r="I163" i="5"/>
  <c r="J163" i="5" s="1"/>
  <c r="I162" i="5"/>
  <c r="J162" i="5" s="1"/>
  <c r="I161" i="5"/>
  <c r="J161" i="5" s="1"/>
  <c r="I160" i="5"/>
  <c r="J160" i="5" s="1"/>
  <c r="I159" i="5"/>
  <c r="J159" i="5" s="1"/>
  <c r="I158" i="5"/>
  <c r="J158" i="5" s="1"/>
  <c r="I157" i="5"/>
  <c r="J157" i="5" s="1"/>
  <c r="I156" i="5"/>
  <c r="J156" i="5" s="1"/>
  <c r="I155" i="5"/>
  <c r="J155" i="5" s="1"/>
  <c r="I154" i="5"/>
  <c r="J154" i="5" s="1"/>
  <c r="I153" i="5"/>
  <c r="J153" i="5" s="1"/>
  <c r="I152" i="5"/>
  <c r="J152" i="5" s="1"/>
  <c r="I151" i="5"/>
  <c r="J151" i="5" s="1"/>
  <c r="I150" i="5"/>
  <c r="J150" i="5" s="1"/>
  <c r="I149" i="5"/>
  <c r="J149" i="5" s="1"/>
  <c r="I148" i="5"/>
  <c r="J148" i="5" s="1"/>
  <c r="I147" i="5"/>
  <c r="J147" i="5" s="1"/>
  <c r="I146" i="5"/>
  <c r="J146" i="5" s="1"/>
  <c r="I145" i="5"/>
  <c r="J145" i="5" s="1"/>
  <c r="I144" i="5"/>
  <c r="J144" i="5" s="1"/>
  <c r="I143" i="5"/>
  <c r="J143" i="5" s="1"/>
  <c r="I142" i="5"/>
  <c r="J142" i="5" s="1"/>
  <c r="I141" i="5"/>
  <c r="J141" i="5" s="1"/>
  <c r="I140" i="5"/>
  <c r="J140" i="5" s="1"/>
  <c r="I139" i="5"/>
  <c r="J139" i="5" s="1"/>
  <c r="I138" i="5"/>
  <c r="J138" i="5" s="1"/>
  <c r="I137" i="5"/>
  <c r="J137" i="5" s="1"/>
  <c r="I136" i="5"/>
  <c r="J136" i="5" s="1"/>
  <c r="I135" i="5"/>
  <c r="J135" i="5" s="1"/>
  <c r="I134" i="5"/>
  <c r="J134" i="5" s="1"/>
  <c r="I133" i="5"/>
  <c r="J133" i="5" s="1"/>
  <c r="I132" i="5"/>
  <c r="J132" i="5" s="1"/>
  <c r="I131" i="5"/>
  <c r="J131" i="5" s="1"/>
  <c r="I130" i="5"/>
  <c r="J130" i="5" s="1"/>
  <c r="I129" i="5"/>
  <c r="J129" i="5" s="1"/>
  <c r="I128" i="5"/>
  <c r="J128" i="5" s="1"/>
  <c r="I127" i="5"/>
  <c r="J127" i="5" s="1"/>
  <c r="I126" i="5"/>
  <c r="J126" i="5" s="1"/>
  <c r="I125" i="5"/>
  <c r="J125" i="5" s="1"/>
  <c r="I124" i="5"/>
  <c r="J124" i="5" s="1"/>
  <c r="I123" i="5"/>
  <c r="J123" i="5" s="1"/>
  <c r="I122" i="5"/>
  <c r="J122" i="5" s="1"/>
  <c r="I121" i="5"/>
  <c r="J121" i="5" s="1"/>
  <c r="I120" i="5"/>
  <c r="J120" i="5" s="1"/>
  <c r="I119" i="5"/>
  <c r="J119" i="5" s="1"/>
  <c r="I118" i="5"/>
  <c r="J118" i="5" s="1"/>
  <c r="I117" i="5"/>
  <c r="J117" i="5" s="1"/>
  <c r="I116" i="5"/>
  <c r="J116" i="5" s="1"/>
  <c r="I115" i="5"/>
  <c r="J115" i="5" s="1"/>
  <c r="I114" i="5"/>
  <c r="J114" i="5" s="1"/>
  <c r="I113" i="5"/>
  <c r="J113" i="5" s="1"/>
  <c r="I112" i="5"/>
  <c r="J112" i="5" s="1"/>
  <c r="I111" i="5"/>
  <c r="J111" i="5" s="1"/>
  <c r="I110" i="5"/>
  <c r="J110" i="5" s="1"/>
  <c r="I109" i="5"/>
  <c r="J109" i="5" s="1"/>
  <c r="I108" i="5"/>
  <c r="J108" i="5" s="1"/>
  <c r="I107" i="5"/>
  <c r="J107" i="5" s="1"/>
  <c r="I106" i="5"/>
  <c r="J106" i="5" s="1"/>
  <c r="I105" i="5"/>
  <c r="J105" i="5" s="1"/>
  <c r="I104" i="5"/>
  <c r="J104" i="5" s="1"/>
  <c r="I103" i="5"/>
  <c r="J103" i="5" s="1"/>
  <c r="I102" i="5"/>
  <c r="J102" i="5" s="1"/>
  <c r="I101" i="5"/>
  <c r="J101" i="5" s="1"/>
  <c r="I100" i="5"/>
  <c r="J100" i="5" s="1"/>
  <c r="I99" i="5"/>
  <c r="J99" i="5" s="1"/>
  <c r="I98" i="5"/>
  <c r="J98" i="5" s="1"/>
  <c r="I97" i="5"/>
  <c r="J97" i="5" s="1"/>
  <c r="I96" i="5"/>
  <c r="J96" i="5" s="1"/>
  <c r="I95" i="5"/>
  <c r="J95" i="5" s="1"/>
  <c r="I94" i="5"/>
  <c r="J94" i="5" s="1"/>
  <c r="I93" i="5"/>
  <c r="J93" i="5" s="1"/>
  <c r="I92" i="5"/>
  <c r="J92" i="5" s="1"/>
  <c r="I91" i="5"/>
  <c r="J91" i="5" s="1"/>
  <c r="I90" i="5"/>
  <c r="J90" i="5" s="1"/>
  <c r="I89" i="5"/>
  <c r="J89" i="5" s="1"/>
  <c r="I88" i="5"/>
  <c r="J88" i="5" s="1"/>
  <c r="I87" i="5"/>
  <c r="J87" i="5" s="1"/>
  <c r="I86" i="5"/>
  <c r="J86" i="5" s="1"/>
  <c r="I85" i="5"/>
  <c r="J85" i="5" s="1"/>
  <c r="I84" i="5"/>
  <c r="J84" i="5" s="1"/>
  <c r="I83" i="5"/>
  <c r="J83" i="5" s="1"/>
  <c r="I82" i="5"/>
  <c r="J82" i="5" s="1"/>
  <c r="I81" i="5"/>
  <c r="J81" i="5" s="1"/>
  <c r="I80" i="5"/>
  <c r="J80" i="5" s="1"/>
  <c r="I79" i="5"/>
  <c r="J79" i="5" s="1"/>
  <c r="I78" i="5"/>
  <c r="J78" i="5" s="1"/>
  <c r="I77" i="5"/>
  <c r="J77" i="5" s="1"/>
  <c r="I76" i="5"/>
  <c r="J76" i="5" s="1"/>
  <c r="I75" i="5"/>
  <c r="J75" i="5" s="1"/>
  <c r="I74" i="5"/>
  <c r="J74" i="5" s="1"/>
  <c r="I73" i="5"/>
  <c r="J73" i="5" s="1"/>
  <c r="I72" i="5"/>
  <c r="J72" i="5" s="1"/>
  <c r="I71" i="5"/>
  <c r="J71" i="5" s="1"/>
  <c r="I70" i="5"/>
  <c r="J70" i="5" s="1"/>
  <c r="I69" i="5"/>
  <c r="J69" i="5" s="1"/>
  <c r="I68" i="5"/>
  <c r="J68" i="5" s="1"/>
  <c r="I67" i="5"/>
  <c r="J67" i="5" s="1"/>
  <c r="I66" i="5"/>
  <c r="J66" i="5" s="1"/>
  <c r="I65" i="5"/>
  <c r="J65" i="5" s="1"/>
  <c r="I64" i="5"/>
  <c r="J64" i="5" s="1"/>
  <c r="I63" i="5"/>
  <c r="J63" i="5" s="1"/>
  <c r="I62" i="5"/>
  <c r="J62" i="5" s="1"/>
  <c r="I61" i="5"/>
  <c r="J61" i="5" s="1"/>
  <c r="I60" i="5"/>
  <c r="J60" i="5" s="1"/>
  <c r="I59" i="5"/>
  <c r="J59" i="5" s="1"/>
  <c r="I58" i="5"/>
  <c r="J58" i="5" s="1"/>
  <c r="I57" i="5"/>
  <c r="J57" i="5" s="1"/>
  <c r="I56" i="5"/>
  <c r="J56" i="5" s="1"/>
  <c r="I55" i="5"/>
  <c r="J55" i="5" s="1"/>
  <c r="I54" i="5"/>
  <c r="J54" i="5" s="1"/>
  <c r="I53" i="5"/>
  <c r="J53" i="5" s="1"/>
  <c r="I52" i="5"/>
  <c r="J52" i="5" s="1"/>
  <c r="I51" i="5"/>
  <c r="J51" i="5" s="1"/>
  <c r="I50" i="5"/>
  <c r="J50" i="5" s="1"/>
  <c r="I49" i="5"/>
  <c r="J49" i="5" s="1"/>
  <c r="I48" i="5"/>
  <c r="J48" i="5" s="1"/>
  <c r="I47" i="5"/>
  <c r="J47" i="5" s="1"/>
  <c r="I46" i="5"/>
  <c r="J46" i="5" s="1"/>
  <c r="I45" i="5"/>
  <c r="J45" i="5" s="1"/>
  <c r="I44" i="5"/>
  <c r="J44" i="5" s="1"/>
  <c r="I43" i="5"/>
  <c r="J43" i="5" s="1"/>
  <c r="I42" i="5"/>
  <c r="J42" i="5" s="1"/>
  <c r="I41" i="5"/>
  <c r="J41" i="5" s="1"/>
  <c r="I40" i="5"/>
  <c r="J40" i="5" s="1"/>
  <c r="I39" i="5"/>
  <c r="J39" i="5" s="1"/>
  <c r="I38" i="5"/>
  <c r="J38" i="5" s="1"/>
  <c r="I37" i="5"/>
  <c r="J37" i="5" s="1"/>
  <c r="I36" i="5"/>
  <c r="J36" i="5" s="1"/>
  <c r="I35" i="5"/>
  <c r="J35" i="5" s="1"/>
  <c r="I34" i="5"/>
  <c r="J34" i="5" s="1"/>
  <c r="I33" i="5"/>
  <c r="J33" i="5" s="1"/>
  <c r="I32" i="5"/>
  <c r="J32" i="5" s="1"/>
  <c r="I31" i="5"/>
  <c r="J31" i="5" s="1"/>
  <c r="I30" i="5"/>
  <c r="J30" i="5" s="1"/>
  <c r="I29" i="5"/>
  <c r="J29" i="5" s="1"/>
  <c r="I28" i="5"/>
  <c r="J28" i="5" s="1"/>
  <c r="I27" i="5"/>
  <c r="J27" i="5" s="1"/>
  <c r="I26" i="5"/>
  <c r="J26" i="5" s="1"/>
  <c r="I25" i="5"/>
  <c r="J25" i="5" s="1"/>
  <c r="I24" i="5"/>
  <c r="J24" i="5" s="1"/>
  <c r="I23" i="5"/>
  <c r="J23" i="5" s="1"/>
  <c r="I22" i="5"/>
  <c r="J22" i="5" s="1"/>
  <c r="I21" i="5"/>
  <c r="J21" i="5" s="1"/>
  <c r="I20" i="5"/>
  <c r="J20" i="5" s="1"/>
  <c r="I19" i="5"/>
  <c r="J19" i="5" s="1"/>
  <c r="I18" i="5"/>
  <c r="J18" i="5" s="1"/>
  <c r="I17" i="5"/>
  <c r="J17" i="5" s="1"/>
  <c r="I16" i="5"/>
  <c r="J16" i="5" s="1"/>
  <c r="I15" i="5"/>
  <c r="J15" i="5" s="1"/>
  <c r="I14" i="5"/>
  <c r="J14" i="5" s="1"/>
  <c r="I13" i="5"/>
  <c r="J13" i="5" s="1"/>
  <c r="I12" i="5"/>
  <c r="J12" i="5" s="1"/>
  <c r="I11" i="5"/>
  <c r="J11" i="5" s="1"/>
  <c r="I10" i="5"/>
  <c r="J10" i="5" s="1"/>
  <c r="I9" i="5"/>
  <c r="J9" i="5" s="1"/>
  <c r="I8" i="5"/>
  <c r="J8" i="5" s="1"/>
  <c r="I7" i="5"/>
  <c r="J7" i="5" s="1"/>
  <c r="I6" i="5"/>
  <c r="J6" i="5" s="1"/>
  <c r="I5" i="5"/>
  <c r="J5" i="5" s="1"/>
  <c r="I4" i="5"/>
  <c r="J4" i="5" s="1"/>
  <c r="I3" i="5"/>
  <c r="J3" i="5" s="1"/>
  <c r="I2" i="5"/>
  <c r="J2" i="5" s="1"/>
  <c r="F200" i="3"/>
  <c r="F199" i="3"/>
  <c r="F198" i="3"/>
  <c r="F197" i="3"/>
  <c r="F196" i="3"/>
  <c r="F195" i="3"/>
  <c r="F194" i="3"/>
  <c r="F193" i="3"/>
  <c r="F192" i="3"/>
  <c r="F191" i="3"/>
  <c r="F190" i="3"/>
  <c r="F189" i="3"/>
  <c r="F188" i="3"/>
  <c r="F187" i="3"/>
  <c r="F186" i="3"/>
  <c r="F185" i="3"/>
  <c r="F184" i="3"/>
  <c r="F183" i="3"/>
  <c r="F182" i="3"/>
  <c r="F181" i="3"/>
  <c r="F180" i="3"/>
  <c r="F179" i="3"/>
  <c r="F178" i="3"/>
  <c r="F177" i="3"/>
  <c r="F176" i="3"/>
  <c r="F175" i="3"/>
  <c r="F174" i="3"/>
  <c r="F173" i="3"/>
  <c r="F172" i="3"/>
  <c r="F171" i="3"/>
  <c r="F170" i="3"/>
  <c r="F169" i="3"/>
  <c r="F168" i="3"/>
  <c r="F167" i="3"/>
  <c r="F166" i="3"/>
  <c r="F165" i="3"/>
  <c r="F164" i="3"/>
  <c r="F163" i="3"/>
  <c r="F162" i="3"/>
  <c r="F161" i="3"/>
  <c r="F160" i="3"/>
  <c r="F159" i="3"/>
  <c r="F158" i="3"/>
  <c r="F157" i="3"/>
  <c r="F156" i="3"/>
  <c r="F155" i="3"/>
  <c r="F154" i="3"/>
  <c r="F153" i="3"/>
  <c r="F152" i="3"/>
  <c r="F151" i="3"/>
  <c r="F150" i="3"/>
  <c r="F149" i="3"/>
  <c r="F148" i="3"/>
  <c r="F147" i="3"/>
  <c r="F146" i="3"/>
  <c r="F145" i="3"/>
  <c r="F144" i="3"/>
  <c r="F143" i="3"/>
  <c r="F142" i="3"/>
  <c r="F141" i="3"/>
  <c r="F140" i="3"/>
  <c r="F139" i="3"/>
  <c r="F138" i="3"/>
  <c r="F137" i="3"/>
  <c r="F136" i="3"/>
  <c r="F135" i="3"/>
  <c r="F134" i="3"/>
  <c r="F133" i="3"/>
  <c r="F132" i="3"/>
  <c r="F131" i="3"/>
  <c r="F130" i="3"/>
  <c r="F129" i="3"/>
  <c r="F128" i="3"/>
  <c r="F127" i="3"/>
  <c r="F126" i="3"/>
  <c r="F125" i="3"/>
  <c r="F124" i="3"/>
  <c r="F123" i="3"/>
  <c r="F122" i="3"/>
  <c r="F121" i="3"/>
  <c r="F120" i="3"/>
  <c r="F119" i="3"/>
  <c r="F118" i="3"/>
  <c r="F117" i="3"/>
  <c r="F116" i="3"/>
  <c r="F115" i="3"/>
  <c r="F114" i="3"/>
  <c r="F113" i="3"/>
  <c r="F112" i="3"/>
  <c r="F111" i="3"/>
  <c r="F110" i="3"/>
  <c r="F109" i="3"/>
  <c r="F108" i="3"/>
  <c r="F107" i="3"/>
  <c r="F106" i="3"/>
  <c r="F105" i="3"/>
  <c r="F104" i="3"/>
  <c r="F103" i="3"/>
  <c r="F102" i="3"/>
  <c r="F101" i="3"/>
  <c r="F100" i="3"/>
  <c r="F99" i="3"/>
  <c r="F98" i="3"/>
  <c r="F97" i="3"/>
  <c r="F96" i="3"/>
  <c r="F95" i="3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  <c r="B26" i="12" l="1"/>
  <c r="B5" i="11"/>
  <c r="B125" i="12" s="1"/>
  <c r="B148" i="12" s="1"/>
  <c r="B28" i="11"/>
  <c r="B29" i="11" s="1"/>
  <c r="B46" i="12" s="1"/>
  <c r="B139" i="12" s="1"/>
  <c r="C7" i="12"/>
  <c r="H2" i="11"/>
  <c r="B58" i="11"/>
  <c r="B108" i="12" s="1"/>
  <c r="B146" i="12" s="1"/>
  <c r="C18" i="12"/>
  <c r="C26" i="12"/>
  <c r="B9" i="11"/>
  <c r="B31" i="11"/>
  <c r="B37" i="11"/>
  <c r="B57" i="12" s="1"/>
  <c r="C22" i="12"/>
  <c r="B126" i="12"/>
  <c r="B68" i="11"/>
  <c r="B81" i="12" s="1"/>
  <c r="B145" i="12" s="1"/>
  <c r="D23" i="12"/>
  <c r="A34" i="12"/>
  <c r="C34" i="12" s="1"/>
  <c r="B55" i="12"/>
  <c r="C68" i="12" s="1"/>
  <c r="A35" i="12"/>
  <c r="C35" i="12" s="1"/>
  <c r="E102" i="12"/>
  <c r="A37" i="12"/>
  <c r="B6" i="11"/>
  <c r="B128" i="12" s="1"/>
  <c r="D19" i="12"/>
  <c r="B17" i="11"/>
  <c r="B11" i="12" s="1"/>
  <c r="B118" i="12" s="1"/>
  <c r="C118" i="12" s="1"/>
  <c r="B8" i="11"/>
  <c r="B4" i="11"/>
  <c r="B48" i="11" s="1"/>
  <c r="B67" i="11" s="1"/>
  <c r="E105" i="12"/>
  <c r="A30" i="12"/>
  <c r="C30" i="12" s="1"/>
  <c r="A41" i="12"/>
  <c r="A33" i="12"/>
  <c r="B44" i="12"/>
  <c r="B137" i="12" s="1"/>
  <c r="E26" i="12"/>
  <c r="D99" i="12"/>
  <c r="D10" i="12"/>
  <c r="B17" i="12"/>
  <c r="D18" i="12"/>
  <c r="B21" i="12"/>
  <c r="E21" i="12" s="1"/>
  <c r="D22" i="12"/>
  <c r="B25" i="12"/>
  <c r="E25" i="12" s="1"/>
  <c r="D26" i="12"/>
  <c r="A31" i="12"/>
  <c r="A39" i="12"/>
  <c r="B45" i="12"/>
  <c r="E99" i="12"/>
  <c r="C101" i="12"/>
  <c r="D104" i="12"/>
  <c r="B62" i="11"/>
  <c r="B66" i="11"/>
  <c r="B80" i="12" s="1"/>
  <c r="B144" i="12" s="1"/>
  <c r="B6" i="12"/>
  <c r="C8" i="12"/>
  <c r="C17" i="12"/>
  <c r="C21" i="12"/>
  <c r="C25" i="12"/>
  <c r="A36" i="12"/>
  <c r="C98" i="12"/>
  <c r="D101" i="12"/>
  <c r="E104" i="12"/>
  <c r="C6" i="12"/>
  <c r="D8" i="12"/>
  <c r="D17" i="12"/>
  <c r="B20" i="12"/>
  <c r="D21" i="12"/>
  <c r="B24" i="12"/>
  <c r="D25" i="12"/>
  <c r="B75" i="12"/>
  <c r="C88" i="12" s="1"/>
  <c r="D98" i="12"/>
  <c r="C103" i="12"/>
  <c r="B7" i="11"/>
  <c r="B129" i="12" s="1"/>
  <c r="B44" i="11"/>
  <c r="B77" i="12" s="1"/>
  <c r="D6" i="12"/>
  <c r="C20" i="12"/>
  <c r="C24" i="12"/>
  <c r="C100" i="12"/>
  <c r="D103" i="12"/>
  <c r="B130" i="12"/>
  <c r="C9" i="12"/>
  <c r="B19" i="12"/>
  <c r="E19" i="12" s="1"/>
  <c r="D20" i="12"/>
  <c r="B23" i="12"/>
  <c r="E23" i="12" s="1"/>
  <c r="D24" i="12"/>
  <c r="B38" i="12"/>
  <c r="D38" i="12" s="1"/>
  <c r="E38" i="12" s="1"/>
  <c r="B131" i="12"/>
  <c r="D9" i="12"/>
  <c r="C14" i="12"/>
  <c r="C19" i="12"/>
  <c r="C23" i="12"/>
  <c r="A32" i="12"/>
  <c r="B35" i="12"/>
  <c r="D35" i="12" s="1"/>
  <c r="E35" i="12" s="1"/>
  <c r="A40" i="12"/>
  <c r="E100" i="12"/>
  <c r="D105" i="12"/>
  <c r="B18" i="12"/>
  <c r="B22" i="12"/>
  <c r="D102" i="12"/>
  <c r="B30" i="12" l="1"/>
  <c r="D30" i="12" s="1"/>
  <c r="E30" i="12" s="1"/>
  <c r="B127" i="12"/>
  <c r="B154" i="12" s="1"/>
  <c r="B34" i="12"/>
  <c r="D34" i="12" s="1"/>
  <c r="E34" i="12" s="1"/>
  <c r="C114" i="12"/>
  <c r="C116" i="12"/>
  <c r="C70" i="12"/>
  <c r="C117" i="12"/>
  <c r="C115" i="12"/>
  <c r="B30" i="11"/>
  <c r="B63" i="11"/>
  <c r="C41" i="12"/>
  <c r="B41" i="12"/>
  <c r="B149" i="12"/>
  <c r="B107" i="12"/>
  <c r="B147" i="12" s="1"/>
  <c r="C66" i="12"/>
  <c r="C37" i="12"/>
  <c r="B37" i="12"/>
  <c r="C64" i="12"/>
  <c r="C65" i="12"/>
  <c r="C67" i="12"/>
  <c r="F26" i="12"/>
  <c r="C33" i="12"/>
  <c r="B33" i="12"/>
  <c r="C69" i="12"/>
  <c r="C62" i="12"/>
  <c r="C71" i="12"/>
  <c r="C63" i="12"/>
  <c r="B65" i="11"/>
  <c r="B141" i="12"/>
  <c r="C36" i="12"/>
  <c r="B36" i="12"/>
  <c r="D36" i="12" s="1"/>
  <c r="E36" i="12" s="1"/>
  <c r="C92" i="12"/>
  <c r="C91" i="12"/>
  <c r="C40" i="12"/>
  <c r="B40" i="12"/>
  <c r="F20" i="12"/>
  <c r="E20" i="12"/>
  <c r="F23" i="12"/>
  <c r="C87" i="12"/>
  <c r="F24" i="12"/>
  <c r="E24" i="12"/>
  <c r="C90" i="12"/>
  <c r="B138" i="12"/>
  <c r="B50" i="12"/>
  <c r="B49" i="12"/>
  <c r="B152" i="12" s="1"/>
  <c r="C94" i="12"/>
  <c r="C86" i="12"/>
  <c r="F17" i="12"/>
  <c r="C11" i="12"/>
  <c r="C39" i="12"/>
  <c r="B39" i="12"/>
  <c r="F19" i="12"/>
  <c r="F25" i="12"/>
  <c r="F21" i="12"/>
  <c r="C32" i="12"/>
  <c r="B32" i="12"/>
  <c r="F22" i="12"/>
  <c r="E22" i="12"/>
  <c r="C89" i="12"/>
  <c r="B78" i="12"/>
  <c r="B151" i="12" s="1"/>
  <c r="B150" i="12"/>
  <c r="C93" i="12"/>
  <c r="C85" i="12"/>
  <c r="F18" i="12"/>
  <c r="E18" i="12"/>
  <c r="D11" i="12"/>
  <c r="C31" i="12"/>
  <c r="B31" i="12"/>
  <c r="B122" i="12"/>
  <c r="B121" i="12"/>
  <c r="B153" i="12" s="1"/>
  <c r="E17" i="12"/>
  <c r="B64" i="11"/>
  <c r="B47" i="12"/>
  <c r="B140" i="12" s="1"/>
  <c r="D41" i="12" l="1"/>
  <c r="E41" i="12" s="1"/>
  <c r="D33" i="12"/>
  <c r="E33" i="12" s="1"/>
  <c r="D37" i="12"/>
  <c r="E37" i="12" s="1"/>
  <c r="D39" i="12"/>
  <c r="E39" i="12" s="1"/>
  <c r="D40" i="12"/>
  <c r="E40" i="12" s="1"/>
  <c r="D32" i="12"/>
  <c r="E32" i="12" s="1"/>
  <c r="D31" i="12"/>
  <c r="E31" i="12" s="1"/>
  <c r="B39" i="11"/>
  <c r="B70" i="11"/>
  <c r="B71" i="11"/>
  <c r="B72" i="11"/>
  <c r="B73" i="11"/>
  <c r="B74" i="11"/>
  <c r="B75" i="11"/>
  <c r="B158" i="12"/>
  <c r="C158" i="12"/>
  <c r="D158" i="12"/>
  <c r="B159" i="12"/>
  <c r="C159" i="12"/>
  <c r="D159" i="12"/>
  <c r="B160" i="12"/>
  <c r="C160" i="12"/>
  <c r="D160" i="12"/>
  <c r="B161" i="12"/>
  <c r="C161" i="12"/>
  <c r="D161" i="12"/>
  <c r="B162" i="12"/>
  <c r="C162" i="12"/>
  <c r="D162" i="12"/>
  <c r="B163" i="12"/>
  <c r="C163" i="12"/>
  <c r="D163" i="12"/>
  <c r="B164" i="12"/>
  <c r="C164" i="12"/>
  <c r="D164" i="12"/>
  <c r="B165" i="12"/>
  <c r="C165" i="12"/>
  <c r="D165" i="12"/>
  <c r="A6" i="13"/>
  <c r="D6" i="13"/>
  <c r="G6" i="13"/>
  <c r="J6" i="13"/>
  <c r="A9" i="13"/>
  <c r="D9" i="13"/>
  <c r="G9" i="13"/>
  <c r="J9" i="13"/>
  <c r="A15" i="13"/>
  <c r="D15" i="13"/>
  <c r="G15" i="13"/>
  <c r="J15" i="13"/>
  <c r="A16" i="13"/>
  <c r="D16" i="13"/>
  <c r="G16" i="13"/>
  <c r="J16" i="13"/>
  <c r="A17" i="13"/>
  <c r="D17" i="13"/>
  <c r="G17" i="13"/>
  <c r="J17" i="13"/>
  <c r="A20" i="13"/>
  <c r="D20" i="13"/>
  <c r="G20" i="13"/>
  <c r="J20" i="13"/>
  <c r="A21" i="13"/>
  <c r="D21" i="13"/>
  <c r="G21" i="13"/>
  <c r="J21" i="13"/>
  <c r="A22" i="13"/>
  <c r="D22" i="13"/>
  <c r="G22" i="13"/>
  <c r="J22" i="13"/>
  <c r="A29" i="13"/>
  <c r="E29" i="13"/>
  <c r="I29" i="13"/>
  <c r="A32" i="13"/>
  <c r="E32" i="13"/>
  <c r="I32" i="13"/>
  <c r="A38" i="13"/>
  <c r="C38" i="13"/>
  <c r="E38" i="13"/>
  <c r="G38" i="13"/>
  <c r="I38" i="13"/>
  <c r="K38" i="13"/>
  <c r="E40" i="13"/>
  <c r="I41" i="13"/>
  <c r="A46" i="13"/>
  <c r="E46" i="13"/>
  <c r="I46" i="13"/>
  <c r="A53" i="13"/>
  <c r="E53" i="13"/>
  <c r="I53" i="13"/>
</calcChain>
</file>

<file path=xl/sharedStrings.xml><?xml version="1.0" encoding="utf-8"?>
<sst xmlns="http://schemas.openxmlformats.org/spreadsheetml/2006/main" count="542" uniqueCount="405">
  <si>
    <t>Setting ID</t>
  </si>
  <si>
    <t>Setting Name</t>
  </si>
  <si>
    <t>Setting Value</t>
  </si>
  <si>
    <t>Setting Category</t>
  </si>
  <si>
    <t>Description</t>
  </si>
  <si>
    <t>Category ID</t>
  </si>
  <si>
    <t>Category Name</t>
  </si>
  <si>
    <t>Category Type</t>
  </si>
  <si>
    <t>Parent Category</t>
  </si>
  <si>
    <t>Status</t>
  </si>
  <si>
    <t>Display Order</t>
  </si>
  <si>
    <t>Notes</t>
  </si>
  <si>
    <t>Account ID</t>
  </si>
  <si>
    <t>Account Name</t>
  </si>
  <si>
    <t>Account Type</t>
  </si>
  <si>
    <t>Institution</t>
  </si>
  <si>
    <t>Opening Balance</t>
  </si>
  <si>
    <t>Current Balance</t>
  </si>
  <si>
    <t>Currency</t>
  </si>
  <si>
    <t>Income Source ID</t>
  </si>
  <si>
    <t>Income Source Name</t>
  </si>
  <si>
    <t>Income Category</t>
  </si>
  <si>
    <t>Default Receiving Account</t>
  </si>
  <si>
    <t>Asset ID</t>
  </si>
  <si>
    <t>Asset Name</t>
  </si>
  <si>
    <t>Asset Category</t>
  </si>
  <si>
    <t>Asset Type</t>
  </si>
  <si>
    <t>Linked Account</t>
  </si>
  <si>
    <t>Purchase Date</t>
  </si>
  <si>
    <t>Purchase Value</t>
  </si>
  <si>
    <t>Current Value</t>
  </si>
  <si>
    <t>Appreciation Amount</t>
  </si>
  <si>
    <t>Appreciation %</t>
  </si>
  <si>
    <t>Ownership Type</t>
  </si>
  <si>
    <t>Liability ID</t>
  </si>
  <si>
    <t>Liability Name</t>
  </si>
  <si>
    <t>Liability Type</t>
  </si>
  <si>
    <t>Original Amount</t>
  </si>
  <si>
    <t>Outstanding Balance</t>
  </si>
  <si>
    <t>Interest Rate</t>
  </si>
  <si>
    <t>EMI Amount</t>
  </si>
  <si>
    <t>EMI Frequency</t>
  </si>
  <si>
    <t>EMI Due Day</t>
  </si>
  <si>
    <t>Start Date</t>
  </si>
  <si>
    <t>End Date</t>
  </si>
  <si>
    <t>Linked Payment Account</t>
  </si>
  <si>
    <t>Auto EMI</t>
  </si>
  <si>
    <t>Commitment ID</t>
  </si>
  <si>
    <t>Commitment Name</t>
  </si>
  <si>
    <t>Commitment Type</t>
  </si>
  <si>
    <t>Linked Liability ID</t>
  </si>
  <si>
    <t>Linked Goal ID</t>
  </si>
  <si>
    <t>Payment Account</t>
  </si>
  <si>
    <t>Amount</t>
  </si>
  <si>
    <t>Frequency</t>
  </si>
  <si>
    <t>Due Day</t>
  </si>
  <si>
    <t>Auto Generate</t>
  </si>
  <si>
    <t>Transaction ID</t>
  </si>
  <si>
    <t>Transaction Date</t>
  </si>
  <si>
    <t>Transaction Type</t>
  </si>
  <si>
    <t>Source Account</t>
  </si>
  <si>
    <t>Destination Type</t>
  </si>
  <si>
    <t>Destination Name</t>
  </si>
  <si>
    <t>Category</t>
  </si>
  <si>
    <t>Income Source</t>
  </si>
  <si>
    <t>Payment Method</t>
  </si>
  <si>
    <t>Transaction Status</t>
  </si>
  <si>
    <t>Created Timestamp</t>
  </si>
  <si>
    <t>Goal ID</t>
  </si>
  <si>
    <t>Goal Name</t>
  </si>
  <si>
    <t>Goal Category</t>
  </si>
  <si>
    <t>Goal Account</t>
  </si>
  <si>
    <t>Target Amount</t>
  </si>
  <si>
    <t>Current Saved Amount</t>
  </si>
  <si>
    <t>Remaining Amount</t>
  </si>
  <si>
    <t>Monthly Contribution Target</t>
  </si>
  <si>
    <t>Target Date</t>
  </si>
  <si>
    <t>Priority</t>
  </si>
  <si>
    <t>Goal Status</t>
  </si>
  <si>
    <t>Currency Code</t>
  </si>
  <si>
    <t>Currency Name</t>
  </si>
  <si>
    <t>Symbol</t>
  </si>
  <si>
    <t>INR</t>
  </si>
  <si>
    <t>USD</t>
  </si>
  <si>
    <t>EUR</t>
  </si>
  <si>
    <t>GBP</t>
  </si>
  <si>
    <t>AED</t>
  </si>
  <si>
    <t>Bank Transfer</t>
  </si>
  <si>
    <t>Cash</t>
  </si>
  <si>
    <t>UPI</t>
  </si>
  <si>
    <t>Debit Card</t>
  </si>
  <si>
    <t>Credit Card</t>
  </si>
  <si>
    <t>Wallet</t>
  </si>
  <si>
    <t>Net Banking</t>
  </si>
  <si>
    <t>Other</t>
  </si>
  <si>
    <t>Income</t>
  </si>
  <si>
    <t>Expense</t>
  </si>
  <si>
    <t>Transfer</t>
  </si>
  <si>
    <t>Adjustment</t>
  </si>
  <si>
    <t>Expense Category</t>
  </si>
  <si>
    <t>Account</t>
  </si>
  <si>
    <t>Goal</t>
  </si>
  <si>
    <t>Liability</t>
  </si>
  <si>
    <t>Asset</t>
  </si>
  <si>
    <t>Monthly</t>
  </si>
  <si>
    <t>Quarterly</t>
  </si>
  <si>
    <t>Half-Yearly</t>
  </si>
  <si>
    <t>Yearly</t>
  </si>
  <si>
    <t>High</t>
  </si>
  <si>
    <t>Medium</t>
  </si>
  <si>
    <t>Low</t>
  </si>
  <si>
    <t>Active</t>
  </si>
  <si>
    <t>Inactive</t>
  </si>
  <si>
    <t>Paused</t>
  </si>
  <si>
    <t>Completed</t>
  </si>
  <si>
    <t>Closed</t>
  </si>
  <si>
    <t>Liability Status</t>
  </si>
  <si>
    <t>Account Status</t>
  </si>
  <si>
    <t>Commitment Status</t>
  </si>
  <si>
    <t>Individual</t>
  </si>
  <si>
    <t>Joint</t>
  </si>
  <si>
    <t>Yes No</t>
  </si>
  <si>
    <t>Yes</t>
  </si>
  <si>
    <t>No</t>
  </si>
  <si>
    <t>Savings Bank</t>
  </si>
  <si>
    <t>Current Bank</t>
  </si>
  <si>
    <t>Investment Account</t>
  </si>
  <si>
    <t>Theme</t>
  </si>
  <si>
    <t>FinanceOS Default</t>
  </si>
  <si>
    <t>Month Number</t>
  </si>
  <si>
    <t>Month Name</t>
  </si>
  <si>
    <t>Short Name</t>
  </si>
  <si>
    <t>January</t>
  </si>
  <si>
    <t>Jan</t>
  </si>
  <si>
    <t>February</t>
  </si>
  <si>
    <t>Feb</t>
  </si>
  <si>
    <t>March</t>
  </si>
  <si>
    <t>Mar</t>
  </si>
  <si>
    <t>April</t>
  </si>
  <si>
    <t>Apr</t>
  </si>
  <si>
    <t>May</t>
  </si>
  <si>
    <t>June</t>
  </si>
  <si>
    <t>Jun</t>
  </si>
  <si>
    <t>July</t>
  </si>
  <si>
    <t>Jul</t>
  </si>
  <si>
    <t>August</t>
  </si>
  <si>
    <t>Aug</t>
  </si>
  <si>
    <t>September</t>
  </si>
  <si>
    <t>Sep</t>
  </si>
  <si>
    <t>October</t>
  </si>
  <si>
    <t>Oct</t>
  </si>
  <si>
    <t>November</t>
  </si>
  <si>
    <t>Nov</t>
  </si>
  <si>
    <t>December</t>
  </si>
  <si>
    <t>Dec</t>
  </si>
  <si>
    <t>Financial Year</t>
  </si>
  <si>
    <t>Validation Output Placeholders</t>
  </si>
  <si>
    <t>valExpenseCategories</t>
  </si>
  <si>
    <t>valIncomeCategories</t>
  </si>
  <si>
    <t>valActiveAccounts</t>
  </si>
  <si>
    <t>valActiveGoals</t>
  </si>
  <si>
    <t>valActiveAssets</t>
  </si>
  <si>
    <t>valActiveLiabilities</t>
  </si>
  <si>
    <t>valIncomeSources</t>
  </si>
  <si>
    <t>valPaymentMethods</t>
  </si>
  <si>
    <t>valFrequency</t>
  </si>
  <si>
    <t>valPriority</t>
  </si>
  <si>
    <t>valAccountTypes</t>
  </si>
  <si>
    <t>valCategoryTypes</t>
  </si>
  <si>
    <t>valThemes</t>
  </si>
  <si>
    <t>valCurrencies</t>
  </si>
  <si>
    <t>valDestinationTypes</t>
  </si>
  <si>
    <t>valTransactionTypes</t>
  </si>
  <si>
    <t>valGoalStatus</t>
  </si>
  <si>
    <t>valAccountStatus</t>
  </si>
  <si>
    <t>valCommitmentStatus</t>
  </si>
  <si>
    <t>Analysis Engine</t>
  </si>
  <si>
    <t>Dashboard</t>
  </si>
  <si>
    <t>Insights</t>
  </si>
  <si>
    <t>Income Type</t>
  </si>
  <si>
    <t>Mutual Fund</t>
  </si>
  <si>
    <t>Stock</t>
  </si>
  <si>
    <t>ETF</t>
  </si>
  <si>
    <t>Gold ETF</t>
  </si>
  <si>
    <t>Bond</t>
  </si>
  <si>
    <t>SIP</t>
  </si>
  <si>
    <t>Fixed Deposit</t>
  </si>
  <si>
    <t>PPF</t>
  </si>
  <si>
    <t>EPF</t>
  </si>
  <si>
    <t>NPS</t>
  </si>
  <si>
    <t>Gold Jewellery</t>
  </si>
  <si>
    <t>Gold Coin</t>
  </si>
  <si>
    <t>Vehicle</t>
  </si>
  <si>
    <t>Electronics</t>
  </si>
  <si>
    <t>Furniture</t>
  </si>
  <si>
    <t>Watch</t>
  </si>
  <si>
    <t>Other Physical Asset</t>
  </si>
  <si>
    <t>Residential Property</t>
  </si>
  <si>
    <t>Commercial Property</t>
  </si>
  <si>
    <t>Land</t>
  </si>
  <si>
    <t>Plot</t>
  </si>
  <si>
    <t>Emergency Cash</t>
  </si>
  <si>
    <t>Foreign Currency</t>
  </si>
  <si>
    <t>Cash Reserve</t>
  </si>
  <si>
    <t>Home Loan</t>
  </si>
  <si>
    <t>Personal Loan</t>
  </si>
  <si>
    <t>Education Loan</t>
  </si>
  <si>
    <t>Vehicle Loan</t>
  </si>
  <si>
    <t>Gold Loan</t>
  </si>
  <si>
    <t>Buy Now Pay Later</t>
  </si>
  <si>
    <t>Family Loan</t>
  </si>
  <si>
    <t>Business Loan</t>
  </si>
  <si>
    <t>Other Liability</t>
  </si>
  <si>
    <t>Salary</t>
  </si>
  <si>
    <t>Freelance</t>
  </si>
  <si>
    <t>Bonus</t>
  </si>
  <si>
    <t>Rental Income</t>
  </si>
  <si>
    <t>Interest</t>
  </si>
  <si>
    <t>Cashback</t>
  </si>
  <si>
    <t>Refund</t>
  </si>
  <si>
    <t>Business Income</t>
  </si>
  <si>
    <t>Investment</t>
  </si>
  <si>
    <t>As-Of Date</t>
  </si>
  <si>
    <t>SECTION 1 — Accounts Summary</t>
  </si>
  <si>
    <t>Total Active Account Balance</t>
  </si>
  <si>
    <t>Number of Active Accounts</t>
  </si>
  <si>
    <t>Cash Accounts Total</t>
  </si>
  <si>
    <t>Savings Accounts Total</t>
  </si>
  <si>
    <t>Investment Accounts Total</t>
  </si>
  <si>
    <t>Credit Accounts Total</t>
  </si>
  <si>
    <t>SECTION 2 — Income Summary</t>
  </si>
  <si>
    <t>Monthly Salary Income</t>
  </si>
  <si>
    <t>Monthly Business Income</t>
  </si>
  <si>
    <t>Monthly Freelance Income</t>
  </si>
  <si>
    <t>Monthly Investment Income</t>
  </si>
  <si>
    <t>Total Monthly Income</t>
  </si>
  <si>
    <t>Monthly Other Income</t>
  </si>
  <si>
    <t>Total Annual Income</t>
  </si>
  <si>
    <t>Active Income Source Count</t>
  </si>
  <si>
    <t>SECTION 3 — Expense Summary</t>
  </si>
  <si>
    <t>Current Month Expenses</t>
  </si>
  <si>
    <t>Previous Month Expenses</t>
  </si>
  <si>
    <t>Year-to-Date Expenses</t>
  </si>
  <si>
    <t>Expense Transaction Count</t>
  </si>
  <si>
    <t>SECTION 4 — Savings Summary</t>
  </si>
  <si>
    <t>Current Month Income</t>
  </si>
  <si>
    <t>Current Month Savings</t>
  </si>
  <si>
    <t>Savings Rate (%)</t>
  </si>
  <si>
    <t>Average Monthly Savings</t>
  </si>
  <si>
    <t>SECTION 5 — Asset Summary</t>
  </si>
  <si>
    <t>Total Purchase Value</t>
  </si>
  <si>
    <t>Total Current Value</t>
  </si>
  <si>
    <t>Total Appreciation Amount</t>
  </si>
  <si>
    <t>Weighted Appreciation %</t>
  </si>
  <si>
    <t>Active Asset Count</t>
  </si>
  <si>
    <t>SECTION 6 — Liability Summary</t>
  </si>
  <si>
    <t>Total Original Liability</t>
  </si>
  <si>
    <t>Total Outstanding Balance</t>
  </si>
  <si>
    <t>Total Monthly EMI</t>
  </si>
  <si>
    <t>Weighted Interest Rate</t>
  </si>
  <si>
    <t>Active Liability Count</t>
  </si>
  <si>
    <t>SECTION 7 — Net Worth</t>
  </si>
  <si>
    <t>Net Worth</t>
  </si>
  <si>
    <t>Liquid Net Worth</t>
  </si>
  <si>
    <t>Invested Net Worth</t>
  </si>
  <si>
    <t>SECTION 8 — Goal Summary</t>
  </si>
  <si>
    <t>Total Goal Target Amount</t>
  </si>
  <si>
    <t>Total Saved Toward Goals</t>
  </si>
  <si>
    <t>Remaining Goal Amount</t>
  </si>
  <si>
    <t>Active Goal Count</t>
  </si>
  <si>
    <t>Completed Goal Count</t>
  </si>
  <si>
    <t>Goal Completion %</t>
  </si>
  <si>
    <t>SECTION 9 — Monthly Financial Health</t>
  </si>
  <si>
    <t>Expenses</t>
  </si>
  <si>
    <t>Savings</t>
  </si>
  <si>
    <t>Savings Rate</t>
  </si>
  <si>
    <t>EMI Ratio</t>
  </si>
  <si>
    <t>Asset Allocation</t>
  </si>
  <si>
    <t>Debt Ratio</t>
  </si>
  <si>
    <t>CMStart</t>
  </si>
  <si>
    <t>NMStart</t>
  </si>
  <si>
    <t>PMStart</t>
  </si>
  <si>
    <t>YearStart</t>
  </si>
  <si>
    <t>AsOf</t>
  </si>
  <si>
    <t>NextYear</t>
  </si>
  <si>
    <t>SECTION 1 â€” Monthly Income Summary</t>
  </si>
  <si>
    <t>Metric</t>
  </si>
  <si>
    <t>Current Month</t>
  </si>
  <si>
    <t>Previous Month</t>
  </si>
  <si>
    <t>YTD (through As-Of)</t>
  </si>
  <si>
    <t>Total Income</t>
  </si>
  <si>
    <t>Other Income</t>
  </si>
  <si>
    <t>SECTION 2 â€” Monthly Expense Summary</t>
  </si>
  <si>
    <t>Total Expenses</t>
  </si>
  <si>
    <t>YTD</t>
  </si>
  <si>
    <t>Share of Current</t>
  </si>
  <si>
    <t>Rank</t>
  </si>
  <si>
    <t>Monthly Trend (calendar year of As-Of Date)</t>
  </si>
  <si>
    <t>Month</t>
  </si>
  <si>
    <t>SECTION 3 â€” Cash Flow Analysis</t>
  </si>
  <si>
    <t>MoM Expense Change</t>
  </si>
  <si>
    <t>MoM Expense Change %</t>
  </si>
  <si>
    <t>Running monthly table</t>
  </si>
  <si>
    <t>See Section 2 rows 30-41</t>
  </si>
  <si>
    <t>SECTION 4 â€” Asset Analysis</t>
  </si>
  <si>
    <t>Appreciation</t>
  </si>
  <si>
    <t>Allocation by Asset Type</t>
  </si>
  <si>
    <t>Allocation %</t>
  </si>
  <si>
    <t>SECTION 5 â€” Liability Analysis</t>
  </si>
  <si>
    <t>Est. Monthly Interest</t>
  </si>
  <si>
    <t>EMI Ratio (from BE)</t>
  </si>
  <si>
    <t>Debt Ratio (from BE)</t>
  </si>
  <si>
    <t>Liability breakdown by type</t>
  </si>
  <si>
    <t>Outstanding</t>
  </si>
  <si>
    <t>Mix %</t>
  </si>
  <si>
    <t>SECTION 6 â€” Goal Analysis</t>
  </si>
  <si>
    <t>Progress %</t>
  </si>
  <si>
    <t>Remaining</t>
  </si>
  <si>
    <t>Monthly Contribution Needed</t>
  </si>
  <si>
    <t>Overdue Flag</t>
  </si>
  <si>
    <t>Overdue Goal Count</t>
  </si>
  <si>
    <t>Goal Completion % (BE)</t>
  </si>
  <si>
    <t>Active Goal Count (BE)</t>
  </si>
  <si>
    <t>SECTION 7 â€” Category Analysis</t>
  </si>
  <si>
    <t>Income categories (current month)</t>
  </si>
  <si>
    <t>Expense categories ranked (see also Section 2 F17:F26)</t>
  </si>
  <si>
    <t>Largest Expense Category</t>
  </si>
  <si>
    <t>Largest Expense Amount</t>
  </si>
  <si>
    <t>SECTION 8 â€” Account Analysis</t>
  </si>
  <si>
    <t>Active Accounts</t>
  </si>
  <si>
    <t>SECTION 9 â€” KPI Output Table (Dashboard source)</t>
  </si>
  <si>
    <t>KPI</t>
  </si>
  <si>
    <t>Value</t>
  </si>
  <si>
    <t>Monthly Income</t>
  </si>
  <si>
    <t>Monthly Expenses</t>
  </si>
  <si>
    <t>Monthly Savings</t>
  </si>
  <si>
    <t>Liquid Net Worth (placeholder)</t>
  </si>
  <si>
    <t>Asset Current Value</t>
  </si>
  <si>
    <t>Liability Outstanding</t>
  </si>
  <si>
    <t>Emergency Coverage Months (placeholder)</t>
  </si>
  <si>
    <t>Include in Dashboard</t>
  </si>
  <si>
    <t>Pending</t>
  </si>
  <si>
    <t>Cancelled</t>
  </si>
  <si>
    <t>Reconciled</t>
  </si>
  <si>
    <t>Money In</t>
  </si>
  <si>
    <t>Money Out</t>
  </si>
  <si>
    <t>Last Transaction Date</t>
  </si>
  <si>
    <t>Dashboard Enabled</t>
  </si>
  <si>
    <t>Active Account Count</t>
  </si>
  <si>
    <t>Total Opening Balance</t>
  </si>
  <si>
    <t>Total Current Balance</t>
  </si>
  <si>
    <t>Total Cash Balance</t>
  </si>
  <si>
    <t>Savings Bank Balance</t>
  </si>
  <si>
    <t>Current Bank Balance</t>
  </si>
  <si>
    <t>Wallet Balance</t>
  </si>
  <si>
    <t>Active dashboard-enabled account balances from Account Engine</t>
  </si>
  <si>
    <t>valBlank</t>
  </si>
  <si>
    <t>Liability Payment Total</t>
  </si>
  <si>
    <t>Asset Purchase Total</t>
  </si>
  <si>
    <t>Asset Category Totals</t>
  </si>
  <si>
    <t>Investment Value</t>
  </si>
  <si>
    <t>Physical Asset Value</t>
  </si>
  <si>
    <t>Property Value</t>
  </si>
  <si>
    <t>Retirement Asset Value</t>
  </si>
  <si>
    <t>Cash Equivalent Value</t>
  </si>
  <si>
    <t>Other Asset Value</t>
  </si>
  <si>
    <t>SECTION 10 — RC1 Analysis Health</t>
  </si>
  <si>
    <t>Dimension</t>
  </si>
  <si>
    <t>Band</t>
  </si>
  <si>
    <t>Score</t>
  </si>
  <si>
    <t>Severity</t>
  </si>
  <si>
    <t>Savings Health</t>
  </si>
  <si>
    <t>Expense Health</t>
  </si>
  <si>
    <t>Debt Health</t>
  </si>
  <si>
    <t>Asset Health</t>
  </si>
  <si>
    <t>Goal Health</t>
  </si>
  <si>
    <t>Liquidity Health</t>
  </si>
  <si>
    <t>Net Worth Health</t>
  </si>
  <si>
    <t>Cash Flow Health</t>
  </si>
  <si>
    <t>Financial Snapshot</t>
  </si>
  <si>
    <t>Total Assets</t>
  </si>
  <si>
    <t>Total Liabilities</t>
  </si>
  <si>
    <t>Available Cash</t>
  </si>
  <si>
    <t>Financial Health</t>
  </si>
  <si>
    <t>Goal Progress</t>
  </si>
  <si>
    <t>Total Target</t>
  </si>
  <si>
    <t>Total Saved</t>
  </si>
  <si>
    <t>Active Goals</t>
  </si>
  <si>
    <t>Completed Goals</t>
  </si>
  <si>
    <t>Completion</t>
  </si>
  <si>
    <t>Physical Asset</t>
  </si>
  <si>
    <t>Property</t>
  </si>
  <si>
    <t>Retirement Asset</t>
  </si>
  <si>
    <t>Cash Equivalent</t>
  </si>
  <si>
    <t>Other Asset</t>
  </si>
  <si>
    <t>Total Asset Value</t>
  </si>
  <si>
    <t>Liability Summary</t>
  </si>
  <si>
    <t>Outstanding Debt</t>
  </si>
  <si>
    <t>Monthly EMI</t>
  </si>
  <si>
    <t>Active Liabilities</t>
  </si>
  <si>
    <t>Cash Flow Summary</t>
  </si>
  <si>
    <t>Surplus</t>
  </si>
  <si>
    <t>Monthly Overview</t>
  </si>
  <si>
    <t>Reserved</t>
  </si>
  <si>
    <t>Quick Insights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</si>
</sst>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d\-mmm\-yyyy"/>
    <numFmt numFmtId="165" formatCode="dd/mm/yyyy"/>
    <numFmt numFmtId="166" formatCode="#,##0.00"/>
    <numFmt numFmtId="167" formatCode="dd/mm/yyyy hh:mm"/>
    <numFmt numFmtId="168" formatCode="₹ #,##0.00"/>
    <numFmt numFmtId="169" formatCode="0.0%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6B728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3F4F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Protection="1"/>
    <xf numFmtId="0" fontId="0" fillId="0" borderId="0" xfId="0" applyProtection="1">
      <protection locked="0"/>
    </xf>
    <xf numFmtId="0" fontId="1" fillId="0" borderId="0" xfId="0" applyFont="1"/>
    <xf numFmtId="164" fontId="0" fillId="0" borderId="0" xfId="0" applyNumberFormat="1" applyProtection="1">
      <protection locked="0"/>
    </xf>
    <xf numFmtId="165" fontId="0" fillId="0" borderId="0" xfId="0" applyNumberFormat="1" applyAlignment="1" applyProtection="1">
      <alignment horizontal="center" vertical="center"/>
      <protection locked="0"/>
    </xf>
    <xf numFmtId="166" fontId="0" fillId="0" borderId="0" xfId="0" applyNumberFormat="1" applyAlignment="1" applyProtection="1">
      <alignment horizontal="right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horizontal="left" vertical="center" wrapText="0"/>
      <protection locked="0"/>
    </xf>
    <xf numFmtId="0" fontId="2" fillId="2" borderId="0" xfId="0" applyFont="1" applyFill="1" applyAlignment="1" applyProtection="1">
      <alignment horizontal="left" vertical="center"/>
    </xf>
    <xf numFmtId="167" fontId="2" fillId="2" borderId="0" xfId="0" applyNumberFormat="1" applyFont="1" applyFill="1" applyAlignment="1" applyProtection="1">
      <alignment horizontal="center" vertical="center"/>
    </xf>
    <xf numFmtId="10" fontId="0" fillId="0" borderId="0" xfId="0" applyNumberFormat="1" applyProtection="1"/>
    <xf numFmtId="168" fontId="1" fillId="0" borderId="0" xfId="0" applyNumberFormat="1" applyFont="1" applyAlignment="1" applyProtection="1">
      <alignment horizontal="right" vertical="center"/>
    </xf>
    <xf numFmtId="169" fontId="1" fillId="0" borderId="0" xfId="0" applyNumberFormat="1" applyFont="1" applyAlignment="1" applyProtection="1">
      <alignment horizontal="right" vertical="center"/>
    </xf>
    <xf numFmtId="1" fontId="1" fillId="0" borderId="0" xfId="0" applyNumberFormat="1" applyFont="1" applyAlignment="1" applyProtection="1">
      <alignment horizontal="right" vertical="center"/>
    </xf>
  </cellXfs>
  <cellStyles count="1">
    <cellStyle name="Normal" xfId="0" builtinId="0"/>
  </cellStyles>
  <dxfs count="7">
    <dxf>
      <fill>
        <patternFill patternType="solid">
          <fgColor rgb="FFFFF6DE"/>
          <bgColor indexed="64"/>
        </patternFill>
      </fill>
    </dxf>
    <dxf>
      <fill>
        <patternFill patternType="solid">
          <fgColor rgb="FFE5F6EA"/>
          <bgColor indexed="64"/>
        </patternFill>
      </fill>
    </dxf>
    <dxf>
      <fill>
        <patternFill patternType="solid">
          <fgColor rgb="FFFFF3D6"/>
          <bgColor indexed="64"/>
        </patternFill>
      </fill>
    </dxf>
    <dxf>
      <fill>
        <patternFill patternType="solid">
          <fgColor rgb="FFFDECEC"/>
          <bgColor indexed="64"/>
        </patternFill>
      </fill>
    </dxf>
    <dxf>
      <fill>
        <patternFill patternType="solid">
          <fgColor rgb="FFE6ECF1"/>
          <bgColor indexed="64"/>
        </patternFill>
      </fill>
    </dxf>
    <dxf>
      <fill>
        <patternFill patternType="solid">
          <fgColor rgb="FFE6F1FA"/>
          <bgColor indexed="64"/>
        </patternFill>
      </fill>
    </dxf>
    <dxf>
      <fill>
        <patternFill patternType="solid">
          <fgColor rgb="FFF3EAF8"/>
          <bgColor indexed="6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Settings" displayName="tblSettings" ref="A1:E200" totalsRowShown="0">
  <autoFilter ref="A1:E200" xr:uid="{00000000-0009-0000-0100-000001000000}"/>
  <tableColumns count="5">
    <tableColumn id="1" xr3:uid="{00000000-0010-0000-0000-000001000000}" name="Setting ID"/>
    <tableColumn id="2" xr3:uid="{00000000-0010-0000-0000-000002000000}" name="Setting Name"/>
    <tableColumn id="3" xr3:uid="{00000000-0010-0000-0000-000003000000}" name="Setting Value"/>
    <tableColumn id="4" xr3:uid="{00000000-0010-0000-0000-000004000000}" name="Setting Category"/>
    <tableColumn id="5" xr3:uid="{00000000-0010-0000-0000-000005000000}" name="Descrip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Categories" displayName="tblCategories" ref="A1:G200" totalsRowShown="0">
  <autoFilter ref="A1:G200" xr:uid="{00000000-0009-0000-0100-000002000000}"/>
  <tableColumns count="7">
    <tableColumn id="1" xr3:uid="{00000000-0010-0000-0100-000001000000}" name="Category ID"/>
    <tableColumn id="2" xr3:uid="{00000000-0010-0000-0100-000002000000}" name="Category Name"/>
    <tableColumn id="3" xr3:uid="{00000000-0010-0000-0100-000003000000}" name="Category Type"/>
    <tableColumn id="4" xr3:uid="{00000000-0010-0000-0100-000004000000}" name="Parent Category"/>
    <tableColumn id="5" xr3:uid="{00000000-0010-0000-0100-000005000000}" name="Status"/>
    <tableColumn id="6" xr3:uid="{00000000-0010-0000-0100-000006000000}" name="Display Order"/>
    <tableColumn id="7" xr3:uid="{00000000-0010-0000-0100-000007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Accounts" displayName="tblAccounts" ref="A1:J200" totalsRowShown="0">
  <autoFilter ref="A1:J200" xr:uid="{00000000-0009-0000-0100-000003000000}"/>
  <tableColumns count="10">
    <tableColumn id="1" xr3:uid="{00000000-0010-0000-0200-000001000000}" name="Account ID"/>
    <tableColumn id="2" xr3:uid="{00000000-0010-0000-0200-000002000000}" name="Account Name"/>
    <tableColumn id="3" xr3:uid="{00000000-0010-0000-0200-000003000000}" name="Account Type"/>
    <tableColumn id="4" xr3:uid="{00000000-0010-0000-0200-000004000000}" name="Institution"/>
    <tableColumn id="5" xr3:uid="{00000000-0010-0000-0200-000005000000}" name="Opening Balance"/>
    <tableColumn id="6" xr3:uid="{00000000-0010-0000-0200-000006000000}" name="Current Balance">
      <calculatedColumnFormula>IF(tblAccounts[[#This Row],[Account Name]]="","",INDEX('Business Engine'!$H$2:$H$200,ROW()-ROW(tblAccounts[#Headers])))</calculatedColumnFormula>
    </tableColumn>
    <tableColumn id="7" xr3:uid="{00000000-0010-0000-0200-000007000000}" name="Currency"/>
    <tableColumn id="10" xr3:uid="{00000000-0010-0000-0200-00000A000000}" name="Include in Dashboard"/>
    <tableColumn id="8" xr3:uid="{00000000-0010-0000-0200-000008000000}" name="Status"/>
    <tableColumn id="9" xr3:uid="{00000000-0010-0000-0200-000009000000}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IncomeSources" displayName="tblIncomeSources" ref="A1:F200" totalsRowShown="0">
  <autoFilter ref="A1:F200" xr:uid="{00000000-0009-0000-0100-000004000000}"/>
  <tableColumns count="6">
    <tableColumn id="1" xr3:uid="{00000000-0010-0000-0300-000001000000}" name="Income Source ID"/>
    <tableColumn id="2" xr3:uid="{00000000-0010-0000-0300-000002000000}" name="Income Source Name"/>
    <tableColumn id="3" xr3:uid="{00000000-0010-0000-0300-000003000000}" name="Income Category"/>
    <tableColumn id="4" xr3:uid="{00000000-0010-0000-0300-000004000000}" name="Default Receiving Account"/>
    <tableColumn id="5" xr3:uid="{00000000-0010-0000-0300-000005000000}" name="Status"/>
    <tableColumn id="6" xr3:uid="{00000000-0010-0000-0300-000006000000}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Assets" displayName="tblAssets" ref="A1:M200" totalsRowShown="0">
  <autoFilter ref="A1:M200" xr:uid="{00000000-0009-0000-0100-000005000000}"/>
  <tableColumns count="13">
    <tableColumn id="1" xr3:uid="{00000000-0010-0000-0400-000001000000}" name="Asset ID"/>
    <tableColumn id="2" xr3:uid="{00000000-0010-0000-0400-000002000000}" name="Asset Name"/>
    <tableColumn id="3" xr3:uid="{00000000-0010-0000-0400-000003000000}" name="Asset Category"/>
    <tableColumn id="4" xr3:uid="{00000000-0010-0000-0400-000004000000}" name="Asset Type"/>
    <tableColumn id="5" xr3:uid="{00000000-0010-0000-0400-000005000000}" name="Linked Account"/>
    <tableColumn id="6" xr3:uid="{00000000-0010-0000-0400-000006000000}" name="Purchase Date"/>
    <tableColumn id="7" xr3:uid="{00000000-0010-0000-0400-000007000000}" name="Purchase Value"/>
    <tableColumn id="8" xr3:uid="{00000000-0010-0000-0400-000008000000}" name="Current Value"/>
    <tableColumn id="9" xr3:uid="{00000000-0010-0000-0400-000009000000}" name="Appreciation Amount">
      <calculatedColumnFormula>tblAssets[[#This Row],[Current Value]]-tblAssets[[#This Row],[Purchase Value]]</calculatedColumnFormula>
    </tableColumn>
    <tableColumn id="10" xr3:uid="{00000000-0010-0000-0400-00000A000000}" name="Appreciation %">
      <calculatedColumnFormula>IFERROR(tblAssets[[#This Row],[Appreciation Amount]]/tblAssets[[#This Row],[Purchase Value]],0)</calculatedColumnFormula>
    </tableColumn>
    <tableColumn id="11" xr3:uid="{00000000-0010-0000-0400-00000B000000}" name="Ownership Type"/>
    <tableColumn id="12" xr3:uid="{00000000-0010-0000-0400-00000C000000}" name="Status"/>
    <tableColumn id="13" xr3:uid="{00000000-0010-0000-0400-00000D000000}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Liabilities" displayName="tblLiabilities" ref="A1:P200" totalsRowShown="0">
  <autoFilter ref="A1:P200" xr:uid="{00000000-0009-0000-0100-000006000000}"/>
  <tableColumns count="16">
    <tableColumn id="1" xr3:uid="{00000000-0010-0000-0500-000001000000}" name="Liability ID"/>
    <tableColumn id="2" xr3:uid="{00000000-0010-0000-0500-000002000000}" name="Liability Name"/>
    <tableColumn id="3" xr3:uid="{00000000-0010-0000-0500-000003000000}" name="Liability Type"/>
    <tableColumn id="4" xr3:uid="{00000000-0010-0000-0500-000004000000}" name="Institution"/>
    <tableColumn id="5" xr3:uid="{00000000-0010-0000-0500-000005000000}" name="Original Amount"/>
    <tableColumn id="6" xr3:uid="{00000000-0010-0000-0500-000006000000}" name="Outstanding Balance"/>
    <tableColumn id="7" xr3:uid="{00000000-0010-0000-0500-000007000000}" name="Interest Rate"/>
    <tableColumn id="8" xr3:uid="{00000000-0010-0000-0500-000008000000}" name="EMI Amount"/>
    <tableColumn id="9" xr3:uid="{00000000-0010-0000-0500-000009000000}" name="EMI Frequency"/>
    <tableColumn id="10" xr3:uid="{00000000-0010-0000-0500-00000A000000}" name="EMI Due Day"/>
    <tableColumn id="11" xr3:uid="{00000000-0010-0000-0500-00000B000000}" name="Start Date"/>
    <tableColumn id="12" xr3:uid="{00000000-0010-0000-0500-00000C000000}" name="End Date"/>
    <tableColumn id="13" xr3:uid="{00000000-0010-0000-0500-00000D000000}" name="Linked Payment Account"/>
    <tableColumn id="14" xr3:uid="{00000000-0010-0000-0500-00000E000000}" name="Auto EMI"/>
    <tableColumn id="15" xr3:uid="{00000000-0010-0000-0500-00000F000000}" name="Status"/>
    <tableColumn id="16" xr3:uid="{00000000-0010-0000-0500-000010000000}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RecurringCommitments" displayName="tblRecurringCommitments" ref="A1:N200" totalsRowShown="0">
  <autoFilter ref="A1:N200" xr:uid="{00000000-0009-0000-0100-000007000000}"/>
  <tableColumns count="14">
    <tableColumn id="1" xr3:uid="{00000000-0010-0000-0600-000001000000}" name="Commitment ID"/>
    <tableColumn id="2" xr3:uid="{00000000-0010-0000-0600-000002000000}" name="Commitment Name"/>
    <tableColumn id="3" xr3:uid="{00000000-0010-0000-0600-000003000000}" name="Commitment Type"/>
    <tableColumn id="4" xr3:uid="{00000000-0010-0000-0600-000004000000}" name="Linked Liability ID"/>
    <tableColumn id="5" xr3:uid="{00000000-0010-0000-0600-000005000000}" name="Linked Goal ID"/>
    <tableColumn id="6" xr3:uid="{00000000-0010-0000-0600-000006000000}" name="Payment Account"/>
    <tableColumn id="7" xr3:uid="{00000000-0010-0000-0600-000007000000}" name="Amount"/>
    <tableColumn id="8" xr3:uid="{00000000-0010-0000-0600-000008000000}" name="Frequency"/>
    <tableColumn id="9" xr3:uid="{00000000-0010-0000-0600-000009000000}" name="Due Day"/>
    <tableColumn id="10" xr3:uid="{00000000-0010-0000-0600-00000A000000}" name="Start Date"/>
    <tableColumn id="11" xr3:uid="{00000000-0010-0000-0600-00000B000000}" name="End Date"/>
    <tableColumn id="12" xr3:uid="{00000000-0010-0000-0600-00000C000000}" name="Auto Generate"/>
    <tableColumn id="13" xr3:uid="{00000000-0010-0000-0600-00000D000000}" name="Status"/>
    <tableColumn id="14" xr3:uid="{00000000-0010-0000-0600-00000E000000}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Transactions" displayName="tblTransactions" ref="A1:M200" totalsRowShown="0">
  <autoFilter ref="A1:M200" xr:uid="{00000000-0009-0000-0100-000008000000}"/>
  <tableColumns count="13">
    <tableColumn id="1" xr3:uid="{00000000-0010-0000-0700-000001000000}" name="Transaction ID"/>
    <tableColumn id="2" xr3:uid="{00000000-0010-0000-0700-000002000000}" name="Transaction Date"/>
    <tableColumn id="3" xr3:uid="{00000000-0010-0000-0700-000003000000}" name="Transaction Type"/>
    <tableColumn id="4" xr3:uid="{00000000-0010-0000-0700-000004000000}" name="Source Account"/>
    <tableColumn id="5" xr3:uid="{00000000-0010-0000-0700-000005000000}" name="Destination Type"/>
    <tableColumn id="6" xr3:uid="{00000000-0010-0000-0700-000006000000}" name="Destination Name"/>
    <tableColumn id="7" xr3:uid="{00000000-0010-0000-0700-000007000000}" name="Category"/>
    <tableColumn id="8" xr3:uid="{00000000-0010-0000-0700-000008000000}" name="Income Source"/>
    <tableColumn id="9" xr3:uid="{00000000-0010-0000-0700-000009000000}" name="Amount"/>
    <tableColumn id="10" xr3:uid="{00000000-0010-0000-0700-00000A000000}" name="Payment Method"/>
    <tableColumn id="11" xr3:uid="{00000000-0010-0000-0700-00000B000000}" name="Transaction Status"/>
    <tableColumn id="12" xr3:uid="{00000000-0010-0000-0700-00000C000000}" name="Notes"/>
    <tableColumn id="13" xr3:uid="{00000000-0010-0000-0700-00000D000000}" name="Created Timestamp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Goals" displayName="tblGoals" ref="A1:L200" totalsRowShown="0">
  <autoFilter ref="A1:L200" xr:uid="{00000000-0009-0000-0100-000009000000}"/>
  <tableColumns count="12">
    <tableColumn id="1" xr3:uid="{00000000-0010-0000-0800-000001000000}" name="Goal ID"/>
    <tableColumn id="2" xr3:uid="{00000000-0010-0000-0800-000002000000}" name="Goal Name"/>
    <tableColumn id="3" xr3:uid="{00000000-0010-0000-0800-000003000000}" name="Goal Category"/>
    <tableColumn id="4" xr3:uid="{00000000-0010-0000-0800-000004000000}" name="Goal Account"/>
    <tableColumn id="5" xr3:uid="{00000000-0010-0000-0800-000005000000}" name="Target Amount"/>
    <tableColumn id="6" xr3:uid="{00000000-0010-0000-0800-000006000000}" name="Current Saved Amount">
      <calculatedColumnFormula>IF(tblGoals[[#This Row],[Goal ID]]="","",IFERROR(SUMPRODUCT((tblTransactions[Transaction Type]="Expense")*(tblTransactions[Destination Type]="Goal")*((tblTransactions[Transaction Status]="Completed")+(tblTransactions[Transaction Status]="Reconciled"))*(IFERROR(INDEX(tblGoals[Goal ID],MATCH(tblTransactions[Destination Name],tblGoals[Goal ID],0)),IFERROR(INDEX(tblGoals[Goal ID],MATCH(tblTransactions[Destination Name],tblGoals[Goal Name],0)),""))=tblGoals[[#This Row],[Goal ID]])*(tblTransactions[Amount])),0))</calculatedColumnFormula>
    </tableColumn>
    <tableColumn id="7" xr3:uid="{00000000-0010-0000-0800-000007000000}" name="Remaining Amount">
      <calculatedColumnFormula>MAX(0,tblGoals[[#This Row],[Target Amount]]-tblGoals[[#This Row],[Current Saved Amount]])</calculatedColumnFormula>
    </tableColumn>
    <tableColumn id="8" xr3:uid="{00000000-0010-0000-0800-000008000000}" name="Monthly Contribution Target"/>
    <tableColumn id="9" xr3:uid="{00000000-0010-0000-0800-000009000000}" name="Target Date"/>
    <tableColumn id="10" xr3:uid="{00000000-0010-0000-0800-00000A000000}" name="Priority"/>
    <tableColumn id="11" xr3:uid="{00000000-0010-0000-0800-00000B000000}" name="Goal Status"/>
    <tableColumn id="12" xr3:uid="{00000000-0010-0000-0800-00000C000000}" name="Not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lkpCurrency" displayName="lkpCurrency" ref="A1:C6" totalsRowShown="0">
  <autoFilter ref="A1:C6" xr:uid="{00000000-0009-0000-0100-00000A000000}"/>
  <tableColumns count="3">
    <tableColumn id="1" xr3:uid="{00000000-0010-0000-0900-000001000000}" name="Currency Code"/>
    <tableColumn id="2" xr3:uid="{00000000-0010-0000-0900-000002000000}" name="Currency Name"/>
    <tableColumn id="3" xr3:uid="{00000000-0010-0000-0900-000003000000}" name="Symbol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lkpPaymentMethod" displayName="lkpPaymentMethod" ref="A9:A17" totalsRowShown="0">
  <autoFilter ref="A9:A17" xr:uid="{00000000-0009-0000-0100-00000B000000}"/>
  <tableColumns count="1">
    <tableColumn id="1" xr3:uid="{00000000-0010-0000-0A00-000001000000}" name="Payment Method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lkpTransactionType" displayName="lkpTransactionType" ref="A20:A24" totalsRowShown="0">
  <autoFilter ref="A20:A24" xr:uid="{00000000-0009-0000-0100-00000C000000}"/>
  <tableColumns count="1">
    <tableColumn id="1" xr3:uid="{00000000-0010-0000-0B00-000001000000}" name="Transaction Typ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lkpDestinationType" displayName="lkpDestinationType" ref="A27:A34" totalsRowShown="0">
  <autoFilter ref="A27:A34" xr:uid="{00000000-0009-0000-0100-00000D000000}"/>
  <tableColumns count="1">
    <tableColumn id="1" xr3:uid="{00000000-0010-0000-0C00-000001000000}" name="Destination Typ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lkpFrequency" displayName="lkpFrequency" ref="A37:A41" totalsRowShown="0">
  <autoFilter ref="A37:A41" xr:uid="{00000000-0009-0000-0100-00000E000000}"/>
  <tableColumns count="1">
    <tableColumn id="1" xr3:uid="{00000000-0010-0000-0D00-000001000000}" name="Frequency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lkpPriority" displayName="lkpPriority" ref="A44:A47" totalsRowShown="0">
  <autoFilter ref="A44:A47" xr:uid="{00000000-0009-0000-0100-00000F000000}"/>
  <tableColumns count="1">
    <tableColumn id="1" xr3:uid="{00000000-0010-0000-0E00-000001000000}" name="Priority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lkpStatus" displayName="lkpStatus" ref="A50:A55" totalsRowShown="0">
  <autoFilter ref="A50:A55" xr:uid="{00000000-0009-0000-0100-000010000000}"/>
  <tableColumns count="1">
    <tableColumn id="1" xr3:uid="{00000000-0010-0000-0F00-000001000000}" name="Status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lkpGoalStatus" displayName="lkpGoalStatus" ref="A58:A61" totalsRowShown="0">
  <autoFilter ref="A58:A61" xr:uid="{00000000-0009-0000-0100-000011000000}"/>
  <tableColumns count="1">
    <tableColumn id="1" xr3:uid="{00000000-0010-0000-1000-000001000000}" name="Goal Status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lkpLiabilityStatus" displayName="lkpLiabilityStatus" ref="A64:A66" totalsRowShown="0">
  <autoFilter ref="A64:A66" xr:uid="{00000000-0009-0000-0100-000012000000}"/>
  <tableColumns count="1">
    <tableColumn id="1" xr3:uid="{00000000-0010-0000-1100-000001000000}" name="Liability Status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lkpAccountStatus" displayName="lkpAccountStatus" ref="A69:A71" totalsRowShown="0">
  <autoFilter ref="A69:A71" xr:uid="{00000000-0009-0000-0100-000013000000}"/>
  <tableColumns count="1">
    <tableColumn id="1" xr3:uid="{00000000-0010-0000-1200-000001000000}" name="Account Status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lkpCommitmentStatus" displayName="lkpCommitmentStatus" ref="A74:A77" totalsRowShown="0">
  <autoFilter ref="A74:A77" xr:uid="{00000000-0009-0000-0100-000014000000}"/>
  <tableColumns count="1">
    <tableColumn id="1" xr3:uid="{00000000-0010-0000-1300-000001000000}" name="Commitment Statu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lkpOwnershipType" displayName="lkpOwnershipType" ref="A80:A82" totalsRowShown="0">
  <autoFilter ref="A80:A82" xr:uid="{00000000-0009-0000-0100-000015000000}"/>
  <tableColumns count="1">
    <tableColumn id="1" xr3:uid="{00000000-0010-0000-1400-000001000000}" name="Ownership Type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lkpYesNo" displayName="lkpYesNo" ref="A85:A87" totalsRowShown="0">
  <autoFilter ref="A85:A87" xr:uid="{00000000-0009-0000-0100-000016000000}"/>
  <tableColumns count="1">
    <tableColumn id="1" xr3:uid="{00000000-0010-0000-1500-000001000000}" name="Yes No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lkpAccountType" displayName="lkpAccountType" ref="A90:A98" totalsRowShown="0">
  <autoFilter ref="A90:A98" xr:uid="{00000000-0009-0000-0100-000017000000}"/>
  <tableColumns count="1">
    <tableColumn id="1" xr3:uid="{00000000-0010-0000-1600-000001000000}" name="Account Type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lkpCategoryType" displayName="lkpCategoryType" ref="A101:A103" totalsRowShown="0">
  <autoFilter ref="A101:A103" xr:uid="{00000000-0009-0000-0100-000018000000}"/>
  <tableColumns count="1">
    <tableColumn id="1" xr3:uid="{00000000-0010-0000-1700-000001000000}" name="Category Type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lkpTheme" displayName="lkpTheme" ref="A106:A107" totalsRowShown="0">
  <autoFilter ref="A106:A107" xr:uid="{00000000-0009-0000-0100-000019000000}"/>
  <tableColumns count="1">
    <tableColumn id="1" xr3:uid="{00000000-0010-0000-1800-000001000000}" name="Theme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lkpMonth" displayName="lkpMonth" ref="A110:C122" totalsRowShown="0">
  <autoFilter ref="A110:C122" xr:uid="{00000000-0009-0000-0100-00001A000000}"/>
  <tableColumns count="3">
    <tableColumn id="1" xr3:uid="{00000000-0010-0000-1900-000001000000}" name="Month Number"/>
    <tableColumn id="2" xr3:uid="{00000000-0010-0000-1900-000002000000}" name="Month Name"/>
    <tableColumn id="3" xr3:uid="{00000000-0010-0000-1900-000003000000}" name="Short Name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lkpFinancialYear" displayName="lkpFinancialYear" ref="A125:A126" totalsRowShown="0">
  <autoFilter ref="A125:A126" xr:uid="{00000000-0009-0000-0100-00001B000000}"/>
  <tableColumns count="1">
    <tableColumn id="1" xr3:uid="{00000000-0010-0000-1A00-000001000000}" name="Financial Year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lkpAssetType" displayName="lkpAssetType" ref="AG1:AG25" totalsRowShown="0">
  <autoFilter ref="AG1:AG25" xr:uid="{00000000-0009-0000-0100-00001C000000}"/>
  <tableColumns count="1">
    <tableColumn id="1" xr3:uid="{00000000-0010-0000-1B00-000001000000}" name="Asset Type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lkpLiabilityType" displayName="lkpLiabilityType" ref="AH1:AH11" totalsRowShown="0">
  <autoFilter ref="AH1:AH11" xr:uid="{00000000-0009-0000-0100-00001D000000}"/>
  <tableColumns count="1">
    <tableColumn id="1" xr3:uid="{00000000-0010-0000-1C00-000001000000}" name="Liability Type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lkpIncomeType" displayName="lkpIncomeType" ref="AI1:AI10" totalsRowShown="0">
  <autoFilter ref="AI1:AI10" xr:uid="{00000000-0009-0000-0100-00001E000000}"/>
  <tableColumns count="1">
    <tableColumn id="1" xr3:uid="{00000000-0010-0000-1D00-000001000000}" name="Income 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7.xml"/><Relationship Id="rId13" Type="http://schemas.openxmlformats.org/officeDocument/2006/relationships/table" Target="../tables/table22.xml"/><Relationship Id="rId18" Type="http://schemas.openxmlformats.org/officeDocument/2006/relationships/table" Target="../tables/table27.xml"/><Relationship Id="rId3" Type="http://schemas.openxmlformats.org/officeDocument/2006/relationships/table" Target="../tables/table12.xml"/><Relationship Id="rId21" Type="http://schemas.openxmlformats.org/officeDocument/2006/relationships/table" Target="../tables/table30.xml"/><Relationship Id="rId7" Type="http://schemas.openxmlformats.org/officeDocument/2006/relationships/table" Target="../tables/table16.xml"/><Relationship Id="rId12" Type="http://schemas.openxmlformats.org/officeDocument/2006/relationships/table" Target="../tables/table21.xml"/><Relationship Id="rId17" Type="http://schemas.openxmlformats.org/officeDocument/2006/relationships/table" Target="../tables/table26.xml"/><Relationship Id="rId2" Type="http://schemas.openxmlformats.org/officeDocument/2006/relationships/table" Target="../tables/table11.xml"/><Relationship Id="rId16" Type="http://schemas.openxmlformats.org/officeDocument/2006/relationships/table" Target="../tables/table25.xml"/><Relationship Id="rId20" Type="http://schemas.openxmlformats.org/officeDocument/2006/relationships/table" Target="../tables/table29.xml"/><Relationship Id="rId1" Type="http://schemas.openxmlformats.org/officeDocument/2006/relationships/table" Target="../tables/table10.xml"/><Relationship Id="rId6" Type="http://schemas.openxmlformats.org/officeDocument/2006/relationships/table" Target="../tables/table15.xml"/><Relationship Id="rId11" Type="http://schemas.openxmlformats.org/officeDocument/2006/relationships/table" Target="../tables/table20.xml"/><Relationship Id="rId5" Type="http://schemas.openxmlformats.org/officeDocument/2006/relationships/table" Target="../tables/table14.xml"/><Relationship Id="rId15" Type="http://schemas.openxmlformats.org/officeDocument/2006/relationships/table" Target="../tables/table24.xml"/><Relationship Id="rId10" Type="http://schemas.openxmlformats.org/officeDocument/2006/relationships/table" Target="../tables/table19.xml"/><Relationship Id="rId19" Type="http://schemas.openxmlformats.org/officeDocument/2006/relationships/table" Target="../tables/table28.xml"/><Relationship Id="rId4" Type="http://schemas.openxmlformats.org/officeDocument/2006/relationships/table" Target="../tables/table13.xml"/><Relationship Id="rId9" Type="http://schemas.openxmlformats.org/officeDocument/2006/relationships/table" Target="../tables/table18.xml"/><Relationship Id="rId14" Type="http://schemas.openxmlformats.org/officeDocument/2006/relationships/table" Target="../tables/table2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0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4" customWidth="1"/>
    <col min="2" max="2" width="28" customWidth="1"/>
    <col min="3" max="3" width="22" customWidth="1"/>
    <col min="4" max="4" width="20" customWidth="1"/>
    <col min="5" max="5" width="32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/>
      <c r="B2" s="1"/>
      <c r="C2" s="2"/>
      <c r="D2" s="1"/>
      <c r="E2" s="1"/>
    </row>
    <row r="3" spans="1:5" x14ac:dyDescent="0.3">
      <c r="A3" s="1"/>
      <c r="B3" s="1"/>
      <c r="C3" s="2"/>
      <c r="D3" s="1"/>
      <c r="E3" s="1"/>
    </row>
    <row r="4" spans="1:5" x14ac:dyDescent="0.3">
      <c r="A4" s="1"/>
      <c r="B4" s="1"/>
      <c r="C4" s="2"/>
      <c r="D4" s="1"/>
      <c r="E4" s="1"/>
    </row>
    <row r="5" spans="1:5" x14ac:dyDescent="0.3">
      <c r="A5" s="1"/>
      <c r="B5" s="1"/>
      <c r="C5" s="2"/>
      <c r="D5" s="1"/>
      <c r="E5" s="1"/>
    </row>
    <row r="6" spans="1:5" x14ac:dyDescent="0.3">
      <c r="A6" s="1"/>
      <c r="B6" s="1"/>
      <c r="C6" s="2"/>
      <c r="D6" s="1"/>
      <c r="E6" s="1"/>
    </row>
    <row r="7" spans="1:5" x14ac:dyDescent="0.3">
      <c r="A7" s="1"/>
      <c r="B7" s="1"/>
      <c r="C7" s="2"/>
      <c r="D7" s="1"/>
      <c r="E7" s="1"/>
    </row>
    <row r="8" spans="1:5" x14ac:dyDescent="0.3">
      <c r="A8" s="1"/>
      <c r="B8" s="1"/>
      <c r="C8" s="2"/>
      <c r="D8" s="1"/>
      <c r="E8" s="1"/>
    </row>
    <row r="9" spans="1:5" x14ac:dyDescent="0.3">
      <c r="A9" s="1"/>
      <c r="B9" s="1"/>
      <c r="C9" s="2"/>
      <c r="D9" s="1"/>
      <c r="E9" s="1"/>
    </row>
    <row r="10" spans="1:5" x14ac:dyDescent="0.3">
      <c r="A10" s="1"/>
      <c r="B10" s="1"/>
      <c r="C10" s="2"/>
      <c r="D10" s="1"/>
      <c r="E10" s="1"/>
    </row>
    <row r="11" spans="1:5" x14ac:dyDescent="0.3">
      <c r="A11" s="1"/>
      <c r="B11" s="1"/>
      <c r="C11" s="2"/>
      <c r="D11" s="1"/>
      <c r="E11" s="1"/>
    </row>
    <row r="12" spans="1:5" x14ac:dyDescent="0.3">
      <c r="A12" s="1"/>
      <c r="B12" s="1"/>
      <c r="C12" s="2"/>
      <c r="D12" s="1"/>
      <c r="E12" s="1"/>
    </row>
    <row r="13" spans="1:5" x14ac:dyDescent="0.3">
      <c r="A13" s="1"/>
      <c r="B13" s="1"/>
      <c r="C13" s="2"/>
      <c r="D13" s="1"/>
      <c r="E13" s="1"/>
    </row>
    <row r="14" spans="1:5" x14ac:dyDescent="0.3">
      <c r="A14" s="1"/>
      <c r="B14" s="1"/>
      <c r="C14" s="2"/>
      <c r="D14" s="1"/>
      <c r="E14" s="1"/>
    </row>
    <row r="15" spans="1:5" x14ac:dyDescent="0.3">
      <c r="A15" s="1"/>
      <c r="B15" s="1"/>
      <c r="C15" s="2"/>
      <c r="D15" s="1"/>
      <c r="E15" s="1"/>
    </row>
    <row r="16" spans="1:5" x14ac:dyDescent="0.3">
      <c r="A16" s="1"/>
      <c r="B16" s="1"/>
      <c r="C16" s="2"/>
      <c r="D16" s="1"/>
      <c r="E16" s="1"/>
    </row>
    <row r="17" spans="1:5" x14ac:dyDescent="0.3">
      <c r="A17" s="1"/>
      <c r="B17" s="1"/>
      <c r="C17" s="2"/>
      <c r="D17" s="1"/>
      <c r="E17" s="1"/>
    </row>
    <row r="18" spans="1:5" x14ac:dyDescent="0.3">
      <c r="A18" s="1"/>
      <c r="B18" s="1"/>
      <c r="C18" s="2"/>
      <c r="D18" s="1"/>
      <c r="E18" s="1"/>
    </row>
    <row r="19" spans="1:5" x14ac:dyDescent="0.3">
      <c r="A19" s="1"/>
      <c r="B19" s="1"/>
      <c r="C19" s="2"/>
      <c r="D19" s="1"/>
      <c r="E19" s="1"/>
    </row>
    <row r="20" spans="1:5" x14ac:dyDescent="0.3">
      <c r="A20" s="1"/>
      <c r="B20" s="1"/>
      <c r="C20" s="2"/>
      <c r="D20" s="1"/>
      <c r="E20" s="1"/>
    </row>
    <row r="21" spans="1:5" x14ac:dyDescent="0.3">
      <c r="A21" s="1"/>
      <c r="B21" s="1"/>
      <c r="C21" s="2"/>
      <c r="D21" s="1"/>
      <c r="E21" s="1"/>
    </row>
    <row r="22" spans="1:5" x14ac:dyDescent="0.3">
      <c r="A22" s="1"/>
      <c r="B22" s="1"/>
      <c r="C22" s="2"/>
      <c r="D22" s="1"/>
      <c r="E22" s="1"/>
    </row>
    <row r="23" spans="1:5" x14ac:dyDescent="0.3">
      <c r="A23" s="1"/>
      <c r="B23" s="1"/>
      <c r="C23" s="2"/>
      <c r="D23" s="1"/>
      <c r="E23" s="1"/>
    </row>
    <row r="24" spans="1:5" x14ac:dyDescent="0.3">
      <c r="A24" s="1"/>
      <c r="B24" s="1"/>
      <c r="C24" s="2"/>
      <c r="D24" s="1"/>
      <c r="E24" s="1"/>
    </row>
    <row r="25" spans="1:5" x14ac:dyDescent="0.3">
      <c r="A25" s="1"/>
      <c r="B25" s="1"/>
      <c r="C25" s="2"/>
      <c r="D25" s="1"/>
      <c r="E25" s="1"/>
    </row>
    <row r="26" spans="1:5" x14ac:dyDescent="0.3">
      <c r="A26" s="1"/>
      <c r="B26" s="1"/>
      <c r="C26" s="2"/>
      <c r="D26" s="1"/>
      <c r="E26" s="1"/>
    </row>
    <row r="27" spans="1:5" x14ac:dyDescent="0.3">
      <c r="A27" s="1"/>
      <c r="B27" s="1"/>
      <c r="C27" s="2"/>
      <c r="D27" s="1"/>
      <c r="E27" s="1"/>
    </row>
    <row r="28" spans="1:5" x14ac:dyDescent="0.3">
      <c r="A28" s="1"/>
      <c r="B28" s="1"/>
      <c r="C28" s="2"/>
      <c r="D28" s="1"/>
      <c r="E28" s="1"/>
    </row>
    <row r="29" spans="1:5" x14ac:dyDescent="0.3">
      <c r="A29" s="1"/>
      <c r="B29" s="1"/>
      <c r="C29" s="2"/>
      <c r="D29" s="1"/>
      <c r="E29" s="1"/>
    </row>
    <row r="30" spans="1:5" x14ac:dyDescent="0.3">
      <c r="A30" s="1"/>
      <c r="B30" s="1"/>
      <c r="C30" s="2"/>
      <c r="D30" s="1"/>
      <c r="E30" s="1"/>
    </row>
    <row r="31" spans="1:5" x14ac:dyDescent="0.3">
      <c r="A31" s="1"/>
      <c r="B31" s="1"/>
      <c r="C31" s="2"/>
      <c r="D31" s="1"/>
      <c r="E31" s="1"/>
    </row>
    <row r="32" spans="1:5" x14ac:dyDescent="0.3">
      <c r="A32" s="1"/>
      <c r="B32" s="1"/>
      <c r="C32" s="2"/>
      <c r="D32" s="1"/>
      <c r="E32" s="1"/>
    </row>
    <row r="33" spans="1:5" x14ac:dyDescent="0.3">
      <c r="A33" s="1"/>
      <c r="B33" s="1"/>
      <c r="C33" s="2"/>
      <c r="D33" s="1"/>
      <c r="E33" s="1"/>
    </row>
    <row r="34" spans="1:5" x14ac:dyDescent="0.3">
      <c r="A34" s="1"/>
      <c r="B34" s="1"/>
      <c r="C34" s="2"/>
      <c r="D34" s="1"/>
      <c r="E34" s="1"/>
    </row>
    <row r="35" spans="1:5" x14ac:dyDescent="0.3">
      <c r="A35" s="1"/>
      <c r="B35" s="1"/>
      <c r="C35" s="2"/>
      <c r="D35" s="1"/>
      <c r="E35" s="1"/>
    </row>
    <row r="36" spans="1:5" x14ac:dyDescent="0.3">
      <c r="A36" s="1"/>
      <c r="B36" s="1"/>
      <c r="C36" s="2"/>
      <c r="D36" s="1"/>
      <c r="E36" s="1"/>
    </row>
    <row r="37" spans="1:5" x14ac:dyDescent="0.3">
      <c r="A37" s="1"/>
      <c r="B37" s="1"/>
      <c r="C37" s="2"/>
      <c r="D37" s="1"/>
      <c r="E37" s="1"/>
    </row>
    <row r="38" spans="1:5" x14ac:dyDescent="0.3">
      <c r="A38" s="1"/>
      <c r="B38" s="1"/>
      <c r="C38" s="2"/>
      <c r="D38" s="1"/>
      <c r="E38" s="1"/>
    </row>
    <row r="39" spans="1:5" x14ac:dyDescent="0.3">
      <c r="A39" s="1"/>
      <c r="B39" s="1"/>
      <c r="C39" s="2"/>
      <c r="D39" s="1"/>
      <c r="E39" s="1"/>
    </row>
    <row r="40" spans="1:5" x14ac:dyDescent="0.3">
      <c r="A40" s="1"/>
      <c r="B40" s="1"/>
      <c r="C40" s="2"/>
      <c r="D40" s="1"/>
      <c r="E40" s="1"/>
    </row>
    <row r="41" spans="1:5" x14ac:dyDescent="0.3">
      <c r="A41" s="1"/>
      <c r="B41" s="1"/>
      <c r="C41" s="2"/>
      <c r="D41" s="1"/>
      <c r="E41" s="1"/>
    </row>
    <row r="42" spans="1:5" x14ac:dyDescent="0.3">
      <c r="A42" s="1"/>
      <c r="B42" s="1"/>
      <c r="C42" s="2"/>
      <c r="D42" s="1"/>
      <c r="E42" s="1"/>
    </row>
    <row r="43" spans="1:5" x14ac:dyDescent="0.3">
      <c r="A43" s="1"/>
      <c r="B43" s="1"/>
      <c r="C43" s="2"/>
      <c r="D43" s="1"/>
      <c r="E43" s="1"/>
    </row>
    <row r="44" spans="1:5" x14ac:dyDescent="0.3">
      <c r="A44" s="1"/>
      <c r="B44" s="1"/>
      <c r="C44" s="2"/>
      <c r="D44" s="1"/>
      <c r="E44" s="1"/>
    </row>
    <row r="45" spans="1:5" x14ac:dyDescent="0.3">
      <c r="A45" s="1"/>
      <c r="B45" s="1"/>
      <c r="C45" s="2"/>
      <c r="D45" s="1"/>
      <c r="E45" s="1"/>
    </row>
    <row r="46" spans="1:5" x14ac:dyDescent="0.3">
      <c r="A46" s="1"/>
      <c r="B46" s="1"/>
      <c r="C46" s="2"/>
      <c r="D46" s="1"/>
      <c r="E46" s="1"/>
    </row>
    <row r="47" spans="1:5" x14ac:dyDescent="0.3">
      <c r="A47" s="1"/>
      <c r="B47" s="1"/>
      <c r="C47" s="2"/>
      <c r="D47" s="1"/>
      <c r="E47" s="1"/>
    </row>
    <row r="48" spans="1:5" x14ac:dyDescent="0.3">
      <c r="A48" s="1"/>
      <c r="B48" s="1"/>
      <c r="C48" s="2"/>
      <c r="D48" s="1"/>
      <c r="E48" s="1"/>
    </row>
    <row r="49" spans="1:5" x14ac:dyDescent="0.3">
      <c r="A49" s="1"/>
      <c r="B49" s="1"/>
      <c r="C49" s="2"/>
      <c r="D49" s="1"/>
      <c r="E49" s="1"/>
    </row>
    <row r="50" spans="1:5" x14ac:dyDescent="0.3">
      <c r="A50" s="1"/>
      <c r="B50" s="1"/>
      <c r="C50" s="2"/>
      <c r="D50" s="1"/>
      <c r="E50" s="1"/>
    </row>
    <row r="51" spans="1:5" x14ac:dyDescent="0.3">
      <c r="A51" s="1"/>
      <c r="B51" s="1"/>
      <c r="C51" s="2"/>
      <c r="D51" s="1"/>
      <c r="E51" s="1"/>
    </row>
    <row r="52" spans="1:5" x14ac:dyDescent="0.3">
      <c r="A52" s="1"/>
      <c r="B52" s="1"/>
      <c r="C52" s="2"/>
      <c r="D52" s="1"/>
      <c r="E52" s="1"/>
    </row>
    <row r="53" spans="1:5" x14ac:dyDescent="0.3">
      <c r="A53" s="1"/>
      <c r="B53" s="1"/>
      <c r="C53" s="2"/>
      <c r="D53" s="1"/>
      <c r="E53" s="1"/>
    </row>
    <row r="54" spans="1:5" x14ac:dyDescent="0.3">
      <c r="A54" s="1"/>
      <c r="B54" s="1"/>
      <c r="C54" s="2"/>
      <c r="D54" s="1"/>
      <c r="E54" s="1"/>
    </row>
    <row r="55" spans="1:5" x14ac:dyDescent="0.3">
      <c r="A55" s="1"/>
      <c r="B55" s="1"/>
      <c r="C55" s="2"/>
      <c r="D55" s="1"/>
      <c r="E55" s="1"/>
    </row>
    <row r="56" spans="1:5" x14ac:dyDescent="0.3">
      <c r="A56" s="1"/>
      <c r="B56" s="1"/>
      <c r="C56" s="2"/>
      <c r="D56" s="1"/>
      <c r="E56" s="1"/>
    </row>
    <row r="57" spans="1:5" x14ac:dyDescent="0.3">
      <c r="A57" s="1"/>
      <c r="B57" s="1"/>
      <c r="C57" s="2"/>
      <c r="D57" s="1"/>
      <c r="E57" s="1"/>
    </row>
    <row r="58" spans="1:5" x14ac:dyDescent="0.3">
      <c r="A58" s="1"/>
      <c r="B58" s="1"/>
      <c r="C58" s="2"/>
      <c r="D58" s="1"/>
      <c r="E58" s="1"/>
    </row>
    <row r="59" spans="1:5" x14ac:dyDescent="0.3">
      <c r="A59" s="1"/>
      <c r="B59" s="1"/>
      <c r="C59" s="2"/>
      <c r="D59" s="1"/>
      <c r="E59" s="1"/>
    </row>
    <row r="60" spans="1:5" x14ac:dyDescent="0.3">
      <c r="A60" s="1"/>
      <c r="B60" s="1"/>
      <c r="C60" s="2"/>
      <c r="D60" s="1"/>
      <c r="E60" s="1"/>
    </row>
    <row r="61" spans="1:5" x14ac:dyDescent="0.3">
      <c r="A61" s="1"/>
      <c r="B61" s="1"/>
      <c r="C61" s="2"/>
      <c r="D61" s="1"/>
      <c r="E61" s="1"/>
    </row>
    <row r="62" spans="1:5" x14ac:dyDescent="0.3">
      <c r="A62" s="1"/>
      <c r="B62" s="1"/>
      <c r="C62" s="2"/>
      <c r="D62" s="1"/>
      <c r="E62" s="1"/>
    </row>
    <row r="63" spans="1:5" x14ac:dyDescent="0.3">
      <c r="A63" s="1"/>
      <c r="B63" s="1"/>
      <c r="C63" s="2"/>
      <c r="D63" s="1"/>
      <c r="E63" s="1"/>
    </row>
    <row r="64" spans="1:5" x14ac:dyDescent="0.3">
      <c r="A64" s="1"/>
      <c r="B64" s="1"/>
      <c r="C64" s="2"/>
      <c r="D64" s="1"/>
      <c r="E64" s="1"/>
    </row>
    <row r="65" spans="1:5" x14ac:dyDescent="0.3">
      <c r="A65" s="1"/>
      <c r="B65" s="1"/>
      <c r="C65" s="2"/>
      <c r="D65" s="1"/>
      <c r="E65" s="1"/>
    </row>
    <row r="66" spans="1:5" x14ac:dyDescent="0.3">
      <c r="A66" s="1"/>
      <c r="B66" s="1"/>
      <c r="C66" s="2"/>
      <c r="D66" s="1"/>
      <c r="E66" s="1"/>
    </row>
    <row r="67" spans="1:5" x14ac:dyDescent="0.3">
      <c r="A67" s="1"/>
      <c r="B67" s="1"/>
      <c r="C67" s="2"/>
      <c r="D67" s="1"/>
      <c r="E67" s="1"/>
    </row>
    <row r="68" spans="1:5" x14ac:dyDescent="0.3">
      <c r="A68" s="1"/>
      <c r="B68" s="1"/>
      <c r="C68" s="2"/>
      <c r="D68" s="1"/>
      <c r="E68" s="1"/>
    </row>
    <row r="69" spans="1:5" x14ac:dyDescent="0.3">
      <c r="A69" s="1"/>
      <c r="B69" s="1"/>
      <c r="C69" s="2"/>
      <c r="D69" s="1"/>
      <c r="E69" s="1"/>
    </row>
    <row r="70" spans="1:5" x14ac:dyDescent="0.3">
      <c r="A70" s="1"/>
      <c r="B70" s="1"/>
      <c r="C70" s="2"/>
      <c r="D70" s="1"/>
      <c r="E70" s="1"/>
    </row>
    <row r="71" spans="1:5" x14ac:dyDescent="0.3">
      <c r="A71" s="1"/>
      <c r="B71" s="1"/>
      <c r="C71" s="2"/>
      <c r="D71" s="1"/>
      <c r="E71" s="1"/>
    </row>
    <row r="72" spans="1:5" x14ac:dyDescent="0.3">
      <c r="A72" s="1"/>
      <c r="B72" s="1"/>
      <c r="C72" s="2"/>
      <c r="D72" s="1"/>
      <c r="E72" s="1"/>
    </row>
    <row r="73" spans="1:5" x14ac:dyDescent="0.3">
      <c r="A73" s="1"/>
      <c r="B73" s="1"/>
      <c r="C73" s="2"/>
      <c r="D73" s="1"/>
      <c r="E73" s="1"/>
    </row>
    <row r="74" spans="1:5" x14ac:dyDescent="0.3">
      <c r="A74" s="1"/>
      <c r="B74" s="1"/>
      <c r="C74" s="2"/>
      <c r="D74" s="1"/>
      <c r="E74" s="1"/>
    </row>
    <row r="75" spans="1:5" x14ac:dyDescent="0.3">
      <c r="A75" s="1"/>
      <c r="B75" s="1"/>
      <c r="C75" s="2"/>
      <c r="D75" s="1"/>
      <c r="E75" s="1"/>
    </row>
    <row r="76" spans="1:5" x14ac:dyDescent="0.3">
      <c r="A76" s="1"/>
      <c r="B76" s="1"/>
      <c r="C76" s="2"/>
      <c r="D76" s="1"/>
      <c r="E76" s="1"/>
    </row>
    <row r="77" spans="1:5" x14ac:dyDescent="0.3">
      <c r="A77" s="1"/>
      <c r="B77" s="1"/>
      <c r="C77" s="2"/>
      <c r="D77" s="1"/>
      <c r="E77" s="1"/>
    </row>
    <row r="78" spans="1:5" x14ac:dyDescent="0.3">
      <c r="A78" s="1"/>
      <c r="B78" s="1"/>
      <c r="C78" s="2"/>
      <c r="D78" s="1"/>
      <c r="E78" s="1"/>
    </row>
    <row r="79" spans="1:5" x14ac:dyDescent="0.3">
      <c r="A79" s="1"/>
      <c r="B79" s="1"/>
      <c r="C79" s="2"/>
      <c r="D79" s="1"/>
      <c r="E79" s="1"/>
    </row>
    <row r="80" spans="1:5" x14ac:dyDescent="0.3">
      <c r="A80" s="1"/>
      <c r="B80" s="1"/>
      <c r="C80" s="2"/>
      <c r="D80" s="1"/>
      <c r="E80" s="1"/>
    </row>
    <row r="81" spans="1:5" x14ac:dyDescent="0.3">
      <c r="A81" s="1"/>
      <c r="B81" s="1"/>
      <c r="C81" s="2"/>
      <c r="D81" s="1"/>
      <c r="E81" s="1"/>
    </row>
    <row r="82" spans="1:5" x14ac:dyDescent="0.3">
      <c r="A82" s="1"/>
      <c r="B82" s="1"/>
      <c r="C82" s="2"/>
      <c r="D82" s="1"/>
      <c r="E82" s="1"/>
    </row>
    <row r="83" spans="1:5" x14ac:dyDescent="0.3">
      <c r="A83" s="1"/>
      <c r="B83" s="1"/>
      <c r="C83" s="2"/>
      <c r="D83" s="1"/>
      <c r="E83" s="1"/>
    </row>
    <row r="84" spans="1:5" x14ac:dyDescent="0.3">
      <c r="A84" s="1"/>
      <c r="B84" s="1"/>
      <c r="C84" s="2"/>
      <c r="D84" s="1"/>
      <c r="E84" s="1"/>
    </row>
    <row r="85" spans="1:5" x14ac:dyDescent="0.3">
      <c r="A85" s="1"/>
      <c r="B85" s="1"/>
      <c r="C85" s="2"/>
      <c r="D85" s="1"/>
      <c r="E85" s="1"/>
    </row>
    <row r="86" spans="1:5" x14ac:dyDescent="0.3">
      <c r="A86" s="1"/>
      <c r="B86" s="1"/>
      <c r="C86" s="2"/>
      <c r="D86" s="1"/>
      <c r="E86" s="1"/>
    </row>
    <row r="87" spans="1:5" x14ac:dyDescent="0.3">
      <c r="A87" s="1"/>
      <c r="B87" s="1"/>
      <c r="C87" s="2"/>
      <c r="D87" s="1"/>
      <c r="E87" s="1"/>
    </row>
    <row r="88" spans="1:5" x14ac:dyDescent="0.3">
      <c r="A88" s="1"/>
      <c r="B88" s="1"/>
      <c r="C88" s="2"/>
      <c r="D88" s="1"/>
      <c r="E88" s="1"/>
    </row>
    <row r="89" spans="1:5" x14ac:dyDescent="0.3">
      <c r="A89" s="1"/>
      <c r="B89" s="1"/>
      <c r="C89" s="2"/>
      <c r="D89" s="1"/>
      <c r="E89" s="1"/>
    </row>
    <row r="90" spans="1:5" x14ac:dyDescent="0.3">
      <c r="A90" s="1"/>
      <c r="B90" s="1"/>
      <c r="C90" s="2"/>
      <c r="D90" s="1"/>
      <c r="E90" s="1"/>
    </row>
    <row r="91" spans="1:5" x14ac:dyDescent="0.3">
      <c r="A91" s="1"/>
      <c r="B91" s="1"/>
      <c r="C91" s="2"/>
      <c r="D91" s="1"/>
      <c r="E91" s="1"/>
    </row>
    <row r="92" spans="1:5" x14ac:dyDescent="0.3">
      <c r="A92" s="1"/>
      <c r="B92" s="1"/>
      <c r="C92" s="2"/>
      <c r="D92" s="1"/>
      <c r="E92" s="1"/>
    </row>
    <row r="93" spans="1:5" x14ac:dyDescent="0.3">
      <c r="A93" s="1"/>
      <c r="B93" s="1"/>
      <c r="C93" s="2"/>
      <c r="D93" s="1"/>
      <c r="E93" s="1"/>
    </row>
    <row r="94" spans="1:5" x14ac:dyDescent="0.3">
      <c r="A94" s="1"/>
      <c r="B94" s="1"/>
      <c r="C94" s="2"/>
      <c r="D94" s="1"/>
      <c r="E94" s="1"/>
    </row>
    <row r="95" spans="1:5" x14ac:dyDescent="0.3">
      <c r="A95" s="1"/>
      <c r="B95" s="1"/>
      <c r="C95" s="2"/>
      <c r="D95" s="1"/>
      <c r="E95" s="1"/>
    </row>
    <row r="96" spans="1:5" x14ac:dyDescent="0.3">
      <c r="A96" s="1"/>
      <c r="B96" s="1"/>
      <c r="C96" s="2"/>
      <c r="D96" s="1"/>
      <c r="E96" s="1"/>
    </row>
    <row r="97" spans="1:5" x14ac:dyDescent="0.3">
      <c r="A97" s="1"/>
      <c r="B97" s="1"/>
      <c r="C97" s="2"/>
      <c r="D97" s="1"/>
      <c r="E97" s="1"/>
    </row>
    <row r="98" spans="1:5" x14ac:dyDescent="0.3">
      <c r="A98" s="1"/>
      <c r="B98" s="1"/>
      <c r="C98" s="2"/>
      <c r="D98" s="1"/>
      <c r="E98" s="1"/>
    </row>
    <row r="99" spans="1:5" x14ac:dyDescent="0.3">
      <c r="A99" s="1"/>
      <c r="B99" s="1"/>
      <c r="C99" s="2"/>
      <c r="D99" s="1"/>
      <c r="E99" s="1"/>
    </row>
    <row r="100" spans="1:5" x14ac:dyDescent="0.3">
      <c r="A100" s="1"/>
      <c r="B100" s="1"/>
      <c r="C100" s="2"/>
      <c r="D100" s="1"/>
      <c r="E100" s="1"/>
    </row>
    <row r="101" spans="1:5" x14ac:dyDescent="0.3">
      <c r="A101" s="1"/>
      <c r="B101" s="1"/>
      <c r="C101" s="2"/>
      <c r="D101" s="1"/>
      <c r="E101" s="1"/>
    </row>
    <row r="102" spans="1:5" x14ac:dyDescent="0.3">
      <c r="A102" s="1"/>
      <c r="B102" s="1"/>
      <c r="C102" s="2"/>
      <c r="D102" s="1"/>
      <c r="E102" s="1"/>
    </row>
    <row r="103" spans="1:5" x14ac:dyDescent="0.3">
      <c r="A103" s="1"/>
      <c r="B103" s="1"/>
      <c r="C103" s="2"/>
      <c r="D103" s="1"/>
      <c r="E103" s="1"/>
    </row>
    <row r="104" spans="1:5" x14ac:dyDescent="0.3">
      <c r="A104" s="1"/>
      <c r="B104" s="1"/>
      <c r="C104" s="2"/>
      <c r="D104" s="1"/>
      <c r="E104" s="1"/>
    </row>
    <row r="105" spans="1:5" x14ac:dyDescent="0.3">
      <c r="A105" s="1"/>
      <c r="B105" s="1"/>
      <c r="C105" s="2"/>
      <c r="D105" s="1"/>
      <c r="E105" s="1"/>
    </row>
    <row r="106" spans="1:5" x14ac:dyDescent="0.3">
      <c r="A106" s="1"/>
      <c r="B106" s="1"/>
      <c r="C106" s="2"/>
      <c r="D106" s="1"/>
      <c r="E106" s="1"/>
    </row>
    <row r="107" spans="1:5" x14ac:dyDescent="0.3">
      <c r="A107" s="1"/>
      <c r="B107" s="1"/>
      <c r="C107" s="2"/>
      <c r="D107" s="1"/>
      <c r="E107" s="1"/>
    </row>
    <row r="108" spans="1:5" x14ac:dyDescent="0.3">
      <c r="A108" s="1"/>
      <c r="B108" s="1"/>
      <c r="C108" s="2"/>
      <c r="D108" s="1"/>
      <c r="E108" s="1"/>
    </row>
    <row r="109" spans="1:5" x14ac:dyDescent="0.3">
      <c r="A109" s="1"/>
      <c r="B109" s="1"/>
      <c r="C109" s="2"/>
      <c r="D109" s="1"/>
      <c r="E109" s="1"/>
    </row>
    <row r="110" spans="1:5" x14ac:dyDescent="0.3">
      <c r="A110" s="1"/>
      <c r="B110" s="1"/>
      <c r="C110" s="2"/>
      <c r="D110" s="1"/>
      <c r="E110" s="1"/>
    </row>
    <row r="111" spans="1:5" x14ac:dyDescent="0.3">
      <c r="A111" s="1"/>
      <c r="B111" s="1"/>
      <c r="C111" s="2"/>
      <c r="D111" s="1"/>
      <c r="E111" s="1"/>
    </row>
    <row r="112" spans="1:5" x14ac:dyDescent="0.3">
      <c r="A112" s="1"/>
      <c r="B112" s="1"/>
      <c r="C112" s="2"/>
      <c r="D112" s="1"/>
      <c r="E112" s="1"/>
    </row>
    <row r="113" spans="1:5" x14ac:dyDescent="0.3">
      <c r="A113" s="1"/>
      <c r="B113" s="1"/>
      <c r="C113" s="2"/>
      <c r="D113" s="1"/>
      <c r="E113" s="1"/>
    </row>
    <row r="114" spans="1:5" x14ac:dyDescent="0.3">
      <c r="A114" s="1"/>
      <c r="B114" s="1"/>
      <c r="C114" s="2"/>
      <c r="D114" s="1"/>
      <c r="E114" s="1"/>
    </row>
    <row r="115" spans="1:5" x14ac:dyDescent="0.3">
      <c r="A115" s="1"/>
      <c r="B115" s="1"/>
      <c r="C115" s="2"/>
      <c r="D115" s="1"/>
      <c r="E115" s="1"/>
    </row>
    <row r="116" spans="1:5" x14ac:dyDescent="0.3">
      <c r="A116" s="1"/>
      <c r="B116" s="1"/>
      <c r="C116" s="2"/>
      <c r="D116" s="1"/>
      <c r="E116" s="1"/>
    </row>
    <row r="117" spans="1:5" x14ac:dyDescent="0.3">
      <c r="A117" s="1"/>
      <c r="B117" s="1"/>
      <c r="C117" s="2"/>
      <c r="D117" s="1"/>
      <c r="E117" s="1"/>
    </row>
    <row r="118" spans="1:5" x14ac:dyDescent="0.3">
      <c r="A118" s="1"/>
      <c r="B118" s="1"/>
      <c r="C118" s="2"/>
      <c r="D118" s="1"/>
      <c r="E118" s="1"/>
    </row>
    <row r="119" spans="1:5" x14ac:dyDescent="0.3">
      <c r="A119" s="1"/>
      <c r="B119" s="1"/>
      <c r="C119" s="2"/>
      <c r="D119" s="1"/>
      <c r="E119" s="1"/>
    </row>
    <row r="120" spans="1:5" x14ac:dyDescent="0.3">
      <c r="A120" s="1"/>
      <c r="B120" s="1"/>
      <c r="C120" s="2"/>
      <c r="D120" s="1"/>
      <c r="E120" s="1"/>
    </row>
    <row r="121" spans="1:5" x14ac:dyDescent="0.3">
      <c r="A121" s="1"/>
      <c r="B121" s="1"/>
      <c r="C121" s="2"/>
      <c r="D121" s="1"/>
      <c r="E121" s="1"/>
    </row>
    <row r="122" spans="1:5" x14ac:dyDescent="0.3">
      <c r="A122" s="1"/>
      <c r="B122" s="1"/>
      <c r="C122" s="2"/>
      <c r="D122" s="1"/>
      <c r="E122" s="1"/>
    </row>
    <row r="123" spans="1:5" x14ac:dyDescent="0.3">
      <c r="A123" s="1"/>
      <c r="B123" s="1"/>
      <c r="C123" s="2"/>
      <c r="D123" s="1"/>
      <c r="E123" s="1"/>
    </row>
    <row r="124" spans="1:5" x14ac:dyDescent="0.3">
      <c r="A124" s="1"/>
      <c r="B124" s="1"/>
      <c r="C124" s="2"/>
      <c r="D124" s="1"/>
      <c r="E124" s="1"/>
    </row>
    <row r="125" spans="1:5" x14ac:dyDescent="0.3">
      <c r="A125" s="1"/>
      <c r="B125" s="1"/>
      <c r="C125" s="2"/>
      <c r="D125" s="1"/>
      <c r="E125" s="1"/>
    </row>
    <row r="126" spans="1:5" x14ac:dyDescent="0.3">
      <c r="A126" s="1"/>
      <c r="B126" s="1"/>
      <c r="C126" s="2"/>
      <c r="D126" s="1"/>
      <c r="E126" s="1"/>
    </row>
    <row r="127" spans="1:5" x14ac:dyDescent="0.3">
      <c r="A127" s="1"/>
      <c r="B127" s="1"/>
      <c r="C127" s="2"/>
      <c r="D127" s="1"/>
      <c r="E127" s="1"/>
    </row>
    <row r="128" spans="1:5" x14ac:dyDescent="0.3">
      <c r="A128" s="1"/>
      <c r="B128" s="1"/>
      <c r="C128" s="2"/>
      <c r="D128" s="1"/>
      <c r="E128" s="1"/>
    </row>
    <row r="129" spans="1:5" x14ac:dyDescent="0.3">
      <c r="A129" s="1"/>
      <c r="B129" s="1"/>
      <c r="C129" s="2"/>
      <c r="D129" s="1"/>
      <c r="E129" s="1"/>
    </row>
    <row r="130" spans="1:5" x14ac:dyDescent="0.3">
      <c r="A130" s="1"/>
      <c r="B130" s="1"/>
      <c r="C130" s="2"/>
      <c r="D130" s="1"/>
      <c r="E130" s="1"/>
    </row>
    <row r="131" spans="1:5" x14ac:dyDescent="0.3">
      <c r="A131" s="1"/>
      <c r="B131" s="1"/>
      <c r="C131" s="2"/>
      <c r="D131" s="1"/>
      <c r="E131" s="1"/>
    </row>
    <row r="132" spans="1:5" x14ac:dyDescent="0.3">
      <c r="A132" s="1"/>
      <c r="B132" s="1"/>
      <c r="C132" s="2"/>
      <c r="D132" s="1"/>
      <c r="E132" s="1"/>
    </row>
    <row r="133" spans="1:5" x14ac:dyDescent="0.3">
      <c r="A133" s="1"/>
      <c r="B133" s="1"/>
      <c r="C133" s="2"/>
      <c r="D133" s="1"/>
      <c r="E133" s="1"/>
    </row>
    <row r="134" spans="1:5" x14ac:dyDescent="0.3">
      <c r="A134" s="1"/>
      <c r="B134" s="1"/>
      <c r="C134" s="2"/>
      <c r="D134" s="1"/>
      <c r="E134" s="1"/>
    </row>
    <row r="135" spans="1:5" x14ac:dyDescent="0.3">
      <c r="A135" s="1"/>
      <c r="B135" s="1"/>
      <c r="C135" s="2"/>
      <c r="D135" s="1"/>
      <c r="E135" s="1"/>
    </row>
    <row r="136" spans="1:5" x14ac:dyDescent="0.3">
      <c r="A136" s="1"/>
      <c r="B136" s="1"/>
      <c r="C136" s="2"/>
      <c r="D136" s="1"/>
      <c r="E136" s="1"/>
    </row>
    <row r="137" spans="1:5" x14ac:dyDescent="0.3">
      <c r="A137" s="1"/>
      <c r="B137" s="1"/>
      <c r="C137" s="2"/>
      <c r="D137" s="1"/>
      <c r="E137" s="1"/>
    </row>
    <row r="138" spans="1:5" x14ac:dyDescent="0.3">
      <c r="A138" s="1"/>
      <c r="B138" s="1"/>
      <c r="C138" s="2"/>
      <c r="D138" s="1"/>
      <c r="E138" s="1"/>
    </row>
    <row r="139" spans="1:5" x14ac:dyDescent="0.3">
      <c r="A139" s="1"/>
      <c r="B139" s="1"/>
      <c r="C139" s="2"/>
      <c r="D139" s="1"/>
      <c r="E139" s="1"/>
    </row>
    <row r="140" spans="1:5" x14ac:dyDescent="0.3">
      <c r="A140" s="1"/>
      <c r="B140" s="1"/>
      <c r="C140" s="2"/>
      <c r="D140" s="1"/>
      <c r="E140" s="1"/>
    </row>
    <row r="141" spans="1:5" x14ac:dyDescent="0.3">
      <c r="A141" s="1"/>
      <c r="B141" s="1"/>
      <c r="C141" s="2"/>
      <c r="D141" s="1"/>
      <c r="E141" s="1"/>
    </row>
    <row r="142" spans="1:5" x14ac:dyDescent="0.3">
      <c r="A142" s="1"/>
      <c r="B142" s="1"/>
      <c r="C142" s="2"/>
      <c r="D142" s="1"/>
      <c r="E142" s="1"/>
    </row>
    <row r="143" spans="1:5" x14ac:dyDescent="0.3">
      <c r="A143" s="1"/>
      <c r="B143" s="1"/>
      <c r="C143" s="2"/>
      <c r="D143" s="1"/>
      <c r="E143" s="1"/>
    </row>
    <row r="144" spans="1:5" x14ac:dyDescent="0.3">
      <c r="A144" s="1"/>
      <c r="B144" s="1"/>
      <c r="C144" s="2"/>
      <c r="D144" s="1"/>
      <c r="E144" s="1"/>
    </row>
    <row r="145" spans="1:5" x14ac:dyDescent="0.3">
      <c r="A145" s="1"/>
      <c r="B145" s="1"/>
      <c r="C145" s="2"/>
      <c r="D145" s="1"/>
      <c r="E145" s="1"/>
    </row>
    <row r="146" spans="1:5" x14ac:dyDescent="0.3">
      <c r="A146" s="1"/>
      <c r="B146" s="1"/>
      <c r="C146" s="2"/>
      <c r="D146" s="1"/>
      <c r="E146" s="1"/>
    </row>
    <row r="147" spans="1:5" x14ac:dyDescent="0.3">
      <c r="A147" s="1"/>
      <c r="B147" s="1"/>
      <c r="C147" s="2"/>
      <c r="D147" s="1"/>
      <c r="E147" s="1"/>
    </row>
    <row r="148" spans="1:5" x14ac:dyDescent="0.3">
      <c r="A148" s="1"/>
      <c r="B148" s="1"/>
      <c r="C148" s="2"/>
      <c r="D148" s="1"/>
      <c r="E148" s="1"/>
    </row>
    <row r="149" spans="1:5" x14ac:dyDescent="0.3">
      <c r="A149" s="1"/>
      <c r="B149" s="1"/>
      <c r="C149" s="2"/>
      <c r="D149" s="1"/>
      <c r="E149" s="1"/>
    </row>
    <row r="150" spans="1:5" x14ac:dyDescent="0.3">
      <c r="A150" s="1"/>
      <c r="B150" s="1"/>
      <c r="C150" s="2"/>
      <c r="D150" s="1"/>
      <c r="E150" s="1"/>
    </row>
    <row r="151" spans="1:5" x14ac:dyDescent="0.3">
      <c r="A151" s="1"/>
      <c r="B151" s="1"/>
      <c r="C151" s="2"/>
      <c r="D151" s="1"/>
      <c r="E151" s="1"/>
    </row>
    <row r="152" spans="1:5" x14ac:dyDescent="0.3">
      <c r="A152" s="1"/>
      <c r="B152" s="1"/>
      <c r="C152" s="2"/>
      <c r="D152" s="1"/>
      <c r="E152" s="1"/>
    </row>
    <row r="153" spans="1:5" x14ac:dyDescent="0.3">
      <c r="A153" s="1"/>
      <c r="B153" s="1"/>
      <c r="C153" s="2"/>
      <c r="D153" s="1"/>
      <c r="E153" s="1"/>
    </row>
    <row r="154" spans="1:5" x14ac:dyDescent="0.3">
      <c r="A154" s="1"/>
      <c r="B154" s="1"/>
      <c r="C154" s="2"/>
      <c r="D154" s="1"/>
      <c r="E154" s="1"/>
    </row>
    <row r="155" spans="1:5" x14ac:dyDescent="0.3">
      <c r="A155" s="1"/>
      <c r="B155" s="1"/>
      <c r="C155" s="2"/>
      <c r="D155" s="1"/>
      <c r="E155" s="1"/>
    </row>
    <row r="156" spans="1:5" x14ac:dyDescent="0.3">
      <c r="A156" s="1"/>
      <c r="B156" s="1"/>
      <c r="C156" s="2"/>
      <c r="D156" s="1"/>
      <c r="E156" s="1"/>
    </row>
    <row r="157" spans="1:5" x14ac:dyDescent="0.3">
      <c r="A157" s="1"/>
      <c r="B157" s="1"/>
      <c r="C157" s="2"/>
      <c r="D157" s="1"/>
      <c r="E157" s="1"/>
    </row>
    <row r="158" spans="1:5" x14ac:dyDescent="0.3">
      <c r="A158" s="1"/>
      <c r="B158" s="1"/>
      <c r="C158" s="2"/>
      <c r="D158" s="1"/>
      <c r="E158" s="1"/>
    </row>
    <row r="159" spans="1:5" x14ac:dyDescent="0.3">
      <c r="A159" s="1"/>
      <c r="B159" s="1"/>
      <c r="C159" s="2"/>
      <c r="D159" s="1"/>
      <c r="E159" s="1"/>
    </row>
    <row r="160" spans="1:5" x14ac:dyDescent="0.3">
      <c r="A160" s="1"/>
      <c r="B160" s="1"/>
      <c r="C160" s="2"/>
      <c r="D160" s="1"/>
      <c r="E160" s="1"/>
    </row>
    <row r="161" spans="1:5" x14ac:dyDescent="0.3">
      <c r="A161" s="1"/>
      <c r="B161" s="1"/>
      <c r="C161" s="2"/>
      <c r="D161" s="1"/>
      <c r="E161" s="1"/>
    </row>
    <row r="162" spans="1:5" x14ac:dyDescent="0.3">
      <c r="A162" s="1"/>
      <c r="B162" s="1"/>
      <c r="C162" s="2"/>
      <c r="D162" s="1"/>
      <c r="E162" s="1"/>
    </row>
    <row r="163" spans="1:5" x14ac:dyDescent="0.3">
      <c r="A163" s="1"/>
      <c r="B163" s="1"/>
      <c r="C163" s="2"/>
      <c r="D163" s="1"/>
      <c r="E163" s="1"/>
    </row>
    <row r="164" spans="1:5" x14ac:dyDescent="0.3">
      <c r="A164" s="1"/>
      <c r="B164" s="1"/>
      <c r="C164" s="2"/>
      <c r="D164" s="1"/>
      <c r="E164" s="1"/>
    </row>
    <row r="165" spans="1:5" x14ac:dyDescent="0.3">
      <c r="A165" s="1"/>
      <c r="B165" s="1"/>
      <c r="C165" s="2"/>
      <c r="D165" s="1"/>
      <c r="E165" s="1"/>
    </row>
    <row r="166" spans="1:5" x14ac:dyDescent="0.3">
      <c r="A166" s="1"/>
      <c r="B166" s="1"/>
      <c r="C166" s="2"/>
      <c r="D166" s="1"/>
      <c r="E166" s="1"/>
    </row>
    <row r="167" spans="1:5" x14ac:dyDescent="0.3">
      <c r="A167" s="1"/>
      <c r="B167" s="1"/>
      <c r="C167" s="2"/>
      <c r="D167" s="1"/>
      <c r="E167" s="1"/>
    </row>
    <row r="168" spans="1:5" x14ac:dyDescent="0.3">
      <c r="A168" s="1"/>
      <c r="B168" s="1"/>
      <c r="C168" s="2"/>
      <c r="D168" s="1"/>
      <c r="E168" s="1"/>
    </row>
    <row r="169" spans="1:5" x14ac:dyDescent="0.3">
      <c r="A169" s="1"/>
      <c r="B169" s="1"/>
      <c r="C169" s="2"/>
      <c r="D169" s="1"/>
      <c r="E169" s="1"/>
    </row>
    <row r="170" spans="1:5" x14ac:dyDescent="0.3">
      <c r="A170" s="1"/>
      <c r="B170" s="1"/>
      <c r="C170" s="2"/>
      <c r="D170" s="1"/>
      <c r="E170" s="1"/>
    </row>
    <row r="171" spans="1:5" x14ac:dyDescent="0.3">
      <c r="A171" s="1"/>
      <c r="B171" s="1"/>
      <c r="C171" s="2"/>
      <c r="D171" s="1"/>
      <c r="E171" s="1"/>
    </row>
    <row r="172" spans="1:5" x14ac:dyDescent="0.3">
      <c r="A172" s="1"/>
      <c r="B172" s="1"/>
      <c r="C172" s="2"/>
      <c r="D172" s="1"/>
      <c r="E172" s="1"/>
    </row>
    <row r="173" spans="1:5" x14ac:dyDescent="0.3">
      <c r="A173" s="1"/>
      <c r="B173" s="1"/>
      <c r="C173" s="2"/>
      <c r="D173" s="1"/>
      <c r="E173" s="1"/>
    </row>
    <row r="174" spans="1:5" x14ac:dyDescent="0.3">
      <c r="A174" s="1"/>
      <c r="B174" s="1"/>
      <c r="C174" s="2"/>
      <c r="D174" s="1"/>
      <c r="E174" s="1"/>
    </row>
    <row r="175" spans="1:5" x14ac:dyDescent="0.3">
      <c r="A175" s="1"/>
      <c r="B175" s="1"/>
      <c r="C175" s="2"/>
      <c r="D175" s="1"/>
      <c r="E175" s="1"/>
    </row>
    <row r="176" spans="1:5" x14ac:dyDescent="0.3">
      <c r="A176" s="1"/>
      <c r="B176" s="1"/>
      <c r="C176" s="2"/>
      <c r="D176" s="1"/>
      <c r="E176" s="1"/>
    </row>
    <row r="177" spans="1:5" x14ac:dyDescent="0.3">
      <c r="A177" s="1"/>
      <c r="B177" s="1"/>
      <c r="C177" s="2"/>
      <c r="D177" s="1"/>
      <c r="E177" s="1"/>
    </row>
    <row r="178" spans="1:5" x14ac:dyDescent="0.3">
      <c r="A178" s="1"/>
      <c r="B178" s="1"/>
      <c r="C178" s="2"/>
      <c r="D178" s="1"/>
      <c r="E178" s="1"/>
    </row>
    <row r="179" spans="1:5" x14ac:dyDescent="0.3">
      <c r="A179" s="1"/>
      <c r="B179" s="1"/>
      <c r="C179" s="2"/>
      <c r="D179" s="1"/>
      <c r="E179" s="1"/>
    </row>
    <row r="180" spans="1:5" x14ac:dyDescent="0.3">
      <c r="A180" s="1"/>
      <c r="B180" s="1"/>
      <c r="C180" s="2"/>
      <c r="D180" s="1"/>
      <c r="E180" s="1"/>
    </row>
    <row r="181" spans="1:5" x14ac:dyDescent="0.3">
      <c r="A181" s="1"/>
      <c r="B181" s="1"/>
      <c r="C181" s="2"/>
      <c r="D181" s="1"/>
      <c r="E181" s="1"/>
    </row>
    <row r="182" spans="1:5" x14ac:dyDescent="0.3">
      <c r="A182" s="1"/>
      <c r="B182" s="1"/>
      <c r="C182" s="2"/>
      <c r="D182" s="1"/>
      <c r="E182" s="1"/>
    </row>
    <row r="183" spans="1:5" x14ac:dyDescent="0.3">
      <c r="A183" s="1"/>
      <c r="B183" s="1"/>
      <c r="C183" s="2"/>
      <c r="D183" s="1"/>
      <c r="E183" s="1"/>
    </row>
    <row r="184" spans="1:5" x14ac:dyDescent="0.3">
      <c r="A184" s="1"/>
      <c r="B184" s="1"/>
      <c r="C184" s="2"/>
      <c r="D184" s="1"/>
      <c r="E184" s="1"/>
    </row>
    <row r="185" spans="1:5" x14ac:dyDescent="0.3">
      <c r="A185" s="1"/>
      <c r="B185" s="1"/>
      <c r="C185" s="2"/>
      <c r="D185" s="1"/>
      <c r="E185" s="1"/>
    </row>
    <row r="186" spans="1:5" x14ac:dyDescent="0.3">
      <c r="A186" s="1"/>
      <c r="B186" s="1"/>
      <c r="C186" s="2"/>
      <c r="D186" s="1"/>
      <c r="E186" s="1"/>
    </row>
    <row r="187" spans="1:5" x14ac:dyDescent="0.3">
      <c r="A187" s="1"/>
      <c r="B187" s="1"/>
      <c r="C187" s="2"/>
      <c r="D187" s="1"/>
      <c r="E187" s="1"/>
    </row>
    <row r="188" spans="1:5" x14ac:dyDescent="0.3">
      <c r="A188" s="1"/>
      <c r="B188" s="1"/>
      <c r="C188" s="2"/>
      <c r="D188" s="1"/>
      <c r="E188" s="1"/>
    </row>
    <row r="189" spans="1:5" x14ac:dyDescent="0.3">
      <c r="A189" s="1"/>
      <c r="B189" s="1"/>
      <c r="C189" s="2"/>
      <c r="D189" s="1"/>
      <c r="E189" s="1"/>
    </row>
    <row r="190" spans="1:5" x14ac:dyDescent="0.3">
      <c r="A190" s="1"/>
      <c r="B190" s="1"/>
      <c r="C190" s="2"/>
      <c r="D190" s="1"/>
      <c r="E190" s="1"/>
    </row>
    <row r="191" spans="1:5" x14ac:dyDescent="0.3">
      <c r="A191" s="1"/>
      <c r="B191" s="1"/>
      <c r="C191" s="2"/>
      <c r="D191" s="1"/>
      <c r="E191" s="1"/>
    </row>
    <row r="192" spans="1:5" x14ac:dyDescent="0.3">
      <c r="A192" s="1"/>
      <c r="B192" s="1"/>
      <c r="C192" s="2"/>
      <c r="D192" s="1"/>
      <c r="E192" s="1"/>
    </row>
    <row r="193" spans="1:5" x14ac:dyDescent="0.3">
      <c r="A193" s="1"/>
      <c r="B193" s="1"/>
      <c r="C193" s="2"/>
      <c r="D193" s="1"/>
      <c r="E193" s="1"/>
    </row>
    <row r="194" spans="1:5" x14ac:dyDescent="0.3">
      <c r="A194" s="1"/>
      <c r="B194" s="1"/>
      <c r="C194" s="2"/>
      <c r="D194" s="1"/>
      <c r="E194" s="1"/>
    </row>
    <row r="195" spans="1:5" x14ac:dyDescent="0.3">
      <c r="A195" s="1"/>
      <c r="B195" s="1"/>
      <c r="C195" s="2"/>
      <c r="D195" s="1"/>
      <c r="E195" s="1"/>
    </row>
    <row r="196" spans="1:5" x14ac:dyDescent="0.3">
      <c r="A196" s="1"/>
      <c r="B196" s="1"/>
      <c r="C196" s="2"/>
      <c r="D196" s="1"/>
      <c r="E196" s="1"/>
    </row>
    <row r="197" spans="1:5" x14ac:dyDescent="0.3">
      <c r="A197" s="1"/>
      <c r="B197" s="1"/>
      <c r="C197" s="2"/>
      <c r="D197" s="1"/>
      <c r="E197" s="1"/>
    </row>
    <row r="198" spans="1:5" x14ac:dyDescent="0.3">
      <c r="A198" s="1"/>
      <c r="B198" s="1"/>
      <c r="C198" s="2"/>
      <c r="D198" s="1"/>
      <c r="E198" s="1"/>
    </row>
    <row r="199" spans="1:5" x14ac:dyDescent="0.3">
      <c r="A199" s="1"/>
      <c r="B199" s="1"/>
      <c r="C199" s="2"/>
      <c r="D199" s="1"/>
      <c r="E199" s="1"/>
    </row>
    <row r="200" spans="1:5" x14ac:dyDescent="0.3">
      <c r="A200" s="1"/>
      <c r="B200" s="1"/>
      <c r="C200" s="2"/>
      <c r="D200" s="1"/>
      <c r="E200" s="1"/>
    </row>
  </sheetData>
  <sheetProtection sheet="1" objects="1" scenarios="1" formatCells="0" formatColumns="0" formatRows="0" insertColumns="0" insertHyperlinks="0" deleteColumns="0" pivotTables="0"/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0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4" customWidth="1"/>
    <col min="2" max="2" width="24" customWidth="1"/>
    <col min="3" max="3" width="16" customWidth="1"/>
    <col min="4" max="4" width="20" customWidth="1"/>
    <col min="5" max="5" width="12" customWidth="1"/>
    <col min="6" max="6" width="14" customWidth="1"/>
    <col min="7" max="7" width="22" customWidth="1"/>
  </cols>
  <sheetData>
    <row r="1" spans="1:7" x14ac:dyDescent="0.3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</row>
    <row r="2" spans="1:7" x14ac:dyDescent="0.3">
      <c r="A2" s="1"/>
      <c r="B2" s="2"/>
      <c r="C2" s="2"/>
      <c r="D2" s="2"/>
      <c r="E2" s="2"/>
      <c r="F2" s="2"/>
      <c r="G2" s="2"/>
    </row>
    <row r="3" spans="1:7" x14ac:dyDescent="0.3">
      <c r="A3" s="1"/>
      <c r="B3" s="2"/>
      <c r="C3" s="2"/>
      <c r="D3" s="2"/>
      <c r="E3" s="2"/>
      <c r="F3" s="2"/>
      <c r="G3" s="2"/>
    </row>
    <row r="4" spans="1:7" x14ac:dyDescent="0.3">
      <c r="A4" s="1"/>
      <c r="B4" s="2"/>
      <c r="C4" s="2"/>
      <c r="D4" s="2"/>
      <c r="E4" s="2"/>
      <c r="F4" s="2"/>
      <c r="G4" s="2"/>
    </row>
    <row r="5" spans="1:7" x14ac:dyDescent="0.3">
      <c r="A5" s="1"/>
      <c r="B5" s="2"/>
      <c r="C5" s="2"/>
      <c r="D5" s="2"/>
      <c r="E5" s="2"/>
      <c r="F5" s="2"/>
      <c r="G5" s="2"/>
    </row>
    <row r="6" spans="1:7" x14ac:dyDescent="0.3">
      <c r="A6" s="1"/>
      <c r="B6" s="2"/>
      <c r="C6" s="2"/>
      <c r="D6" s="2"/>
      <c r="E6" s="2"/>
      <c r="F6" s="2"/>
      <c r="G6" s="2"/>
    </row>
    <row r="7" spans="1:7" x14ac:dyDescent="0.3">
      <c r="A7" s="1"/>
      <c r="B7" s="2"/>
      <c r="C7" s="2"/>
      <c r="D7" s="2"/>
      <c r="E7" s="2"/>
      <c r="F7" s="2"/>
      <c r="G7" s="2"/>
    </row>
    <row r="8" spans="1:7" x14ac:dyDescent="0.3">
      <c r="A8" s="1"/>
      <c r="B8" s="2"/>
      <c r="C8" s="2"/>
      <c r="D8" s="2"/>
      <c r="E8" s="2"/>
      <c r="F8" s="2"/>
      <c r="G8" s="2"/>
    </row>
    <row r="9" spans="1:7" x14ac:dyDescent="0.3">
      <c r="A9" s="1"/>
      <c r="B9" s="2"/>
      <c r="C9" s="2"/>
      <c r="D9" s="2"/>
      <c r="E9" s="2"/>
      <c r="F9" s="2"/>
      <c r="G9" s="2"/>
    </row>
    <row r="10" spans="1:7" x14ac:dyDescent="0.3">
      <c r="A10" s="1"/>
      <c r="B10" s="2"/>
      <c r="C10" s="2"/>
      <c r="D10" s="2"/>
      <c r="E10" s="2"/>
      <c r="F10" s="2"/>
      <c r="G10" s="2"/>
    </row>
    <row r="11" spans="1:7" x14ac:dyDescent="0.3">
      <c r="A11" s="1"/>
      <c r="B11" s="2"/>
      <c r="C11" s="2"/>
      <c r="D11" s="2"/>
      <c r="E11" s="2"/>
      <c r="F11" s="2"/>
      <c r="G11" s="2"/>
    </row>
    <row r="12" spans="1:7" x14ac:dyDescent="0.3">
      <c r="A12" s="1"/>
      <c r="B12" s="2"/>
      <c r="C12" s="2"/>
      <c r="D12" s="2"/>
      <c r="E12" s="2"/>
      <c r="F12" s="2"/>
      <c r="G12" s="2"/>
    </row>
    <row r="13" spans="1:7" x14ac:dyDescent="0.3">
      <c r="A13" s="1"/>
      <c r="B13" s="2"/>
      <c r="C13" s="2"/>
      <c r="D13" s="2"/>
      <c r="E13" s="2"/>
      <c r="F13" s="2"/>
      <c r="G13" s="2"/>
    </row>
    <row r="14" spans="1:7" x14ac:dyDescent="0.3">
      <c r="A14" s="1"/>
      <c r="B14" s="2"/>
      <c r="C14" s="2"/>
      <c r="D14" s="2"/>
      <c r="E14" s="2"/>
      <c r="F14" s="2"/>
      <c r="G14" s="2"/>
    </row>
    <row r="15" spans="1:7" x14ac:dyDescent="0.3">
      <c r="A15" s="1"/>
      <c r="B15" s="2"/>
      <c r="C15" s="2"/>
      <c r="D15" s="2"/>
      <c r="E15" s="2"/>
      <c r="F15" s="2"/>
      <c r="G15" s="2"/>
    </row>
    <row r="16" spans="1:7" x14ac:dyDescent="0.3">
      <c r="A16" s="1"/>
      <c r="B16" s="2"/>
      <c r="C16" s="2"/>
      <c r="D16" s="2"/>
      <c r="E16" s="2"/>
      <c r="F16" s="2"/>
      <c r="G16" s="2"/>
    </row>
    <row r="17" spans="1:7" x14ac:dyDescent="0.3">
      <c r="A17" s="1"/>
      <c r="B17" s="2"/>
      <c r="C17" s="2"/>
      <c r="D17" s="2"/>
      <c r="E17" s="2"/>
      <c r="F17" s="2"/>
      <c r="G17" s="2"/>
    </row>
    <row r="18" spans="1:7" x14ac:dyDescent="0.3">
      <c r="A18" s="1"/>
      <c r="B18" s="2"/>
      <c r="C18" s="2"/>
      <c r="D18" s="2"/>
      <c r="E18" s="2"/>
      <c r="F18" s="2"/>
      <c r="G18" s="2"/>
    </row>
    <row r="19" spans="1:7" x14ac:dyDescent="0.3">
      <c r="A19" s="1"/>
      <c r="B19" s="2"/>
      <c r="C19" s="2"/>
      <c r="D19" s="2"/>
      <c r="E19" s="2"/>
      <c r="F19" s="2"/>
      <c r="G19" s="2"/>
    </row>
    <row r="20" spans="1:7" x14ac:dyDescent="0.3">
      <c r="A20" s="1"/>
      <c r="B20" s="2"/>
      <c r="C20" s="2"/>
      <c r="D20" s="2"/>
      <c r="E20" s="2"/>
      <c r="F20" s="2"/>
      <c r="G20" s="2"/>
    </row>
    <row r="21" spans="1:7" x14ac:dyDescent="0.3">
      <c r="A21" s="1"/>
      <c r="B21" s="2"/>
      <c r="C21" s="2"/>
      <c r="D21" s="2"/>
      <c r="E21" s="2"/>
      <c r="F21" s="2"/>
      <c r="G21" s="2"/>
    </row>
    <row r="22" spans="1:7" x14ac:dyDescent="0.3">
      <c r="A22" s="1"/>
      <c r="B22" s="2"/>
      <c r="C22" s="2"/>
      <c r="D22" s="2"/>
      <c r="E22" s="2"/>
      <c r="F22" s="2"/>
      <c r="G22" s="2"/>
    </row>
    <row r="23" spans="1:7" x14ac:dyDescent="0.3">
      <c r="A23" s="1"/>
      <c r="B23" s="2"/>
      <c r="C23" s="2"/>
      <c r="D23" s="2"/>
      <c r="E23" s="2"/>
      <c r="F23" s="2"/>
      <c r="G23" s="2"/>
    </row>
    <row r="24" spans="1:7" x14ac:dyDescent="0.3">
      <c r="A24" s="1"/>
      <c r="B24" s="2"/>
      <c r="C24" s="2"/>
      <c r="D24" s="2"/>
      <c r="E24" s="2"/>
      <c r="F24" s="2"/>
      <c r="G24" s="2"/>
    </row>
    <row r="25" spans="1:7" x14ac:dyDescent="0.3">
      <c r="A25" s="1"/>
      <c r="B25" s="2"/>
      <c r="C25" s="2"/>
      <c r="D25" s="2"/>
      <c r="E25" s="2"/>
      <c r="F25" s="2"/>
      <c r="G25" s="2"/>
    </row>
    <row r="26" spans="1:7" x14ac:dyDescent="0.3">
      <c r="A26" s="1"/>
      <c r="B26" s="2"/>
      <c r="C26" s="2"/>
      <c r="D26" s="2"/>
      <c r="E26" s="2"/>
      <c r="F26" s="2"/>
      <c r="G26" s="2"/>
    </row>
    <row r="27" spans="1:7" x14ac:dyDescent="0.3">
      <c r="A27" s="1"/>
      <c r="B27" s="2"/>
      <c r="C27" s="2"/>
      <c r="D27" s="2"/>
      <c r="E27" s="2"/>
      <c r="F27" s="2"/>
      <c r="G27" s="2"/>
    </row>
    <row r="28" spans="1:7" x14ac:dyDescent="0.3">
      <c r="A28" s="1"/>
      <c r="B28" s="2"/>
      <c r="C28" s="2"/>
      <c r="D28" s="2"/>
      <c r="E28" s="2"/>
      <c r="F28" s="2"/>
      <c r="G28" s="2"/>
    </row>
    <row r="29" spans="1:7" x14ac:dyDescent="0.3">
      <c r="A29" s="1"/>
      <c r="B29" s="2"/>
      <c r="C29" s="2"/>
      <c r="D29" s="2"/>
      <c r="E29" s="2"/>
      <c r="F29" s="2"/>
      <c r="G29" s="2"/>
    </row>
    <row r="30" spans="1:7" x14ac:dyDescent="0.3">
      <c r="A30" s="1"/>
      <c r="B30" s="2"/>
      <c r="C30" s="2"/>
      <c r="D30" s="2"/>
      <c r="E30" s="2"/>
      <c r="F30" s="2"/>
      <c r="G30" s="2"/>
    </row>
    <row r="31" spans="1:7" x14ac:dyDescent="0.3">
      <c r="A31" s="1"/>
      <c r="B31" s="2"/>
      <c r="C31" s="2"/>
      <c r="D31" s="2"/>
      <c r="E31" s="2"/>
      <c r="F31" s="2"/>
      <c r="G31" s="2"/>
    </row>
    <row r="32" spans="1:7" x14ac:dyDescent="0.3">
      <c r="A32" s="1"/>
      <c r="B32" s="2"/>
      <c r="C32" s="2"/>
      <c r="D32" s="2"/>
      <c r="E32" s="2"/>
      <c r="F32" s="2"/>
      <c r="G32" s="2"/>
    </row>
    <row r="33" spans="1:7" x14ac:dyDescent="0.3">
      <c r="A33" s="1"/>
      <c r="B33" s="2"/>
      <c r="C33" s="2"/>
      <c r="D33" s="2"/>
      <c r="E33" s="2"/>
      <c r="F33" s="2"/>
      <c r="G33" s="2"/>
    </row>
    <row r="34" spans="1:7" x14ac:dyDescent="0.3">
      <c r="A34" s="1"/>
      <c r="B34" s="2"/>
      <c r="C34" s="2"/>
      <c r="D34" s="2"/>
      <c r="E34" s="2"/>
      <c r="F34" s="2"/>
      <c r="G34" s="2"/>
    </row>
    <row r="35" spans="1:7" x14ac:dyDescent="0.3">
      <c r="A35" s="1"/>
      <c r="B35" s="2"/>
      <c r="C35" s="2"/>
      <c r="D35" s="2"/>
      <c r="E35" s="2"/>
      <c r="F35" s="2"/>
      <c r="G35" s="2"/>
    </row>
    <row r="36" spans="1:7" x14ac:dyDescent="0.3">
      <c r="A36" s="1"/>
      <c r="B36" s="2"/>
      <c r="C36" s="2"/>
      <c r="D36" s="2"/>
      <c r="E36" s="2"/>
      <c r="F36" s="2"/>
      <c r="G36" s="2"/>
    </row>
    <row r="37" spans="1:7" x14ac:dyDescent="0.3">
      <c r="A37" s="1"/>
      <c r="B37" s="2"/>
      <c r="C37" s="2"/>
      <c r="D37" s="2"/>
      <c r="E37" s="2"/>
      <c r="F37" s="2"/>
      <c r="G37" s="2"/>
    </row>
    <row r="38" spans="1:7" x14ac:dyDescent="0.3">
      <c r="A38" s="1"/>
      <c r="B38" s="2"/>
      <c r="C38" s="2"/>
      <c r="D38" s="2"/>
      <c r="E38" s="2"/>
      <c r="F38" s="2"/>
      <c r="G38" s="2"/>
    </row>
    <row r="39" spans="1:7" x14ac:dyDescent="0.3">
      <c r="A39" s="1"/>
      <c r="B39" s="2"/>
      <c r="C39" s="2"/>
      <c r="D39" s="2"/>
      <c r="E39" s="2"/>
      <c r="F39" s="2"/>
      <c r="G39" s="2"/>
    </row>
    <row r="40" spans="1:7" x14ac:dyDescent="0.3">
      <c r="A40" s="1"/>
      <c r="B40" s="2"/>
      <c r="C40" s="2"/>
      <c r="D40" s="2"/>
      <c r="E40" s="2"/>
      <c r="F40" s="2"/>
      <c r="G40" s="2"/>
    </row>
    <row r="41" spans="1:7" x14ac:dyDescent="0.3">
      <c r="A41" s="1"/>
      <c r="B41" s="2"/>
      <c r="C41" s="2"/>
      <c r="D41" s="2"/>
      <c r="E41" s="2"/>
      <c r="F41" s="2"/>
      <c r="G41" s="2"/>
    </row>
    <row r="42" spans="1:7" x14ac:dyDescent="0.3">
      <c r="A42" s="1"/>
      <c r="B42" s="2"/>
      <c r="C42" s="2"/>
      <c r="D42" s="2"/>
      <c r="E42" s="2"/>
      <c r="F42" s="2"/>
      <c r="G42" s="2"/>
    </row>
    <row r="43" spans="1:7" x14ac:dyDescent="0.3">
      <c r="A43" s="1"/>
      <c r="B43" s="2"/>
      <c r="C43" s="2"/>
      <c r="D43" s="2"/>
      <c r="E43" s="2"/>
      <c r="F43" s="2"/>
      <c r="G43" s="2"/>
    </row>
    <row r="44" spans="1:7" x14ac:dyDescent="0.3">
      <c r="A44" s="1"/>
      <c r="B44" s="2"/>
      <c r="C44" s="2"/>
      <c r="D44" s="2"/>
      <c r="E44" s="2"/>
      <c r="F44" s="2"/>
      <c r="G44" s="2"/>
    </row>
    <row r="45" spans="1:7" x14ac:dyDescent="0.3">
      <c r="A45" s="1"/>
      <c r="B45" s="2"/>
      <c r="C45" s="2"/>
      <c r="D45" s="2"/>
      <c r="E45" s="2"/>
      <c r="F45" s="2"/>
      <c r="G45" s="2"/>
    </row>
    <row r="46" spans="1:7" x14ac:dyDescent="0.3">
      <c r="A46" s="1"/>
      <c r="B46" s="2"/>
      <c r="C46" s="2"/>
      <c r="D46" s="2"/>
      <c r="E46" s="2"/>
      <c r="F46" s="2"/>
      <c r="G46" s="2"/>
    </row>
    <row r="47" spans="1:7" x14ac:dyDescent="0.3">
      <c r="A47" s="1"/>
      <c r="B47" s="2"/>
      <c r="C47" s="2"/>
      <c r="D47" s="2"/>
      <c r="E47" s="2"/>
      <c r="F47" s="2"/>
      <c r="G47" s="2"/>
    </row>
    <row r="48" spans="1:7" x14ac:dyDescent="0.3">
      <c r="A48" s="1"/>
      <c r="B48" s="2"/>
      <c r="C48" s="2"/>
      <c r="D48" s="2"/>
      <c r="E48" s="2"/>
      <c r="F48" s="2"/>
      <c r="G48" s="2"/>
    </row>
    <row r="49" spans="1:7" x14ac:dyDescent="0.3">
      <c r="A49" s="1"/>
      <c r="B49" s="2"/>
      <c r="C49" s="2"/>
      <c r="D49" s="2"/>
      <c r="E49" s="2"/>
      <c r="F49" s="2"/>
      <c r="G49" s="2"/>
    </row>
    <row r="50" spans="1:7" x14ac:dyDescent="0.3">
      <c r="A50" s="1"/>
      <c r="B50" s="2"/>
      <c r="C50" s="2"/>
      <c r="D50" s="2"/>
      <c r="E50" s="2"/>
      <c r="F50" s="2"/>
      <c r="G50" s="2"/>
    </row>
    <row r="51" spans="1:7" x14ac:dyDescent="0.3">
      <c r="A51" s="1"/>
      <c r="B51" s="2"/>
      <c r="C51" s="2"/>
      <c r="D51" s="2"/>
      <c r="E51" s="2"/>
      <c r="F51" s="2"/>
      <c r="G51" s="2"/>
    </row>
    <row r="52" spans="1:7" x14ac:dyDescent="0.3">
      <c r="A52" s="1"/>
      <c r="B52" s="2"/>
      <c r="C52" s="2"/>
      <c r="D52" s="2"/>
      <c r="E52" s="2"/>
      <c r="F52" s="2"/>
      <c r="G52" s="2"/>
    </row>
    <row r="53" spans="1:7" x14ac:dyDescent="0.3">
      <c r="A53" s="1"/>
      <c r="B53" s="2"/>
      <c r="C53" s="2"/>
      <c r="D53" s="2"/>
      <c r="E53" s="2"/>
      <c r="F53" s="2"/>
      <c r="G53" s="2"/>
    </row>
    <row r="54" spans="1:7" x14ac:dyDescent="0.3">
      <c r="A54" s="1"/>
      <c r="B54" s="2"/>
      <c r="C54" s="2"/>
      <c r="D54" s="2"/>
      <c r="E54" s="2"/>
      <c r="F54" s="2"/>
      <c r="G54" s="2"/>
    </row>
    <row r="55" spans="1:7" x14ac:dyDescent="0.3">
      <c r="A55" s="1"/>
      <c r="B55" s="2"/>
      <c r="C55" s="2"/>
      <c r="D55" s="2"/>
      <c r="E55" s="2"/>
      <c r="F55" s="2"/>
      <c r="G55" s="2"/>
    </row>
    <row r="56" spans="1:7" x14ac:dyDescent="0.3">
      <c r="A56" s="1"/>
      <c r="B56" s="2"/>
      <c r="C56" s="2"/>
      <c r="D56" s="2"/>
      <c r="E56" s="2"/>
      <c r="F56" s="2"/>
      <c r="G56" s="2"/>
    </row>
    <row r="57" spans="1:7" x14ac:dyDescent="0.3">
      <c r="A57" s="1"/>
      <c r="B57" s="2"/>
      <c r="C57" s="2"/>
      <c r="D57" s="2"/>
      <c r="E57" s="2"/>
      <c r="F57" s="2"/>
      <c r="G57" s="2"/>
    </row>
    <row r="58" spans="1:7" x14ac:dyDescent="0.3">
      <c r="A58" s="1"/>
      <c r="B58" s="2"/>
      <c r="C58" s="2"/>
      <c r="D58" s="2"/>
      <c r="E58" s="2"/>
      <c r="F58" s="2"/>
      <c r="G58" s="2"/>
    </row>
    <row r="59" spans="1:7" x14ac:dyDescent="0.3">
      <c r="A59" s="1"/>
      <c r="B59" s="2"/>
      <c r="C59" s="2"/>
      <c r="D59" s="2"/>
      <c r="E59" s="2"/>
      <c r="F59" s="2"/>
      <c r="G59" s="2"/>
    </row>
    <row r="60" spans="1:7" x14ac:dyDescent="0.3">
      <c r="A60" s="1"/>
      <c r="B60" s="2"/>
      <c r="C60" s="2"/>
      <c r="D60" s="2"/>
      <c r="E60" s="2"/>
      <c r="F60" s="2"/>
      <c r="G60" s="2"/>
    </row>
    <row r="61" spans="1:7" x14ac:dyDescent="0.3">
      <c r="A61" s="1"/>
      <c r="B61" s="2"/>
      <c r="C61" s="2"/>
      <c r="D61" s="2"/>
      <c r="E61" s="2"/>
      <c r="F61" s="2"/>
      <c r="G61" s="2"/>
    </row>
    <row r="62" spans="1:7" x14ac:dyDescent="0.3">
      <c r="A62" s="1"/>
      <c r="B62" s="2"/>
      <c r="C62" s="2"/>
      <c r="D62" s="2"/>
      <c r="E62" s="2"/>
      <c r="F62" s="2"/>
      <c r="G62" s="2"/>
    </row>
    <row r="63" spans="1:7" x14ac:dyDescent="0.3">
      <c r="A63" s="1"/>
      <c r="B63" s="2"/>
      <c r="C63" s="2"/>
      <c r="D63" s="2"/>
      <c r="E63" s="2"/>
      <c r="F63" s="2"/>
      <c r="G63" s="2"/>
    </row>
    <row r="64" spans="1:7" x14ac:dyDescent="0.3">
      <c r="A64" s="1"/>
      <c r="B64" s="2"/>
      <c r="C64" s="2"/>
      <c r="D64" s="2"/>
      <c r="E64" s="2"/>
      <c r="F64" s="2"/>
      <c r="G64" s="2"/>
    </row>
    <row r="65" spans="1:7" x14ac:dyDescent="0.3">
      <c r="A65" s="1"/>
      <c r="B65" s="2"/>
      <c r="C65" s="2"/>
      <c r="D65" s="2"/>
      <c r="E65" s="2"/>
      <c r="F65" s="2"/>
      <c r="G65" s="2"/>
    </row>
    <row r="66" spans="1:7" x14ac:dyDescent="0.3">
      <c r="A66" s="1"/>
      <c r="B66" s="2"/>
      <c r="C66" s="2"/>
      <c r="D66" s="2"/>
      <c r="E66" s="2"/>
      <c r="F66" s="2"/>
      <c r="G66" s="2"/>
    </row>
    <row r="67" spans="1:7" x14ac:dyDescent="0.3">
      <c r="A67" s="1"/>
      <c r="B67" s="2"/>
      <c r="C67" s="2"/>
      <c r="D67" s="2"/>
      <c r="E67" s="2"/>
      <c r="F67" s="2"/>
      <c r="G67" s="2"/>
    </row>
    <row r="68" spans="1:7" x14ac:dyDescent="0.3">
      <c r="A68" s="1"/>
      <c r="B68" s="2"/>
      <c r="C68" s="2"/>
      <c r="D68" s="2"/>
      <c r="E68" s="2"/>
      <c r="F68" s="2"/>
      <c r="G68" s="2"/>
    </row>
    <row r="69" spans="1:7" x14ac:dyDescent="0.3">
      <c r="A69" s="1"/>
      <c r="B69" s="2"/>
      <c r="C69" s="2"/>
      <c r="D69" s="2"/>
      <c r="E69" s="2"/>
      <c r="F69" s="2"/>
      <c r="G69" s="2"/>
    </row>
    <row r="70" spans="1:7" x14ac:dyDescent="0.3">
      <c r="A70" s="1"/>
      <c r="B70" s="2"/>
      <c r="C70" s="2"/>
      <c r="D70" s="2"/>
      <c r="E70" s="2"/>
      <c r="F70" s="2"/>
      <c r="G70" s="2"/>
    </row>
    <row r="71" spans="1:7" x14ac:dyDescent="0.3">
      <c r="A71" s="1"/>
      <c r="B71" s="2"/>
      <c r="C71" s="2"/>
      <c r="D71" s="2"/>
      <c r="E71" s="2"/>
      <c r="F71" s="2"/>
      <c r="G71" s="2"/>
    </row>
    <row r="72" spans="1:7" x14ac:dyDescent="0.3">
      <c r="A72" s="1"/>
      <c r="B72" s="2"/>
      <c r="C72" s="2"/>
      <c r="D72" s="2"/>
      <c r="E72" s="2"/>
      <c r="F72" s="2"/>
      <c r="G72" s="2"/>
    </row>
    <row r="73" spans="1:7" x14ac:dyDescent="0.3">
      <c r="A73" s="1"/>
      <c r="B73" s="2"/>
      <c r="C73" s="2"/>
      <c r="D73" s="2"/>
      <c r="E73" s="2"/>
      <c r="F73" s="2"/>
      <c r="G73" s="2"/>
    </row>
    <row r="74" spans="1:7" x14ac:dyDescent="0.3">
      <c r="A74" s="1"/>
      <c r="B74" s="2"/>
      <c r="C74" s="2"/>
      <c r="D74" s="2"/>
      <c r="E74" s="2"/>
      <c r="F74" s="2"/>
      <c r="G74" s="2"/>
    </row>
    <row r="75" spans="1:7" x14ac:dyDescent="0.3">
      <c r="A75" s="1"/>
      <c r="B75" s="2"/>
      <c r="C75" s="2"/>
      <c r="D75" s="2"/>
      <c r="E75" s="2"/>
      <c r="F75" s="2"/>
      <c r="G75" s="2"/>
    </row>
    <row r="76" spans="1:7" x14ac:dyDescent="0.3">
      <c r="A76" s="1"/>
      <c r="B76" s="2"/>
      <c r="C76" s="2"/>
      <c r="D76" s="2"/>
      <c r="E76" s="2"/>
      <c r="F76" s="2"/>
      <c r="G76" s="2"/>
    </row>
    <row r="77" spans="1:7" x14ac:dyDescent="0.3">
      <c r="A77" s="1"/>
      <c r="B77" s="2"/>
      <c r="C77" s="2"/>
      <c r="D77" s="2"/>
      <c r="E77" s="2"/>
      <c r="F77" s="2"/>
      <c r="G77" s="2"/>
    </row>
    <row r="78" spans="1:7" x14ac:dyDescent="0.3">
      <c r="A78" s="1"/>
      <c r="B78" s="2"/>
      <c r="C78" s="2"/>
      <c r="D78" s="2"/>
      <c r="E78" s="2"/>
      <c r="F78" s="2"/>
      <c r="G78" s="2"/>
    </row>
    <row r="79" spans="1:7" x14ac:dyDescent="0.3">
      <c r="A79" s="1"/>
      <c r="B79" s="2"/>
      <c r="C79" s="2"/>
      <c r="D79" s="2"/>
      <c r="E79" s="2"/>
      <c r="F79" s="2"/>
      <c r="G79" s="2"/>
    </row>
    <row r="80" spans="1:7" x14ac:dyDescent="0.3">
      <c r="A80" s="1"/>
      <c r="B80" s="2"/>
      <c r="C80" s="2"/>
      <c r="D80" s="2"/>
      <c r="E80" s="2"/>
      <c r="F80" s="2"/>
      <c r="G80" s="2"/>
    </row>
    <row r="81" spans="1:7" x14ac:dyDescent="0.3">
      <c r="A81" s="1"/>
      <c r="B81" s="2"/>
      <c r="C81" s="2"/>
      <c r="D81" s="2"/>
      <c r="E81" s="2"/>
      <c r="F81" s="2"/>
      <c r="G81" s="2"/>
    </row>
    <row r="82" spans="1:7" x14ac:dyDescent="0.3">
      <c r="A82" s="1"/>
      <c r="B82" s="2"/>
      <c r="C82" s="2"/>
      <c r="D82" s="2"/>
      <c r="E82" s="2"/>
      <c r="F82" s="2"/>
      <c r="G82" s="2"/>
    </row>
    <row r="83" spans="1:7" x14ac:dyDescent="0.3">
      <c r="A83" s="1"/>
      <c r="B83" s="2"/>
      <c r="C83" s="2"/>
      <c r="D83" s="2"/>
      <c r="E83" s="2"/>
      <c r="F83" s="2"/>
      <c r="G83" s="2"/>
    </row>
    <row r="84" spans="1:7" x14ac:dyDescent="0.3">
      <c r="A84" s="1"/>
      <c r="B84" s="2"/>
      <c r="C84" s="2"/>
      <c r="D84" s="2"/>
      <c r="E84" s="2"/>
      <c r="F84" s="2"/>
      <c r="G84" s="2"/>
    </row>
    <row r="85" spans="1:7" x14ac:dyDescent="0.3">
      <c r="A85" s="1"/>
      <c r="B85" s="2"/>
      <c r="C85" s="2"/>
      <c r="D85" s="2"/>
      <c r="E85" s="2"/>
      <c r="F85" s="2"/>
      <c r="G85" s="2"/>
    </row>
    <row r="86" spans="1:7" x14ac:dyDescent="0.3">
      <c r="A86" s="1"/>
      <c r="B86" s="2"/>
      <c r="C86" s="2"/>
      <c r="D86" s="2"/>
      <c r="E86" s="2"/>
      <c r="F86" s="2"/>
      <c r="G86" s="2"/>
    </row>
    <row r="87" spans="1:7" x14ac:dyDescent="0.3">
      <c r="A87" s="1"/>
      <c r="B87" s="2"/>
      <c r="C87" s="2"/>
      <c r="D87" s="2"/>
      <c r="E87" s="2"/>
      <c r="F87" s="2"/>
      <c r="G87" s="2"/>
    </row>
    <row r="88" spans="1:7" x14ac:dyDescent="0.3">
      <c r="A88" s="1"/>
      <c r="B88" s="2"/>
      <c r="C88" s="2"/>
      <c r="D88" s="2"/>
      <c r="E88" s="2"/>
      <c r="F88" s="2"/>
      <c r="G88" s="2"/>
    </row>
    <row r="89" spans="1:7" x14ac:dyDescent="0.3">
      <c r="A89" s="1"/>
      <c r="B89" s="2"/>
      <c r="C89" s="2"/>
      <c r="D89" s="2"/>
      <c r="E89" s="2"/>
      <c r="F89" s="2"/>
      <c r="G89" s="2"/>
    </row>
    <row r="90" spans="1:7" x14ac:dyDescent="0.3">
      <c r="A90" s="1"/>
      <c r="B90" s="2"/>
      <c r="C90" s="2"/>
      <c r="D90" s="2"/>
      <c r="E90" s="2"/>
      <c r="F90" s="2"/>
      <c r="G90" s="2"/>
    </row>
    <row r="91" spans="1:7" x14ac:dyDescent="0.3">
      <c r="A91" s="1"/>
      <c r="B91" s="2"/>
      <c r="C91" s="2"/>
      <c r="D91" s="2"/>
      <c r="E91" s="2"/>
      <c r="F91" s="2"/>
      <c r="G91" s="2"/>
    </row>
    <row r="92" spans="1:7" x14ac:dyDescent="0.3">
      <c r="A92" s="1"/>
      <c r="B92" s="2"/>
      <c r="C92" s="2"/>
      <c r="D92" s="2"/>
      <c r="E92" s="2"/>
      <c r="F92" s="2"/>
      <c r="G92" s="2"/>
    </row>
    <row r="93" spans="1:7" x14ac:dyDescent="0.3">
      <c r="A93" s="1"/>
      <c r="B93" s="2"/>
      <c r="C93" s="2"/>
      <c r="D93" s="2"/>
      <c r="E93" s="2"/>
      <c r="F93" s="2"/>
      <c r="G93" s="2"/>
    </row>
    <row r="94" spans="1:7" x14ac:dyDescent="0.3">
      <c r="A94" s="1"/>
      <c r="B94" s="2"/>
      <c r="C94" s="2"/>
      <c r="D94" s="2"/>
      <c r="E94" s="2"/>
      <c r="F94" s="2"/>
      <c r="G94" s="2"/>
    </row>
    <row r="95" spans="1:7" x14ac:dyDescent="0.3">
      <c r="A95" s="1"/>
      <c r="B95" s="2"/>
      <c r="C95" s="2"/>
      <c r="D95" s="2"/>
      <c r="E95" s="2"/>
      <c r="F95" s="2"/>
      <c r="G95" s="2"/>
    </row>
    <row r="96" spans="1:7" x14ac:dyDescent="0.3">
      <c r="A96" s="1"/>
      <c r="B96" s="2"/>
      <c r="C96" s="2"/>
      <c r="D96" s="2"/>
      <c r="E96" s="2"/>
      <c r="F96" s="2"/>
      <c r="G96" s="2"/>
    </row>
    <row r="97" spans="1:7" x14ac:dyDescent="0.3">
      <c r="A97" s="1"/>
      <c r="B97" s="2"/>
      <c r="C97" s="2"/>
      <c r="D97" s="2"/>
      <c r="E97" s="2"/>
      <c r="F97" s="2"/>
      <c r="G97" s="2"/>
    </row>
    <row r="98" spans="1:7" x14ac:dyDescent="0.3">
      <c r="A98" s="1"/>
      <c r="B98" s="2"/>
      <c r="C98" s="2"/>
      <c r="D98" s="2"/>
      <c r="E98" s="2"/>
      <c r="F98" s="2"/>
      <c r="G98" s="2"/>
    </row>
    <row r="99" spans="1:7" x14ac:dyDescent="0.3">
      <c r="A99" s="1"/>
      <c r="B99" s="2"/>
      <c r="C99" s="2"/>
      <c r="D99" s="2"/>
      <c r="E99" s="2"/>
      <c r="F99" s="2"/>
      <c r="G99" s="2"/>
    </row>
    <row r="100" spans="1:7" x14ac:dyDescent="0.3">
      <c r="A100" s="1"/>
      <c r="B100" s="2"/>
      <c r="C100" s="2"/>
      <c r="D100" s="2"/>
      <c r="E100" s="2"/>
      <c r="F100" s="2"/>
      <c r="G100" s="2"/>
    </row>
    <row r="101" spans="1:7" x14ac:dyDescent="0.3">
      <c r="A101" s="1"/>
      <c r="B101" s="2"/>
      <c r="C101" s="2"/>
      <c r="D101" s="2"/>
      <c r="E101" s="2"/>
      <c r="F101" s="2"/>
      <c r="G101" s="2"/>
    </row>
    <row r="102" spans="1:7" x14ac:dyDescent="0.3">
      <c r="A102" s="1"/>
      <c r="B102" s="2"/>
      <c r="C102" s="2"/>
      <c r="D102" s="2"/>
      <c r="E102" s="2"/>
      <c r="F102" s="2"/>
      <c r="G102" s="2"/>
    </row>
    <row r="103" spans="1:7" x14ac:dyDescent="0.3">
      <c r="A103" s="1"/>
      <c r="B103" s="2"/>
      <c r="C103" s="2"/>
      <c r="D103" s="2"/>
      <c r="E103" s="2"/>
      <c r="F103" s="2"/>
      <c r="G103" s="2"/>
    </row>
    <row r="104" spans="1:7" x14ac:dyDescent="0.3">
      <c r="A104" s="1"/>
      <c r="B104" s="2"/>
      <c r="C104" s="2"/>
      <c r="D104" s="2"/>
      <c r="E104" s="2"/>
      <c r="F104" s="2"/>
      <c r="G104" s="2"/>
    </row>
    <row r="105" spans="1:7" x14ac:dyDescent="0.3">
      <c r="A105" s="1"/>
      <c r="B105" s="2"/>
      <c r="C105" s="2"/>
      <c r="D105" s="2"/>
      <c r="E105" s="2"/>
      <c r="F105" s="2"/>
      <c r="G105" s="2"/>
    </row>
    <row r="106" spans="1:7" x14ac:dyDescent="0.3">
      <c r="A106" s="1"/>
      <c r="B106" s="2"/>
      <c r="C106" s="2"/>
      <c r="D106" s="2"/>
      <c r="E106" s="2"/>
      <c r="F106" s="2"/>
      <c r="G106" s="2"/>
    </row>
    <row r="107" spans="1:7" x14ac:dyDescent="0.3">
      <c r="A107" s="1"/>
      <c r="B107" s="2"/>
      <c r="C107" s="2"/>
      <c r="D107" s="2"/>
      <c r="E107" s="2"/>
      <c r="F107" s="2"/>
      <c r="G107" s="2"/>
    </row>
    <row r="108" spans="1:7" x14ac:dyDescent="0.3">
      <c r="A108" s="1"/>
      <c r="B108" s="2"/>
      <c r="C108" s="2"/>
      <c r="D108" s="2"/>
      <c r="E108" s="2"/>
      <c r="F108" s="2"/>
      <c r="G108" s="2"/>
    </row>
    <row r="109" spans="1:7" x14ac:dyDescent="0.3">
      <c r="A109" s="1"/>
      <c r="B109" s="2"/>
      <c r="C109" s="2"/>
      <c r="D109" s="2"/>
      <c r="E109" s="2"/>
      <c r="F109" s="2"/>
      <c r="G109" s="2"/>
    </row>
    <row r="110" spans="1:7" x14ac:dyDescent="0.3">
      <c r="A110" s="1"/>
      <c r="B110" s="2"/>
      <c r="C110" s="2"/>
      <c r="D110" s="2"/>
      <c r="E110" s="2"/>
      <c r="F110" s="2"/>
      <c r="G110" s="2"/>
    </row>
    <row r="111" spans="1:7" x14ac:dyDescent="0.3">
      <c r="A111" s="1"/>
      <c r="B111" s="2"/>
      <c r="C111" s="2"/>
      <c r="D111" s="2"/>
      <c r="E111" s="2"/>
      <c r="F111" s="2"/>
      <c r="G111" s="2"/>
    </row>
    <row r="112" spans="1:7" x14ac:dyDescent="0.3">
      <c r="A112" s="1"/>
      <c r="B112" s="2"/>
      <c r="C112" s="2"/>
      <c r="D112" s="2"/>
      <c r="E112" s="2"/>
      <c r="F112" s="2"/>
      <c r="G112" s="2"/>
    </row>
    <row r="113" spans="1:7" x14ac:dyDescent="0.3">
      <c r="A113" s="1"/>
      <c r="B113" s="2"/>
      <c r="C113" s="2"/>
      <c r="D113" s="2"/>
      <c r="E113" s="2"/>
      <c r="F113" s="2"/>
      <c r="G113" s="2"/>
    </row>
    <row r="114" spans="1:7" x14ac:dyDescent="0.3">
      <c r="A114" s="1"/>
      <c r="B114" s="2"/>
      <c r="C114" s="2"/>
      <c r="D114" s="2"/>
      <c r="E114" s="2"/>
      <c r="F114" s="2"/>
      <c r="G114" s="2"/>
    </row>
    <row r="115" spans="1:7" x14ac:dyDescent="0.3">
      <c r="A115" s="1"/>
      <c r="B115" s="2"/>
      <c r="C115" s="2"/>
      <c r="D115" s="2"/>
      <c r="E115" s="2"/>
      <c r="F115" s="2"/>
      <c r="G115" s="2"/>
    </row>
    <row r="116" spans="1:7" x14ac:dyDescent="0.3">
      <c r="A116" s="1"/>
      <c r="B116" s="2"/>
      <c r="C116" s="2"/>
      <c r="D116" s="2"/>
      <c r="E116" s="2"/>
      <c r="F116" s="2"/>
      <c r="G116" s="2"/>
    </row>
    <row r="117" spans="1:7" x14ac:dyDescent="0.3">
      <c r="A117" s="1"/>
      <c r="B117" s="2"/>
      <c r="C117" s="2"/>
      <c r="D117" s="2"/>
      <c r="E117" s="2"/>
      <c r="F117" s="2"/>
      <c r="G117" s="2"/>
    </row>
    <row r="118" spans="1:7" x14ac:dyDescent="0.3">
      <c r="A118" s="1"/>
      <c r="B118" s="2"/>
      <c r="C118" s="2"/>
      <c r="D118" s="2"/>
      <c r="E118" s="2"/>
      <c r="F118" s="2"/>
      <c r="G118" s="2"/>
    </row>
    <row r="119" spans="1:7" x14ac:dyDescent="0.3">
      <c r="A119" s="1"/>
      <c r="B119" s="2"/>
      <c r="C119" s="2"/>
      <c r="D119" s="2"/>
      <c r="E119" s="2"/>
      <c r="F119" s="2"/>
      <c r="G119" s="2"/>
    </row>
    <row r="120" spans="1:7" x14ac:dyDescent="0.3">
      <c r="A120" s="1"/>
      <c r="B120" s="2"/>
      <c r="C120" s="2"/>
      <c r="D120" s="2"/>
      <c r="E120" s="2"/>
      <c r="F120" s="2"/>
      <c r="G120" s="2"/>
    </row>
    <row r="121" spans="1:7" x14ac:dyDescent="0.3">
      <c r="A121" s="1"/>
      <c r="B121" s="2"/>
      <c r="C121" s="2"/>
      <c r="D121" s="2"/>
      <c r="E121" s="2"/>
      <c r="F121" s="2"/>
      <c r="G121" s="2"/>
    </row>
    <row r="122" spans="1:7" x14ac:dyDescent="0.3">
      <c r="A122" s="1"/>
      <c r="B122" s="2"/>
      <c r="C122" s="2"/>
      <c r="D122" s="2"/>
      <c r="E122" s="2"/>
      <c r="F122" s="2"/>
      <c r="G122" s="2"/>
    </row>
    <row r="123" spans="1:7" x14ac:dyDescent="0.3">
      <c r="A123" s="1"/>
      <c r="B123" s="2"/>
      <c r="C123" s="2"/>
      <c r="D123" s="2"/>
      <c r="E123" s="2"/>
      <c r="F123" s="2"/>
      <c r="G123" s="2"/>
    </row>
    <row r="124" spans="1:7" x14ac:dyDescent="0.3">
      <c r="A124" s="1"/>
      <c r="B124" s="2"/>
      <c r="C124" s="2"/>
      <c r="D124" s="2"/>
      <c r="E124" s="2"/>
      <c r="F124" s="2"/>
      <c r="G124" s="2"/>
    </row>
    <row r="125" spans="1:7" x14ac:dyDescent="0.3">
      <c r="A125" s="1"/>
      <c r="B125" s="2"/>
      <c r="C125" s="2"/>
      <c r="D125" s="2"/>
      <c r="E125" s="2"/>
      <c r="F125" s="2"/>
      <c r="G125" s="2"/>
    </row>
    <row r="126" spans="1:7" x14ac:dyDescent="0.3">
      <c r="A126" s="1"/>
      <c r="B126" s="2"/>
      <c r="C126" s="2"/>
      <c r="D126" s="2"/>
      <c r="E126" s="2"/>
      <c r="F126" s="2"/>
      <c r="G126" s="2"/>
    </row>
    <row r="127" spans="1:7" x14ac:dyDescent="0.3">
      <c r="A127" s="1"/>
      <c r="B127" s="2"/>
      <c r="C127" s="2"/>
      <c r="D127" s="2"/>
      <c r="E127" s="2"/>
      <c r="F127" s="2"/>
      <c r="G127" s="2"/>
    </row>
    <row r="128" spans="1:7" x14ac:dyDescent="0.3">
      <c r="A128" s="1"/>
      <c r="B128" s="2"/>
      <c r="C128" s="2"/>
      <c r="D128" s="2"/>
      <c r="E128" s="2"/>
      <c r="F128" s="2"/>
      <c r="G128" s="2"/>
    </row>
    <row r="129" spans="1:7" x14ac:dyDescent="0.3">
      <c r="A129" s="1"/>
      <c r="B129" s="2"/>
      <c r="C129" s="2"/>
      <c r="D129" s="2"/>
      <c r="E129" s="2"/>
      <c r="F129" s="2"/>
      <c r="G129" s="2"/>
    </row>
    <row r="130" spans="1:7" x14ac:dyDescent="0.3">
      <c r="A130" s="1"/>
      <c r="B130" s="2"/>
      <c r="C130" s="2"/>
      <c r="D130" s="2"/>
      <c r="E130" s="2"/>
      <c r="F130" s="2"/>
      <c r="G130" s="2"/>
    </row>
    <row r="131" spans="1:7" x14ac:dyDescent="0.3">
      <c r="A131" s="1"/>
      <c r="B131" s="2"/>
      <c r="C131" s="2"/>
      <c r="D131" s="2"/>
      <c r="E131" s="2"/>
      <c r="F131" s="2"/>
      <c r="G131" s="2"/>
    </row>
    <row r="132" spans="1:7" x14ac:dyDescent="0.3">
      <c r="A132" s="1"/>
      <c r="B132" s="2"/>
      <c r="C132" s="2"/>
      <c r="D132" s="2"/>
      <c r="E132" s="2"/>
      <c r="F132" s="2"/>
      <c r="G132" s="2"/>
    </row>
    <row r="133" spans="1:7" x14ac:dyDescent="0.3">
      <c r="A133" s="1"/>
      <c r="B133" s="2"/>
      <c r="C133" s="2"/>
      <c r="D133" s="2"/>
      <c r="E133" s="2"/>
      <c r="F133" s="2"/>
      <c r="G133" s="2"/>
    </row>
    <row r="134" spans="1:7" x14ac:dyDescent="0.3">
      <c r="A134" s="1"/>
      <c r="B134" s="2"/>
      <c r="C134" s="2"/>
      <c r="D134" s="2"/>
      <c r="E134" s="2"/>
      <c r="F134" s="2"/>
      <c r="G134" s="2"/>
    </row>
    <row r="135" spans="1:7" x14ac:dyDescent="0.3">
      <c r="A135" s="1"/>
      <c r="B135" s="2"/>
      <c r="C135" s="2"/>
      <c r="D135" s="2"/>
      <c r="E135" s="2"/>
      <c r="F135" s="2"/>
      <c r="G135" s="2"/>
    </row>
    <row r="136" spans="1:7" x14ac:dyDescent="0.3">
      <c r="A136" s="1"/>
      <c r="B136" s="2"/>
      <c r="C136" s="2"/>
      <c r="D136" s="2"/>
      <c r="E136" s="2"/>
      <c r="F136" s="2"/>
      <c r="G136" s="2"/>
    </row>
    <row r="137" spans="1:7" x14ac:dyDescent="0.3">
      <c r="A137" s="1"/>
      <c r="B137" s="2"/>
      <c r="C137" s="2"/>
      <c r="D137" s="2"/>
      <c r="E137" s="2"/>
      <c r="F137" s="2"/>
      <c r="G137" s="2"/>
    </row>
    <row r="138" spans="1:7" x14ac:dyDescent="0.3">
      <c r="A138" s="1"/>
      <c r="B138" s="2"/>
      <c r="C138" s="2"/>
      <c r="D138" s="2"/>
      <c r="E138" s="2"/>
      <c r="F138" s="2"/>
      <c r="G138" s="2"/>
    </row>
    <row r="139" spans="1:7" x14ac:dyDescent="0.3">
      <c r="A139" s="1"/>
      <c r="B139" s="2"/>
      <c r="C139" s="2"/>
      <c r="D139" s="2"/>
      <c r="E139" s="2"/>
      <c r="F139" s="2"/>
      <c r="G139" s="2"/>
    </row>
    <row r="140" spans="1:7" x14ac:dyDescent="0.3">
      <c r="A140" s="1"/>
      <c r="B140" s="2"/>
      <c r="C140" s="2"/>
      <c r="D140" s="2"/>
      <c r="E140" s="2"/>
      <c r="F140" s="2"/>
      <c r="G140" s="2"/>
    </row>
    <row r="141" spans="1:7" x14ac:dyDescent="0.3">
      <c r="A141" s="1"/>
      <c r="B141" s="2"/>
      <c r="C141" s="2"/>
      <c r="D141" s="2"/>
      <c r="E141" s="2"/>
      <c r="F141" s="2"/>
      <c r="G141" s="2"/>
    </row>
    <row r="142" spans="1:7" x14ac:dyDescent="0.3">
      <c r="A142" s="1"/>
      <c r="B142" s="2"/>
      <c r="C142" s="2"/>
      <c r="D142" s="2"/>
      <c r="E142" s="2"/>
      <c r="F142" s="2"/>
      <c r="G142" s="2"/>
    </row>
    <row r="143" spans="1:7" x14ac:dyDescent="0.3">
      <c r="A143" s="1"/>
      <c r="B143" s="2"/>
      <c r="C143" s="2"/>
      <c r="D143" s="2"/>
      <c r="E143" s="2"/>
      <c r="F143" s="2"/>
      <c r="G143" s="2"/>
    </row>
    <row r="144" spans="1:7" x14ac:dyDescent="0.3">
      <c r="A144" s="1"/>
      <c r="B144" s="2"/>
      <c r="C144" s="2"/>
      <c r="D144" s="2"/>
      <c r="E144" s="2"/>
      <c r="F144" s="2"/>
      <c r="G144" s="2"/>
    </row>
    <row r="145" spans="1:7" x14ac:dyDescent="0.3">
      <c r="A145" s="1"/>
      <c r="B145" s="2"/>
      <c r="C145" s="2"/>
      <c r="D145" s="2"/>
      <c r="E145" s="2"/>
      <c r="F145" s="2"/>
      <c r="G145" s="2"/>
    </row>
    <row r="146" spans="1:7" x14ac:dyDescent="0.3">
      <c r="A146" s="1"/>
      <c r="B146" s="2"/>
      <c r="C146" s="2"/>
      <c r="D146" s="2"/>
      <c r="E146" s="2"/>
      <c r="F146" s="2"/>
      <c r="G146" s="2"/>
    </row>
    <row r="147" spans="1:7" x14ac:dyDescent="0.3">
      <c r="A147" s="1"/>
      <c r="B147" s="2"/>
      <c r="C147" s="2"/>
      <c r="D147" s="2"/>
      <c r="E147" s="2"/>
      <c r="F147" s="2"/>
      <c r="G147" s="2"/>
    </row>
    <row r="148" spans="1:7" x14ac:dyDescent="0.3">
      <c r="A148" s="1"/>
      <c r="B148" s="2"/>
      <c r="C148" s="2"/>
      <c r="D148" s="2"/>
      <c r="E148" s="2"/>
      <c r="F148" s="2"/>
      <c r="G148" s="2"/>
    </row>
    <row r="149" spans="1:7" x14ac:dyDescent="0.3">
      <c r="A149" s="1"/>
      <c r="B149" s="2"/>
      <c r="C149" s="2"/>
      <c r="D149" s="2"/>
      <c r="E149" s="2"/>
      <c r="F149" s="2"/>
      <c r="G149" s="2"/>
    </row>
    <row r="150" spans="1:7" x14ac:dyDescent="0.3">
      <c r="A150" s="1"/>
      <c r="B150" s="2"/>
      <c r="C150" s="2"/>
      <c r="D150" s="2"/>
      <c r="E150" s="2"/>
      <c r="F150" s="2"/>
      <c r="G150" s="2"/>
    </row>
    <row r="151" spans="1:7" x14ac:dyDescent="0.3">
      <c r="A151" s="1"/>
      <c r="B151" s="2"/>
      <c r="C151" s="2"/>
      <c r="D151" s="2"/>
      <c r="E151" s="2"/>
      <c r="F151" s="2"/>
      <c r="G151" s="2"/>
    </row>
    <row r="152" spans="1:7" x14ac:dyDescent="0.3">
      <c r="A152" s="1"/>
      <c r="B152" s="2"/>
      <c r="C152" s="2"/>
      <c r="D152" s="2"/>
      <c r="E152" s="2"/>
      <c r="F152" s="2"/>
      <c r="G152" s="2"/>
    </row>
    <row r="153" spans="1:7" x14ac:dyDescent="0.3">
      <c r="A153" s="1"/>
      <c r="B153" s="2"/>
      <c r="C153" s="2"/>
      <c r="D153" s="2"/>
      <c r="E153" s="2"/>
      <c r="F153" s="2"/>
      <c r="G153" s="2"/>
    </row>
    <row r="154" spans="1:7" x14ac:dyDescent="0.3">
      <c r="A154" s="1"/>
      <c r="B154" s="2"/>
      <c r="C154" s="2"/>
      <c r="D154" s="2"/>
      <c r="E154" s="2"/>
      <c r="F154" s="2"/>
      <c r="G154" s="2"/>
    </row>
    <row r="155" spans="1:7" x14ac:dyDescent="0.3">
      <c r="A155" s="1"/>
      <c r="B155" s="2"/>
      <c r="C155" s="2"/>
      <c r="D155" s="2"/>
      <c r="E155" s="2"/>
      <c r="F155" s="2"/>
      <c r="G155" s="2"/>
    </row>
    <row r="156" spans="1:7" x14ac:dyDescent="0.3">
      <c r="A156" s="1"/>
      <c r="B156" s="2"/>
      <c r="C156" s="2"/>
      <c r="D156" s="2"/>
      <c r="E156" s="2"/>
      <c r="F156" s="2"/>
      <c r="G156" s="2"/>
    </row>
    <row r="157" spans="1:7" x14ac:dyDescent="0.3">
      <c r="A157" s="1"/>
      <c r="B157" s="2"/>
      <c r="C157" s="2"/>
      <c r="D157" s="2"/>
      <c r="E157" s="2"/>
      <c r="F157" s="2"/>
      <c r="G157" s="2"/>
    </row>
    <row r="158" spans="1:7" x14ac:dyDescent="0.3">
      <c r="A158" s="1"/>
      <c r="B158" s="2"/>
      <c r="C158" s="2"/>
      <c r="D158" s="2"/>
      <c r="E158" s="2"/>
      <c r="F158" s="2"/>
      <c r="G158" s="2"/>
    </row>
    <row r="159" spans="1:7" x14ac:dyDescent="0.3">
      <c r="A159" s="1"/>
      <c r="B159" s="2"/>
      <c r="C159" s="2"/>
      <c r="D159" s="2"/>
      <c r="E159" s="2"/>
      <c r="F159" s="2"/>
      <c r="G159" s="2"/>
    </row>
    <row r="160" spans="1:7" x14ac:dyDescent="0.3">
      <c r="A160" s="1"/>
      <c r="B160" s="2"/>
      <c r="C160" s="2"/>
      <c r="D160" s="2"/>
      <c r="E160" s="2"/>
      <c r="F160" s="2"/>
      <c r="G160" s="2"/>
    </row>
    <row r="161" spans="1:7" x14ac:dyDescent="0.3">
      <c r="A161" s="1"/>
      <c r="B161" s="2"/>
      <c r="C161" s="2"/>
      <c r="D161" s="2"/>
      <c r="E161" s="2"/>
      <c r="F161" s="2"/>
      <c r="G161" s="2"/>
    </row>
    <row r="162" spans="1:7" x14ac:dyDescent="0.3">
      <c r="A162" s="1"/>
      <c r="B162" s="2"/>
      <c r="C162" s="2"/>
      <c r="D162" s="2"/>
      <c r="E162" s="2"/>
      <c r="F162" s="2"/>
      <c r="G162" s="2"/>
    </row>
    <row r="163" spans="1:7" x14ac:dyDescent="0.3">
      <c r="A163" s="1"/>
      <c r="B163" s="2"/>
      <c r="C163" s="2"/>
      <c r="D163" s="2"/>
      <c r="E163" s="2"/>
      <c r="F163" s="2"/>
      <c r="G163" s="2"/>
    </row>
    <row r="164" spans="1:7" x14ac:dyDescent="0.3">
      <c r="A164" s="1"/>
      <c r="B164" s="2"/>
      <c r="C164" s="2"/>
      <c r="D164" s="2"/>
      <c r="E164" s="2"/>
      <c r="F164" s="2"/>
      <c r="G164" s="2"/>
    </row>
    <row r="165" spans="1:7" x14ac:dyDescent="0.3">
      <c r="A165" s="1"/>
      <c r="B165" s="2"/>
      <c r="C165" s="2"/>
      <c r="D165" s="2"/>
      <c r="E165" s="2"/>
      <c r="F165" s="2"/>
      <c r="G165" s="2"/>
    </row>
    <row r="166" spans="1:7" x14ac:dyDescent="0.3">
      <c r="A166" s="1"/>
      <c r="B166" s="2"/>
      <c r="C166" s="2"/>
      <c r="D166" s="2"/>
      <c r="E166" s="2"/>
      <c r="F166" s="2"/>
      <c r="G166" s="2"/>
    </row>
    <row r="167" spans="1:7" x14ac:dyDescent="0.3">
      <c r="A167" s="1"/>
      <c r="B167" s="2"/>
      <c r="C167" s="2"/>
      <c r="D167" s="2"/>
      <c r="E167" s="2"/>
      <c r="F167" s="2"/>
      <c r="G167" s="2"/>
    </row>
    <row r="168" spans="1:7" x14ac:dyDescent="0.3">
      <c r="A168" s="1"/>
      <c r="B168" s="2"/>
      <c r="C168" s="2"/>
      <c r="D168" s="2"/>
      <c r="E168" s="2"/>
      <c r="F168" s="2"/>
      <c r="G168" s="2"/>
    </row>
    <row r="169" spans="1:7" x14ac:dyDescent="0.3">
      <c r="A169" s="1"/>
      <c r="B169" s="2"/>
      <c r="C169" s="2"/>
      <c r="D169" s="2"/>
      <c r="E169" s="2"/>
      <c r="F169" s="2"/>
      <c r="G169" s="2"/>
    </row>
    <row r="170" spans="1:7" x14ac:dyDescent="0.3">
      <c r="A170" s="1"/>
      <c r="B170" s="2"/>
      <c r="C170" s="2"/>
      <c r="D170" s="2"/>
      <c r="E170" s="2"/>
      <c r="F170" s="2"/>
      <c r="G170" s="2"/>
    </row>
    <row r="171" spans="1:7" x14ac:dyDescent="0.3">
      <c r="A171" s="1"/>
      <c r="B171" s="2"/>
      <c r="C171" s="2"/>
      <c r="D171" s="2"/>
      <c r="E171" s="2"/>
      <c r="F171" s="2"/>
      <c r="G171" s="2"/>
    </row>
    <row r="172" spans="1:7" x14ac:dyDescent="0.3">
      <c r="A172" s="1"/>
      <c r="B172" s="2"/>
      <c r="C172" s="2"/>
      <c r="D172" s="2"/>
      <c r="E172" s="2"/>
      <c r="F172" s="2"/>
      <c r="G172" s="2"/>
    </row>
    <row r="173" spans="1:7" x14ac:dyDescent="0.3">
      <c r="A173" s="1"/>
      <c r="B173" s="2"/>
      <c r="C173" s="2"/>
      <c r="D173" s="2"/>
      <c r="E173" s="2"/>
      <c r="F173" s="2"/>
      <c r="G173" s="2"/>
    </row>
    <row r="174" spans="1:7" x14ac:dyDescent="0.3">
      <c r="A174" s="1"/>
      <c r="B174" s="2"/>
      <c r="C174" s="2"/>
      <c r="D174" s="2"/>
      <c r="E174" s="2"/>
      <c r="F174" s="2"/>
      <c r="G174" s="2"/>
    </row>
    <row r="175" spans="1:7" x14ac:dyDescent="0.3">
      <c r="A175" s="1"/>
      <c r="B175" s="2"/>
      <c r="C175" s="2"/>
      <c r="D175" s="2"/>
      <c r="E175" s="2"/>
      <c r="F175" s="2"/>
      <c r="G175" s="2"/>
    </row>
    <row r="176" spans="1:7" x14ac:dyDescent="0.3">
      <c r="A176" s="1"/>
      <c r="B176" s="2"/>
      <c r="C176" s="2"/>
      <c r="D176" s="2"/>
      <c r="E176" s="2"/>
      <c r="F176" s="2"/>
      <c r="G176" s="2"/>
    </row>
    <row r="177" spans="1:7" x14ac:dyDescent="0.3">
      <c r="A177" s="1"/>
      <c r="B177" s="2"/>
      <c r="C177" s="2"/>
      <c r="D177" s="2"/>
      <c r="E177" s="2"/>
      <c r="F177" s="2"/>
      <c r="G177" s="2"/>
    </row>
    <row r="178" spans="1:7" x14ac:dyDescent="0.3">
      <c r="A178" s="1"/>
      <c r="B178" s="2"/>
      <c r="C178" s="2"/>
      <c r="D178" s="2"/>
      <c r="E178" s="2"/>
      <c r="F178" s="2"/>
      <c r="G178" s="2"/>
    </row>
    <row r="179" spans="1:7" x14ac:dyDescent="0.3">
      <c r="A179" s="1"/>
      <c r="B179" s="2"/>
      <c r="C179" s="2"/>
      <c r="D179" s="2"/>
      <c r="E179" s="2"/>
      <c r="F179" s="2"/>
      <c r="G179" s="2"/>
    </row>
    <row r="180" spans="1:7" x14ac:dyDescent="0.3">
      <c r="A180" s="1"/>
      <c r="B180" s="2"/>
      <c r="C180" s="2"/>
      <c r="D180" s="2"/>
      <c r="E180" s="2"/>
      <c r="F180" s="2"/>
      <c r="G180" s="2"/>
    </row>
    <row r="181" spans="1:7" x14ac:dyDescent="0.3">
      <c r="A181" s="1"/>
      <c r="B181" s="2"/>
      <c r="C181" s="2"/>
      <c r="D181" s="2"/>
      <c r="E181" s="2"/>
      <c r="F181" s="2"/>
      <c r="G181" s="2"/>
    </row>
    <row r="182" spans="1:7" x14ac:dyDescent="0.3">
      <c r="A182" s="1"/>
      <c r="B182" s="2"/>
      <c r="C182" s="2"/>
      <c r="D182" s="2"/>
      <c r="E182" s="2"/>
      <c r="F182" s="2"/>
      <c r="G182" s="2"/>
    </row>
    <row r="183" spans="1:7" x14ac:dyDescent="0.3">
      <c r="A183" s="1"/>
      <c r="B183" s="2"/>
      <c r="C183" s="2"/>
      <c r="D183" s="2"/>
      <c r="E183" s="2"/>
      <c r="F183" s="2"/>
      <c r="G183" s="2"/>
    </row>
    <row r="184" spans="1:7" x14ac:dyDescent="0.3">
      <c r="A184" s="1"/>
      <c r="B184" s="2"/>
      <c r="C184" s="2"/>
      <c r="D184" s="2"/>
      <c r="E184" s="2"/>
      <c r="F184" s="2"/>
      <c r="G184" s="2"/>
    </row>
    <row r="185" spans="1:7" x14ac:dyDescent="0.3">
      <c r="A185" s="1"/>
      <c r="B185" s="2"/>
      <c r="C185" s="2"/>
      <c r="D185" s="2"/>
      <c r="E185" s="2"/>
      <c r="F185" s="2"/>
      <c r="G185" s="2"/>
    </row>
    <row r="186" spans="1:7" x14ac:dyDescent="0.3">
      <c r="A186" s="1"/>
      <c r="B186" s="2"/>
      <c r="C186" s="2"/>
      <c r="D186" s="2"/>
      <c r="E186" s="2"/>
      <c r="F186" s="2"/>
      <c r="G186" s="2"/>
    </row>
    <row r="187" spans="1:7" x14ac:dyDescent="0.3">
      <c r="A187" s="1"/>
      <c r="B187" s="2"/>
      <c r="C187" s="2"/>
      <c r="D187" s="2"/>
      <c r="E187" s="2"/>
      <c r="F187" s="2"/>
      <c r="G187" s="2"/>
    </row>
    <row r="188" spans="1:7" x14ac:dyDescent="0.3">
      <c r="A188" s="1"/>
      <c r="B188" s="2"/>
      <c r="C188" s="2"/>
      <c r="D188" s="2"/>
      <c r="E188" s="2"/>
      <c r="F188" s="2"/>
      <c r="G188" s="2"/>
    </row>
    <row r="189" spans="1:7" x14ac:dyDescent="0.3">
      <c r="A189" s="1"/>
      <c r="B189" s="2"/>
      <c r="C189" s="2"/>
      <c r="D189" s="2"/>
      <c r="E189" s="2"/>
      <c r="F189" s="2"/>
      <c r="G189" s="2"/>
    </row>
    <row r="190" spans="1:7" x14ac:dyDescent="0.3">
      <c r="A190" s="1"/>
      <c r="B190" s="2"/>
      <c r="C190" s="2"/>
      <c r="D190" s="2"/>
      <c r="E190" s="2"/>
      <c r="F190" s="2"/>
      <c r="G190" s="2"/>
    </row>
    <row r="191" spans="1:7" x14ac:dyDescent="0.3">
      <c r="A191" s="1"/>
      <c r="B191" s="2"/>
      <c r="C191" s="2"/>
      <c r="D191" s="2"/>
      <c r="E191" s="2"/>
      <c r="F191" s="2"/>
      <c r="G191" s="2"/>
    </row>
    <row r="192" spans="1:7" x14ac:dyDescent="0.3">
      <c r="A192" s="1"/>
      <c r="B192" s="2"/>
      <c r="C192" s="2"/>
      <c r="D192" s="2"/>
      <c r="E192" s="2"/>
      <c r="F192" s="2"/>
      <c r="G192" s="2"/>
    </row>
    <row r="193" spans="1:7" x14ac:dyDescent="0.3">
      <c r="A193" s="1"/>
      <c r="B193" s="2"/>
      <c r="C193" s="2"/>
      <c r="D193" s="2"/>
      <c r="E193" s="2"/>
      <c r="F193" s="2"/>
      <c r="G193" s="2"/>
    </row>
    <row r="194" spans="1:7" x14ac:dyDescent="0.3">
      <c r="A194" s="1"/>
      <c r="B194" s="2"/>
      <c r="C194" s="2"/>
      <c r="D194" s="2"/>
      <c r="E194" s="2"/>
      <c r="F194" s="2"/>
      <c r="G194" s="2"/>
    </row>
    <row r="195" spans="1:7" x14ac:dyDescent="0.3">
      <c r="A195" s="1"/>
      <c r="B195" s="2"/>
      <c r="C195" s="2"/>
      <c r="D195" s="2"/>
      <c r="E195" s="2"/>
      <c r="F195" s="2"/>
      <c r="G195" s="2"/>
    </row>
    <row r="196" spans="1:7" x14ac:dyDescent="0.3">
      <c r="A196" s="1"/>
      <c r="B196" s="2"/>
      <c r="C196" s="2"/>
      <c r="D196" s="2"/>
      <c r="E196" s="2"/>
      <c r="F196" s="2"/>
      <c r="G196" s="2"/>
    </row>
    <row r="197" spans="1:7" x14ac:dyDescent="0.3">
      <c r="A197" s="1"/>
      <c r="B197" s="2"/>
      <c r="C197" s="2"/>
      <c r="D197" s="2"/>
      <c r="E197" s="2"/>
      <c r="F197" s="2"/>
      <c r="G197" s="2"/>
    </row>
    <row r="198" spans="1:7" x14ac:dyDescent="0.3">
      <c r="A198" s="1"/>
      <c r="B198" s="2"/>
      <c r="C198" s="2"/>
      <c r="D198" s="2"/>
      <c r="E198" s="2"/>
      <c r="F198" s="2"/>
      <c r="G198" s="2"/>
    </row>
    <row r="199" spans="1:7" x14ac:dyDescent="0.3">
      <c r="A199" s="1"/>
      <c r="B199" s="2"/>
      <c r="C199" s="2"/>
      <c r="D199" s="2"/>
      <c r="E199" s="2"/>
      <c r="F199" s="2"/>
      <c r="G199" s="2"/>
    </row>
    <row r="200" spans="1:7" x14ac:dyDescent="0.3">
      <c r="A200" s="1"/>
      <c r="B200" s="2"/>
      <c r="C200" s="2"/>
      <c r="D200" s="2"/>
      <c r="E200" s="2"/>
      <c r="F200" s="2"/>
      <c r="G200" s="2"/>
    </row>
  </sheetData>
  <sheetProtection sheet="1" objects="1" scenarios="1" formatCells="0" formatColumns="0" formatRows="0" insertColumns="0" insertHyperlinks="0" deleteColumns="0" pivotTables="0"/>
  <dataValidations count="2">
    <dataValidation type="list" allowBlank="1" showInputMessage="1" showErrorMessage="1" errorTitle="Invalid value" error="Select a value from the list." promptTitle="Select a value" prompt="Choose from the list." sqref="C2:C200" xr:uid="{00000000-0002-0000-0100-000000000000}">
      <formula1>rngCategoryType</formula1>
    </dataValidation>
    <dataValidation type="list" allowBlank="1" showInputMessage="1" showErrorMessage="1" errorTitle="Invalid value" error="Select a value from the list." promptTitle="Select a value" prompt="Choose from the list." sqref="E2:E200" xr:uid="{00000000-0002-0000-0100-000001000000}">
      <formula1>rngAccountStatus</formula1>
    </dataValidation>
  </dataValidations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00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4" customWidth="1"/>
    <col min="2" max="2" width="24" customWidth="1"/>
    <col min="3" max="3" width="18" customWidth="1"/>
    <col min="4" max="6" width="16" customWidth="1"/>
    <col min="7" max="7" width="12" customWidth="1"/>
    <col min="8" max="8" width="20" customWidth="1"/>
    <col min="9" max="9" width="12" customWidth="1"/>
    <col min="10" max="10" width="22" customWidth="1"/>
  </cols>
  <sheetData>
    <row r="1" spans="1:10" x14ac:dyDescent="0.3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340</v>
      </c>
      <c r="I1" s="1" t="s">
        <v>9</v>
      </c>
      <c r="J1" s="1" t="s">
        <v>11</v>
      </c>
    </row>
    <row r="2" spans="1:10" x14ac:dyDescent="0.3">
      <c r="A2" s="1"/>
      <c r="B2" s="2"/>
      <c r="C2" s="2"/>
      <c r="D2" s="2"/>
      <c r="E2" s="2"/>
      <c r="F2" s="1" t="str">
        <f>IF(tblAccounts[[#This Row],[Account Name]]="","",INDEX('Business Engine'!$H$2:$H$200,ROW()-ROW(tblAccounts[#Headers])))</f>
        <v/>
      </c>
      <c r="G2" s="2"/>
      <c r="H2" s="2"/>
      <c r="I2" s="2"/>
      <c r="J2" s="2"/>
    </row>
    <row r="3" spans="1:10" x14ac:dyDescent="0.3">
      <c r="A3" s="1"/>
      <c r="B3" s="2"/>
      <c r="C3" s="2"/>
      <c r="D3" s="2"/>
      <c r="E3" s="2"/>
      <c r="F3" s="1" t="str">
        <f>IF(tblAccounts[[#This Row],[Account Name]]="","",INDEX('Business Engine'!$H$2:$H$200,ROW()-ROW(tblAccounts[#Headers])))</f>
        <v/>
      </c>
      <c r="G3" s="2"/>
      <c r="H3" s="2"/>
      <c r="I3" s="2"/>
      <c r="J3" s="2"/>
    </row>
    <row r="4" spans="1:10" x14ac:dyDescent="0.3">
      <c r="A4" s="1"/>
      <c r="B4" s="2"/>
      <c r="C4" s="2"/>
      <c r="D4" s="2"/>
      <c r="E4" s="2"/>
      <c r="F4" s="1" t="str">
        <f>IF(tblAccounts[[#This Row],[Account Name]]="","",INDEX('Business Engine'!$H$2:$H$200,ROW()-ROW(tblAccounts[#Headers])))</f>
        <v/>
      </c>
      <c r="G4" s="2"/>
      <c r="H4" s="2"/>
      <c r="I4" s="2"/>
      <c r="J4" s="2"/>
    </row>
    <row r="5" spans="1:10" x14ac:dyDescent="0.3">
      <c r="A5" s="1"/>
      <c r="B5" s="2"/>
      <c r="C5" s="2"/>
      <c r="D5" s="2"/>
      <c r="E5" s="2"/>
      <c r="F5" s="1" t="str">
        <f>IF(tblAccounts[[#This Row],[Account Name]]="","",INDEX('Business Engine'!$H$2:$H$200,ROW()-ROW(tblAccounts[#Headers])))</f>
        <v/>
      </c>
      <c r="G5" s="2"/>
      <c r="H5" s="2"/>
      <c r="I5" s="2"/>
      <c r="J5" s="2"/>
    </row>
    <row r="6" spans="1:10" x14ac:dyDescent="0.3">
      <c r="A6" s="1"/>
      <c r="B6" s="2"/>
      <c r="C6" s="2"/>
      <c r="D6" s="2"/>
      <c r="E6" s="2"/>
      <c r="F6" s="1" t="str">
        <f>IF(tblAccounts[[#This Row],[Account Name]]="","",INDEX('Business Engine'!$H$2:$H$200,ROW()-ROW(tblAccounts[#Headers])))</f>
        <v/>
      </c>
      <c r="G6" s="2"/>
      <c r="H6" s="2"/>
      <c r="I6" s="2"/>
      <c r="J6" s="2"/>
    </row>
    <row r="7" spans="1:10" x14ac:dyDescent="0.3">
      <c r="A7" s="1"/>
      <c r="B7" s="2"/>
      <c r="C7" s="2"/>
      <c r="D7" s="2"/>
      <c r="E7" s="2"/>
      <c r="F7" s="1" t="str">
        <f>IF(tblAccounts[[#This Row],[Account Name]]="","",INDEX('Business Engine'!$H$2:$H$200,ROW()-ROW(tblAccounts[#Headers])))</f>
        <v/>
      </c>
      <c r="G7" s="2"/>
      <c r="H7" s="2"/>
      <c r="I7" s="2"/>
      <c r="J7" s="2"/>
    </row>
    <row r="8" spans="1:10" x14ac:dyDescent="0.3">
      <c r="A8" s="1"/>
      <c r="B8" s="2"/>
      <c r="C8" s="2"/>
      <c r="D8" s="2"/>
      <c r="E8" s="2"/>
      <c r="F8" s="1" t="str">
        <f>IF(tblAccounts[[#This Row],[Account Name]]="","",INDEX('Business Engine'!$H$2:$H$200,ROW()-ROW(tblAccounts[#Headers])))</f>
        <v/>
      </c>
      <c r="G8" s="2"/>
      <c r="H8" s="2"/>
      <c r="I8" s="2"/>
      <c r="J8" s="2"/>
    </row>
    <row r="9" spans="1:10" x14ac:dyDescent="0.3">
      <c r="A9" s="1"/>
      <c r="B9" s="2"/>
      <c r="C9" s="2"/>
      <c r="D9" s="2"/>
      <c r="E9" s="2"/>
      <c r="F9" s="1" t="str">
        <f>IF(tblAccounts[[#This Row],[Account Name]]="","",INDEX('Business Engine'!$H$2:$H$200,ROW()-ROW(tblAccounts[#Headers])))</f>
        <v/>
      </c>
      <c r="G9" s="2"/>
      <c r="H9" s="2"/>
      <c r="I9" s="2"/>
      <c r="J9" s="2"/>
    </row>
    <row r="10" spans="1:10" x14ac:dyDescent="0.3">
      <c r="A10" s="1"/>
      <c r="B10" s="2"/>
      <c r="C10" s="2"/>
      <c r="D10" s="2"/>
      <c r="E10" s="2"/>
      <c r="F10" s="1" t="str">
        <f>IF(tblAccounts[[#This Row],[Account Name]]="","",INDEX('Business Engine'!$H$2:$H$200,ROW()-ROW(tblAccounts[#Headers])))</f>
        <v/>
      </c>
      <c r="G10" s="2"/>
      <c r="H10" s="2"/>
      <c r="I10" s="2"/>
      <c r="J10" s="2"/>
    </row>
    <row r="11" spans="1:10" x14ac:dyDescent="0.3">
      <c r="A11" s="1"/>
      <c r="B11" s="2"/>
      <c r="C11" s="2"/>
      <c r="D11" s="2"/>
      <c r="E11" s="2"/>
      <c r="F11" s="1" t="str">
        <f>IF(tblAccounts[[#This Row],[Account Name]]="","",INDEX('Business Engine'!$H$2:$H$200,ROW()-ROW(tblAccounts[#Headers])))</f>
        <v/>
      </c>
      <c r="G11" s="2"/>
      <c r="H11" s="2"/>
      <c r="I11" s="2"/>
      <c r="J11" s="2"/>
    </row>
    <row r="12" spans="1:10" x14ac:dyDescent="0.3">
      <c r="A12" s="1"/>
      <c r="B12" s="2"/>
      <c r="C12" s="2"/>
      <c r="D12" s="2"/>
      <c r="E12" s="2"/>
      <c r="F12" s="1" t="str">
        <f>IF(tblAccounts[[#This Row],[Account Name]]="","",INDEX('Business Engine'!$H$2:$H$200,ROW()-ROW(tblAccounts[#Headers])))</f>
        <v/>
      </c>
      <c r="G12" s="2"/>
      <c r="H12" s="2"/>
      <c r="I12" s="2"/>
      <c r="J12" s="2"/>
    </row>
    <row r="13" spans="1:10" x14ac:dyDescent="0.3">
      <c r="A13" s="1"/>
      <c r="B13" s="2"/>
      <c r="C13" s="2"/>
      <c r="D13" s="2"/>
      <c r="E13" s="2"/>
      <c r="F13" s="1" t="str">
        <f>IF(tblAccounts[[#This Row],[Account Name]]="","",INDEX('Business Engine'!$H$2:$H$200,ROW()-ROW(tblAccounts[#Headers])))</f>
        <v/>
      </c>
      <c r="G13" s="2"/>
      <c r="H13" s="2"/>
      <c r="I13" s="2"/>
      <c r="J13" s="2"/>
    </row>
    <row r="14" spans="1:10" x14ac:dyDescent="0.3">
      <c r="A14" s="1"/>
      <c r="B14" s="2"/>
      <c r="C14" s="2"/>
      <c r="D14" s="2"/>
      <c r="E14" s="2"/>
      <c r="F14" s="1" t="str">
        <f>IF(tblAccounts[[#This Row],[Account Name]]="","",INDEX('Business Engine'!$H$2:$H$200,ROW()-ROW(tblAccounts[#Headers])))</f>
        <v/>
      </c>
      <c r="G14" s="2"/>
      <c r="H14" s="2"/>
      <c r="I14" s="2"/>
      <c r="J14" s="2"/>
    </row>
    <row r="15" spans="1:10" x14ac:dyDescent="0.3">
      <c r="A15" s="1"/>
      <c r="B15" s="2"/>
      <c r="C15" s="2"/>
      <c r="D15" s="2"/>
      <c r="E15" s="2"/>
      <c r="F15" s="1" t="str">
        <f>IF(tblAccounts[[#This Row],[Account Name]]="","",INDEX('Business Engine'!$H$2:$H$200,ROW()-ROW(tblAccounts[#Headers])))</f>
        <v/>
      </c>
      <c r="G15" s="2"/>
      <c r="H15" s="2"/>
      <c r="I15" s="2"/>
      <c r="J15" s="2"/>
    </row>
    <row r="16" spans="1:10" x14ac:dyDescent="0.3">
      <c r="A16" s="1"/>
      <c r="B16" s="2"/>
      <c r="C16" s="2"/>
      <c r="D16" s="2"/>
      <c r="E16" s="2"/>
      <c r="F16" s="1" t="str">
        <f>IF(tblAccounts[[#This Row],[Account Name]]="","",INDEX('Business Engine'!$H$2:$H$200,ROW()-ROW(tblAccounts[#Headers])))</f>
        <v/>
      </c>
      <c r="G16" s="2"/>
      <c r="H16" s="2"/>
      <c r="I16" s="2"/>
      <c r="J16" s="2"/>
    </row>
    <row r="17" spans="1:10" x14ac:dyDescent="0.3">
      <c r="A17" s="1"/>
      <c r="B17" s="2"/>
      <c r="C17" s="2"/>
      <c r="D17" s="2"/>
      <c r="E17" s="2"/>
      <c r="F17" s="1" t="str">
        <f>IF(tblAccounts[[#This Row],[Account Name]]="","",INDEX('Business Engine'!$H$2:$H$200,ROW()-ROW(tblAccounts[#Headers])))</f>
        <v/>
      </c>
      <c r="G17" s="2"/>
      <c r="H17" s="2"/>
      <c r="I17" s="2"/>
      <c r="J17" s="2"/>
    </row>
    <row r="18" spans="1:10" x14ac:dyDescent="0.3">
      <c r="A18" s="1"/>
      <c r="B18" s="2"/>
      <c r="C18" s="2"/>
      <c r="D18" s="2"/>
      <c r="E18" s="2"/>
      <c r="F18" s="1" t="str">
        <f>IF(tblAccounts[[#This Row],[Account Name]]="","",INDEX('Business Engine'!$H$2:$H$200,ROW()-ROW(tblAccounts[#Headers])))</f>
        <v/>
      </c>
      <c r="G18" s="2"/>
      <c r="H18" s="2"/>
      <c r="I18" s="2"/>
      <c r="J18" s="2"/>
    </row>
    <row r="19" spans="1:10" x14ac:dyDescent="0.3">
      <c r="A19" s="1"/>
      <c r="B19" s="2"/>
      <c r="C19" s="2"/>
      <c r="D19" s="2"/>
      <c r="E19" s="2"/>
      <c r="F19" s="1" t="str">
        <f>IF(tblAccounts[[#This Row],[Account Name]]="","",INDEX('Business Engine'!$H$2:$H$200,ROW()-ROW(tblAccounts[#Headers])))</f>
        <v/>
      </c>
      <c r="G19" s="2"/>
      <c r="H19" s="2"/>
      <c r="I19" s="2"/>
      <c r="J19" s="2"/>
    </row>
    <row r="20" spans="1:10" x14ac:dyDescent="0.3">
      <c r="A20" s="1"/>
      <c r="B20" s="2"/>
      <c r="C20" s="2"/>
      <c r="D20" s="2"/>
      <c r="E20" s="2"/>
      <c r="F20" s="1" t="str">
        <f>IF(tblAccounts[[#This Row],[Account Name]]="","",INDEX('Business Engine'!$H$2:$H$200,ROW()-ROW(tblAccounts[#Headers])))</f>
        <v/>
      </c>
      <c r="G20" s="2"/>
      <c r="H20" s="2"/>
      <c r="I20" s="2"/>
      <c r="J20" s="2"/>
    </row>
    <row r="21" spans="1:10" x14ac:dyDescent="0.3">
      <c r="A21" s="1"/>
      <c r="B21" s="2"/>
      <c r="C21" s="2"/>
      <c r="D21" s="2"/>
      <c r="E21" s="2"/>
      <c r="F21" s="1" t="str">
        <f>IF(tblAccounts[[#This Row],[Account Name]]="","",INDEX('Business Engine'!$H$2:$H$200,ROW()-ROW(tblAccounts[#Headers])))</f>
        <v/>
      </c>
      <c r="G21" s="2"/>
      <c r="H21" s="2"/>
      <c r="I21" s="2"/>
      <c r="J21" s="2"/>
    </row>
    <row r="22" spans="1:10" x14ac:dyDescent="0.3">
      <c r="A22" s="1"/>
      <c r="B22" s="2"/>
      <c r="C22" s="2"/>
      <c r="D22" s="2"/>
      <c r="E22" s="2"/>
      <c r="F22" s="1" t="str">
        <f>IF(tblAccounts[[#This Row],[Account Name]]="","",INDEX('Business Engine'!$H$2:$H$200,ROW()-ROW(tblAccounts[#Headers])))</f>
        <v/>
      </c>
      <c r="G22" s="2"/>
      <c r="H22" s="2"/>
      <c r="I22" s="2"/>
      <c r="J22" s="2"/>
    </row>
    <row r="23" spans="1:10" x14ac:dyDescent="0.3">
      <c r="A23" s="1"/>
      <c r="B23" s="2"/>
      <c r="C23" s="2"/>
      <c r="D23" s="2"/>
      <c r="E23" s="2"/>
      <c r="F23" s="1" t="str">
        <f>IF(tblAccounts[[#This Row],[Account Name]]="","",INDEX('Business Engine'!$H$2:$H$200,ROW()-ROW(tblAccounts[#Headers])))</f>
        <v/>
      </c>
      <c r="G23" s="2"/>
      <c r="H23" s="2"/>
      <c r="I23" s="2"/>
      <c r="J23" s="2"/>
    </row>
    <row r="24" spans="1:10" x14ac:dyDescent="0.3">
      <c r="A24" s="1"/>
      <c r="B24" s="2"/>
      <c r="C24" s="2"/>
      <c r="D24" s="2"/>
      <c r="E24" s="2"/>
      <c r="F24" s="1" t="str">
        <f>IF(tblAccounts[[#This Row],[Account Name]]="","",INDEX('Business Engine'!$H$2:$H$200,ROW()-ROW(tblAccounts[#Headers])))</f>
        <v/>
      </c>
      <c r="G24" s="2"/>
      <c r="H24" s="2"/>
      <c r="I24" s="2"/>
      <c r="J24" s="2"/>
    </row>
    <row r="25" spans="1:10" x14ac:dyDescent="0.3">
      <c r="A25" s="1"/>
      <c r="B25" s="2"/>
      <c r="C25" s="2"/>
      <c r="D25" s="2"/>
      <c r="E25" s="2"/>
      <c r="F25" s="1" t="str">
        <f>IF(tblAccounts[[#This Row],[Account Name]]="","",INDEX('Business Engine'!$H$2:$H$200,ROW()-ROW(tblAccounts[#Headers])))</f>
        <v/>
      </c>
      <c r="G25" s="2"/>
      <c r="H25" s="2"/>
      <c r="I25" s="2"/>
      <c r="J25" s="2"/>
    </row>
    <row r="26" spans="1:10" x14ac:dyDescent="0.3">
      <c r="A26" s="1"/>
      <c r="B26" s="2"/>
      <c r="C26" s="2"/>
      <c r="D26" s="2"/>
      <c r="E26" s="2"/>
      <c r="F26" s="1" t="str">
        <f>IF(tblAccounts[[#This Row],[Account Name]]="","",INDEX('Business Engine'!$H$2:$H$200,ROW()-ROW(tblAccounts[#Headers])))</f>
        <v/>
      </c>
      <c r="G26" s="2"/>
      <c r="H26" s="2"/>
      <c r="I26" s="2"/>
      <c r="J26" s="2"/>
    </row>
    <row r="27" spans="1:10" x14ac:dyDescent="0.3">
      <c r="A27" s="1"/>
      <c r="B27" s="2"/>
      <c r="C27" s="2"/>
      <c r="D27" s="2"/>
      <c r="E27" s="2"/>
      <c r="F27" s="1" t="str">
        <f>IF(tblAccounts[[#This Row],[Account Name]]="","",INDEX('Business Engine'!$H$2:$H$200,ROW()-ROW(tblAccounts[#Headers])))</f>
        <v/>
      </c>
      <c r="G27" s="2"/>
      <c r="H27" s="2"/>
      <c r="I27" s="2"/>
      <c r="J27" s="2"/>
    </row>
    <row r="28" spans="1:10" x14ac:dyDescent="0.3">
      <c r="A28" s="1"/>
      <c r="B28" s="2"/>
      <c r="C28" s="2"/>
      <c r="D28" s="2"/>
      <c r="E28" s="2"/>
      <c r="F28" s="1" t="str">
        <f>IF(tblAccounts[[#This Row],[Account Name]]="","",INDEX('Business Engine'!$H$2:$H$200,ROW()-ROW(tblAccounts[#Headers])))</f>
        <v/>
      </c>
      <c r="G28" s="2"/>
      <c r="H28" s="2"/>
      <c r="I28" s="2"/>
      <c r="J28" s="2"/>
    </row>
    <row r="29" spans="1:10" x14ac:dyDescent="0.3">
      <c r="A29" s="1"/>
      <c r="B29" s="2"/>
      <c r="C29" s="2"/>
      <c r="D29" s="2"/>
      <c r="E29" s="2"/>
      <c r="F29" s="1" t="str">
        <f>IF(tblAccounts[[#This Row],[Account Name]]="","",INDEX('Business Engine'!$H$2:$H$200,ROW()-ROW(tblAccounts[#Headers])))</f>
        <v/>
      </c>
      <c r="G29" s="2"/>
      <c r="H29" s="2"/>
      <c r="I29" s="2"/>
      <c r="J29" s="2"/>
    </row>
    <row r="30" spans="1:10" x14ac:dyDescent="0.3">
      <c r="A30" s="1"/>
      <c r="B30" s="2"/>
      <c r="C30" s="2"/>
      <c r="D30" s="2"/>
      <c r="E30" s="2"/>
      <c r="F30" s="1" t="str">
        <f>IF(tblAccounts[[#This Row],[Account Name]]="","",INDEX('Business Engine'!$H$2:$H$200,ROW()-ROW(tblAccounts[#Headers])))</f>
        <v/>
      </c>
      <c r="G30" s="2"/>
      <c r="H30" s="2"/>
      <c r="I30" s="2"/>
      <c r="J30" s="2"/>
    </row>
    <row r="31" spans="1:10" x14ac:dyDescent="0.3">
      <c r="A31" s="1"/>
      <c r="B31" s="2"/>
      <c r="C31" s="2"/>
      <c r="D31" s="2"/>
      <c r="E31" s="2"/>
      <c r="F31" s="1" t="str">
        <f>IF(tblAccounts[[#This Row],[Account Name]]="","",INDEX('Business Engine'!$H$2:$H$200,ROW()-ROW(tblAccounts[#Headers])))</f>
        <v/>
      </c>
      <c r="G31" s="2"/>
      <c r="H31" s="2"/>
      <c r="I31" s="2"/>
      <c r="J31" s="2"/>
    </row>
    <row r="32" spans="1:10" x14ac:dyDescent="0.3">
      <c r="A32" s="1"/>
      <c r="B32" s="2"/>
      <c r="C32" s="2"/>
      <c r="D32" s="2"/>
      <c r="E32" s="2"/>
      <c r="F32" s="1" t="str">
        <f>IF(tblAccounts[[#This Row],[Account Name]]="","",INDEX('Business Engine'!$H$2:$H$200,ROW()-ROW(tblAccounts[#Headers])))</f>
        <v/>
      </c>
      <c r="G32" s="2"/>
      <c r="H32" s="2"/>
      <c r="I32" s="2"/>
      <c r="J32" s="2"/>
    </row>
    <row r="33" spans="1:10" x14ac:dyDescent="0.3">
      <c r="A33" s="1"/>
      <c r="B33" s="2"/>
      <c r="C33" s="2"/>
      <c r="D33" s="2"/>
      <c r="E33" s="2"/>
      <c r="F33" s="1" t="str">
        <f>IF(tblAccounts[[#This Row],[Account Name]]="","",INDEX('Business Engine'!$H$2:$H$200,ROW()-ROW(tblAccounts[#Headers])))</f>
        <v/>
      </c>
      <c r="G33" s="2"/>
      <c r="H33" s="2"/>
      <c r="I33" s="2"/>
      <c r="J33" s="2"/>
    </row>
    <row r="34" spans="1:10" x14ac:dyDescent="0.3">
      <c r="A34" s="1"/>
      <c r="B34" s="2"/>
      <c r="C34" s="2"/>
      <c r="D34" s="2"/>
      <c r="E34" s="2"/>
      <c r="F34" s="1" t="str">
        <f>IF(tblAccounts[[#This Row],[Account Name]]="","",INDEX('Business Engine'!$H$2:$H$200,ROW()-ROW(tblAccounts[#Headers])))</f>
        <v/>
      </c>
      <c r="G34" s="2"/>
      <c r="H34" s="2"/>
      <c r="I34" s="2"/>
      <c r="J34" s="2"/>
    </row>
    <row r="35" spans="1:10" x14ac:dyDescent="0.3">
      <c r="A35" s="1"/>
      <c r="B35" s="2"/>
      <c r="C35" s="2"/>
      <c r="D35" s="2"/>
      <c r="E35" s="2"/>
      <c r="F35" s="1" t="str">
        <f>IF(tblAccounts[[#This Row],[Account Name]]="","",INDEX('Business Engine'!$H$2:$H$200,ROW()-ROW(tblAccounts[#Headers])))</f>
        <v/>
      </c>
      <c r="G35" s="2"/>
      <c r="H35" s="2"/>
      <c r="I35" s="2"/>
      <c r="J35" s="2"/>
    </row>
    <row r="36" spans="1:10" x14ac:dyDescent="0.3">
      <c r="A36" s="1"/>
      <c r="B36" s="2"/>
      <c r="C36" s="2"/>
      <c r="D36" s="2"/>
      <c r="E36" s="2"/>
      <c r="F36" s="1" t="str">
        <f>IF(tblAccounts[[#This Row],[Account Name]]="","",INDEX('Business Engine'!$H$2:$H$200,ROW()-ROW(tblAccounts[#Headers])))</f>
        <v/>
      </c>
      <c r="G36" s="2"/>
      <c r="H36" s="2"/>
      <c r="I36" s="2"/>
      <c r="J36" s="2"/>
    </row>
    <row r="37" spans="1:10" x14ac:dyDescent="0.3">
      <c r="A37" s="1"/>
      <c r="B37" s="2"/>
      <c r="C37" s="2"/>
      <c r="D37" s="2"/>
      <c r="E37" s="2"/>
      <c r="F37" s="1" t="str">
        <f>IF(tblAccounts[[#This Row],[Account Name]]="","",INDEX('Business Engine'!$H$2:$H$200,ROW()-ROW(tblAccounts[#Headers])))</f>
        <v/>
      </c>
      <c r="G37" s="2"/>
      <c r="H37" s="2"/>
      <c r="I37" s="2"/>
      <c r="J37" s="2"/>
    </row>
    <row r="38" spans="1:10" x14ac:dyDescent="0.3">
      <c r="A38" s="1"/>
      <c r="B38" s="2"/>
      <c r="C38" s="2"/>
      <c r="D38" s="2"/>
      <c r="E38" s="2"/>
      <c r="F38" s="1" t="str">
        <f>IF(tblAccounts[[#This Row],[Account Name]]="","",INDEX('Business Engine'!$H$2:$H$200,ROW()-ROW(tblAccounts[#Headers])))</f>
        <v/>
      </c>
      <c r="G38" s="2"/>
      <c r="H38" s="2"/>
      <c r="I38" s="2"/>
      <c r="J38" s="2"/>
    </row>
    <row r="39" spans="1:10" x14ac:dyDescent="0.3">
      <c r="A39" s="1"/>
      <c r="B39" s="2"/>
      <c r="C39" s="2"/>
      <c r="D39" s="2"/>
      <c r="E39" s="2"/>
      <c r="F39" s="1" t="str">
        <f>IF(tblAccounts[[#This Row],[Account Name]]="","",INDEX('Business Engine'!$H$2:$H$200,ROW()-ROW(tblAccounts[#Headers])))</f>
        <v/>
      </c>
      <c r="G39" s="2"/>
      <c r="H39" s="2"/>
      <c r="I39" s="2"/>
      <c r="J39" s="2"/>
    </row>
    <row r="40" spans="1:10" x14ac:dyDescent="0.3">
      <c r="A40" s="1"/>
      <c r="B40" s="2"/>
      <c r="C40" s="2"/>
      <c r="D40" s="2"/>
      <c r="E40" s="2"/>
      <c r="F40" s="1" t="str">
        <f>IF(tblAccounts[[#This Row],[Account Name]]="","",INDEX('Business Engine'!$H$2:$H$200,ROW()-ROW(tblAccounts[#Headers])))</f>
        <v/>
      </c>
      <c r="G40" s="2"/>
      <c r="H40" s="2"/>
      <c r="I40" s="2"/>
      <c r="J40" s="2"/>
    </row>
    <row r="41" spans="1:10" x14ac:dyDescent="0.3">
      <c r="A41" s="1"/>
      <c r="B41" s="2"/>
      <c r="C41" s="2"/>
      <c r="D41" s="2"/>
      <c r="E41" s="2"/>
      <c r="F41" s="1" t="str">
        <f>IF(tblAccounts[[#This Row],[Account Name]]="","",INDEX('Business Engine'!$H$2:$H$200,ROW()-ROW(tblAccounts[#Headers])))</f>
        <v/>
      </c>
      <c r="G41" s="2"/>
      <c r="H41" s="2"/>
      <c r="I41" s="2"/>
      <c r="J41" s="2"/>
    </row>
    <row r="42" spans="1:10" x14ac:dyDescent="0.3">
      <c r="A42" s="1"/>
      <c r="B42" s="2"/>
      <c r="C42" s="2"/>
      <c r="D42" s="2"/>
      <c r="E42" s="2"/>
      <c r="F42" s="1" t="str">
        <f>IF(tblAccounts[[#This Row],[Account Name]]="","",INDEX('Business Engine'!$H$2:$H$200,ROW()-ROW(tblAccounts[#Headers])))</f>
        <v/>
      </c>
      <c r="G42" s="2"/>
      <c r="H42" s="2"/>
      <c r="I42" s="2"/>
      <c r="J42" s="2"/>
    </row>
    <row r="43" spans="1:10" x14ac:dyDescent="0.3">
      <c r="A43" s="1"/>
      <c r="B43" s="2"/>
      <c r="C43" s="2"/>
      <c r="D43" s="2"/>
      <c r="E43" s="2"/>
      <c r="F43" s="1" t="str">
        <f>IF(tblAccounts[[#This Row],[Account Name]]="","",INDEX('Business Engine'!$H$2:$H$200,ROW()-ROW(tblAccounts[#Headers])))</f>
        <v/>
      </c>
      <c r="G43" s="2"/>
      <c r="H43" s="2"/>
      <c r="I43" s="2"/>
      <c r="J43" s="2"/>
    </row>
    <row r="44" spans="1:10" x14ac:dyDescent="0.3">
      <c r="A44" s="1"/>
      <c r="B44" s="2"/>
      <c r="C44" s="2"/>
      <c r="D44" s="2"/>
      <c r="E44" s="2"/>
      <c r="F44" s="1" t="str">
        <f>IF(tblAccounts[[#This Row],[Account Name]]="","",INDEX('Business Engine'!$H$2:$H$200,ROW()-ROW(tblAccounts[#Headers])))</f>
        <v/>
      </c>
      <c r="G44" s="2"/>
      <c r="H44" s="2"/>
      <c r="I44" s="2"/>
      <c r="J44" s="2"/>
    </row>
    <row r="45" spans="1:10" x14ac:dyDescent="0.3">
      <c r="A45" s="1"/>
      <c r="B45" s="2"/>
      <c r="C45" s="2"/>
      <c r="D45" s="2"/>
      <c r="E45" s="2"/>
      <c r="F45" s="1" t="str">
        <f>IF(tblAccounts[[#This Row],[Account Name]]="","",INDEX('Business Engine'!$H$2:$H$200,ROW()-ROW(tblAccounts[#Headers])))</f>
        <v/>
      </c>
      <c r="G45" s="2"/>
      <c r="H45" s="2"/>
      <c r="I45" s="2"/>
      <c r="J45" s="2"/>
    </row>
    <row r="46" spans="1:10" x14ac:dyDescent="0.3">
      <c r="A46" s="1"/>
      <c r="B46" s="2"/>
      <c r="C46" s="2"/>
      <c r="D46" s="2"/>
      <c r="E46" s="2"/>
      <c r="F46" s="1" t="str">
        <f>IF(tblAccounts[[#This Row],[Account Name]]="","",INDEX('Business Engine'!$H$2:$H$200,ROW()-ROW(tblAccounts[#Headers])))</f>
        <v/>
      </c>
      <c r="G46" s="2"/>
      <c r="H46" s="2"/>
      <c r="I46" s="2"/>
      <c r="J46" s="2"/>
    </row>
    <row r="47" spans="1:10" x14ac:dyDescent="0.3">
      <c r="A47" s="1"/>
      <c r="B47" s="2"/>
      <c r="C47" s="2"/>
      <c r="D47" s="2"/>
      <c r="E47" s="2"/>
      <c r="F47" s="1" t="str">
        <f>IF(tblAccounts[[#This Row],[Account Name]]="","",INDEX('Business Engine'!$H$2:$H$200,ROW()-ROW(tblAccounts[#Headers])))</f>
        <v/>
      </c>
      <c r="G47" s="2"/>
      <c r="H47" s="2"/>
      <c r="I47" s="2"/>
      <c r="J47" s="2"/>
    </row>
    <row r="48" spans="1:10" x14ac:dyDescent="0.3">
      <c r="A48" s="1"/>
      <c r="B48" s="2"/>
      <c r="C48" s="2"/>
      <c r="D48" s="2"/>
      <c r="E48" s="2"/>
      <c r="F48" s="1" t="str">
        <f>IF(tblAccounts[[#This Row],[Account Name]]="","",INDEX('Business Engine'!$H$2:$H$200,ROW()-ROW(tblAccounts[#Headers])))</f>
        <v/>
      </c>
      <c r="G48" s="2"/>
      <c r="H48" s="2"/>
      <c r="I48" s="2"/>
      <c r="J48" s="2"/>
    </row>
    <row r="49" spans="1:10" x14ac:dyDescent="0.3">
      <c r="A49" s="1"/>
      <c r="B49" s="2"/>
      <c r="C49" s="2"/>
      <c r="D49" s="2"/>
      <c r="E49" s="2"/>
      <c r="F49" s="1" t="str">
        <f>IF(tblAccounts[[#This Row],[Account Name]]="","",INDEX('Business Engine'!$H$2:$H$200,ROW()-ROW(tblAccounts[#Headers])))</f>
        <v/>
      </c>
      <c r="G49" s="2"/>
      <c r="H49" s="2"/>
      <c r="I49" s="2"/>
      <c r="J49" s="2"/>
    </row>
    <row r="50" spans="1:10" x14ac:dyDescent="0.3">
      <c r="A50" s="1"/>
      <c r="B50" s="2"/>
      <c r="C50" s="2"/>
      <c r="D50" s="2"/>
      <c r="E50" s="2"/>
      <c r="F50" s="1" t="str">
        <f>IF(tblAccounts[[#This Row],[Account Name]]="","",INDEX('Business Engine'!$H$2:$H$200,ROW()-ROW(tblAccounts[#Headers])))</f>
        <v/>
      </c>
      <c r="G50" s="2"/>
      <c r="H50" s="2"/>
      <c r="I50" s="2"/>
      <c r="J50" s="2"/>
    </row>
    <row r="51" spans="1:10" x14ac:dyDescent="0.3">
      <c r="A51" s="1"/>
      <c r="B51" s="2"/>
      <c r="C51" s="2"/>
      <c r="D51" s="2"/>
      <c r="E51" s="2"/>
      <c r="F51" s="1" t="str">
        <f>IF(tblAccounts[[#This Row],[Account Name]]="","",INDEX('Business Engine'!$H$2:$H$200,ROW()-ROW(tblAccounts[#Headers])))</f>
        <v/>
      </c>
      <c r="G51" s="2"/>
      <c r="H51" s="2"/>
      <c r="I51" s="2"/>
      <c r="J51" s="2"/>
    </row>
    <row r="52" spans="1:10" x14ac:dyDescent="0.3">
      <c r="A52" s="1"/>
      <c r="B52" s="2"/>
      <c r="C52" s="2"/>
      <c r="D52" s="2"/>
      <c r="E52" s="2"/>
      <c r="F52" s="1" t="str">
        <f>IF(tblAccounts[[#This Row],[Account Name]]="","",INDEX('Business Engine'!$H$2:$H$200,ROW()-ROW(tblAccounts[#Headers])))</f>
        <v/>
      </c>
      <c r="G52" s="2"/>
      <c r="H52" s="2"/>
      <c r="I52" s="2"/>
      <c r="J52" s="2"/>
    </row>
    <row r="53" spans="1:10" x14ac:dyDescent="0.3">
      <c r="A53" s="1"/>
      <c r="B53" s="2"/>
      <c r="C53" s="2"/>
      <c r="D53" s="2"/>
      <c r="E53" s="2"/>
      <c r="F53" s="1" t="str">
        <f>IF(tblAccounts[[#This Row],[Account Name]]="","",INDEX('Business Engine'!$H$2:$H$200,ROW()-ROW(tblAccounts[#Headers])))</f>
        <v/>
      </c>
      <c r="G53" s="2"/>
      <c r="H53" s="2"/>
      <c r="I53" s="2"/>
      <c r="J53" s="2"/>
    </row>
    <row r="54" spans="1:10" x14ac:dyDescent="0.3">
      <c r="A54" s="1"/>
      <c r="B54" s="2"/>
      <c r="C54" s="2"/>
      <c r="D54" s="2"/>
      <c r="E54" s="2"/>
      <c r="F54" s="1" t="str">
        <f>IF(tblAccounts[[#This Row],[Account Name]]="","",INDEX('Business Engine'!$H$2:$H$200,ROW()-ROW(tblAccounts[#Headers])))</f>
        <v/>
      </c>
      <c r="G54" s="2"/>
      <c r="H54" s="2"/>
      <c r="I54" s="2"/>
      <c r="J54" s="2"/>
    </row>
    <row r="55" spans="1:10" x14ac:dyDescent="0.3">
      <c r="A55" s="1"/>
      <c r="B55" s="2"/>
      <c r="C55" s="2"/>
      <c r="D55" s="2"/>
      <c r="E55" s="2"/>
      <c r="F55" s="1" t="str">
        <f>IF(tblAccounts[[#This Row],[Account Name]]="","",INDEX('Business Engine'!$H$2:$H$200,ROW()-ROW(tblAccounts[#Headers])))</f>
        <v/>
      </c>
      <c r="G55" s="2"/>
      <c r="H55" s="2"/>
      <c r="I55" s="2"/>
      <c r="J55" s="2"/>
    </row>
    <row r="56" spans="1:10" x14ac:dyDescent="0.3">
      <c r="A56" s="1"/>
      <c r="B56" s="2"/>
      <c r="C56" s="2"/>
      <c r="D56" s="2"/>
      <c r="E56" s="2"/>
      <c r="F56" s="1" t="str">
        <f>IF(tblAccounts[[#This Row],[Account Name]]="","",INDEX('Business Engine'!$H$2:$H$200,ROW()-ROW(tblAccounts[#Headers])))</f>
        <v/>
      </c>
      <c r="G56" s="2"/>
      <c r="H56" s="2"/>
      <c r="I56" s="2"/>
      <c r="J56" s="2"/>
    </row>
    <row r="57" spans="1:10" x14ac:dyDescent="0.3">
      <c r="A57" s="1"/>
      <c r="B57" s="2"/>
      <c r="C57" s="2"/>
      <c r="D57" s="2"/>
      <c r="E57" s="2"/>
      <c r="F57" s="1" t="str">
        <f>IF(tblAccounts[[#This Row],[Account Name]]="","",INDEX('Business Engine'!$H$2:$H$200,ROW()-ROW(tblAccounts[#Headers])))</f>
        <v/>
      </c>
      <c r="G57" s="2"/>
      <c r="H57" s="2"/>
      <c r="I57" s="2"/>
      <c r="J57" s="2"/>
    </row>
    <row r="58" spans="1:10" x14ac:dyDescent="0.3">
      <c r="A58" s="1"/>
      <c r="B58" s="2"/>
      <c r="C58" s="2"/>
      <c r="D58" s="2"/>
      <c r="E58" s="2"/>
      <c r="F58" s="1" t="str">
        <f>IF(tblAccounts[[#This Row],[Account Name]]="","",INDEX('Business Engine'!$H$2:$H$200,ROW()-ROW(tblAccounts[#Headers])))</f>
        <v/>
      </c>
      <c r="G58" s="2"/>
      <c r="H58" s="2"/>
      <c r="I58" s="2"/>
      <c r="J58" s="2"/>
    </row>
    <row r="59" spans="1:10" x14ac:dyDescent="0.3">
      <c r="A59" s="1"/>
      <c r="B59" s="2"/>
      <c r="C59" s="2"/>
      <c r="D59" s="2"/>
      <c r="E59" s="2"/>
      <c r="F59" s="1" t="str">
        <f>IF(tblAccounts[[#This Row],[Account Name]]="","",INDEX('Business Engine'!$H$2:$H$200,ROW()-ROW(tblAccounts[#Headers])))</f>
        <v/>
      </c>
      <c r="G59" s="2"/>
      <c r="H59" s="2"/>
      <c r="I59" s="2"/>
      <c r="J59" s="2"/>
    </row>
    <row r="60" spans="1:10" x14ac:dyDescent="0.3">
      <c r="A60" s="1"/>
      <c r="B60" s="2"/>
      <c r="C60" s="2"/>
      <c r="D60" s="2"/>
      <c r="E60" s="2"/>
      <c r="F60" s="1" t="str">
        <f>IF(tblAccounts[[#This Row],[Account Name]]="","",INDEX('Business Engine'!$H$2:$H$200,ROW()-ROW(tblAccounts[#Headers])))</f>
        <v/>
      </c>
      <c r="G60" s="2"/>
      <c r="H60" s="2"/>
      <c r="I60" s="2"/>
      <c r="J60" s="2"/>
    </row>
    <row r="61" spans="1:10" x14ac:dyDescent="0.3">
      <c r="A61" s="1"/>
      <c r="B61" s="2"/>
      <c r="C61" s="2"/>
      <c r="D61" s="2"/>
      <c r="E61" s="2"/>
      <c r="F61" s="1" t="str">
        <f>IF(tblAccounts[[#This Row],[Account Name]]="","",INDEX('Business Engine'!$H$2:$H$200,ROW()-ROW(tblAccounts[#Headers])))</f>
        <v/>
      </c>
      <c r="G61" s="2"/>
      <c r="H61" s="2"/>
      <c r="I61" s="2"/>
      <c r="J61" s="2"/>
    </row>
    <row r="62" spans="1:10" x14ac:dyDescent="0.3">
      <c r="A62" s="1"/>
      <c r="B62" s="2"/>
      <c r="C62" s="2"/>
      <c r="D62" s="2"/>
      <c r="E62" s="2"/>
      <c r="F62" s="1" t="str">
        <f>IF(tblAccounts[[#This Row],[Account Name]]="","",INDEX('Business Engine'!$H$2:$H$200,ROW()-ROW(tblAccounts[#Headers])))</f>
        <v/>
      </c>
      <c r="G62" s="2"/>
      <c r="H62" s="2"/>
      <c r="I62" s="2"/>
      <c r="J62" s="2"/>
    </row>
    <row r="63" spans="1:10" x14ac:dyDescent="0.3">
      <c r="A63" s="1"/>
      <c r="B63" s="2"/>
      <c r="C63" s="2"/>
      <c r="D63" s="2"/>
      <c r="E63" s="2"/>
      <c r="F63" s="1" t="str">
        <f>IF(tblAccounts[[#This Row],[Account Name]]="","",INDEX('Business Engine'!$H$2:$H$200,ROW()-ROW(tblAccounts[#Headers])))</f>
        <v/>
      </c>
      <c r="G63" s="2"/>
      <c r="H63" s="2"/>
      <c r="I63" s="2"/>
      <c r="J63" s="2"/>
    </row>
    <row r="64" spans="1:10" x14ac:dyDescent="0.3">
      <c r="A64" s="1"/>
      <c r="B64" s="2"/>
      <c r="C64" s="2"/>
      <c r="D64" s="2"/>
      <c r="E64" s="2"/>
      <c r="F64" s="1" t="str">
        <f>IF(tblAccounts[[#This Row],[Account Name]]="","",INDEX('Business Engine'!$H$2:$H$200,ROW()-ROW(tblAccounts[#Headers])))</f>
        <v/>
      </c>
      <c r="G64" s="2"/>
      <c r="H64" s="2"/>
      <c r="I64" s="2"/>
      <c r="J64" s="2"/>
    </row>
    <row r="65" spans="1:10" x14ac:dyDescent="0.3">
      <c r="A65" s="1"/>
      <c r="B65" s="2"/>
      <c r="C65" s="2"/>
      <c r="D65" s="2"/>
      <c r="E65" s="2"/>
      <c r="F65" s="1" t="str">
        <f>IF(tblAccounts[[#This Row],[Account Name]]="","",INDEX('Business Engine'!$H$2:$H$200,ROW()-ROW(tblAccounts[#Headers])))</f>
        <v/>
      </c>
      <c r="G65" s="2"/>
      <c r="H65" s="2"/>
      <c r="I65" s="2"/>
      <c r="J65" s="2"/>
    </row>
    <row r="66" spans="1:10" x14ac:dyDescent="0.3">
      <c r="A66" s="1"/>
      <c r="B66" s="2"/>
      <c r="C66" s="2"/>
      <c r="D66" s="2"/>
      <c r="E66" s="2"/>
      <c r="F66" s="1" t="str">
        <f>IF(tblAccounts[[#This Row],[Account Name]]="","",INDEX('Business Engine'!$H$2:$H$200,ROW()-ROW(tblAccounts[#Headers])))</f>
        <v/>
      </c>
      <c r="G66" s="2"/>
      <c r="H66" s="2"/>
      <c r="I66" s="2"/>
      <c r="J66" s="2"/>
    </row>
    <row r="67" spans="1:10" x14ac:dyDescent="0.3">
      <c r="A67" s="1"/>
      <c r="B67" s="2"/>
      <c r="C67" s="2"/>
      <c r="D67" s="2"/>
      <c r="E67" s="2"/>
      <c r="F67" s="1" t="str">
        <f>IF(tblAccounts[[#This Row],[Account Name]]="","",INDEX('Business Engine'!$H$2:$H$200,ROW()-ROW(tblAccounts[#Headers])))</f>
        <v/>
      </c>
      <c r="G67" s="2"/>
      <c r="H67" s="2"/>
      <c r="I67" s="2"/>
      <c r="J67" s="2"/>
    </row>
    <row r="68" spans="1:10" x14ac:dyDescent="0.3">
      <c r="A68" s="1"/>
      <c r="B68" s="2"/>
      <c r="C68" s="2"/>
      <c r="D68" s="2"/>
      <c r="E68" s="2"/>
      <c r="F68" s="1" t="str">
        <f>IF(tblAccounts[[#This Row],[Account Name]]="","",INDEX('Business Engine'!$H$2:$H$200,ROW()-ROW(tblAccounts[#Headers])))</f>
        <v/>
      </c>
      <c r="G68" s="2"/>
      <c r="H68" s="2"/>
      <c r="I68" s="2"/>
      <c r="J68" s="2"/>
    </row>
    <row r="69" spans="1:10" x14ac:dyDescent="0.3">
      <c r="A69" s="1"/>
      <c r="B69" s="2"/>
      <c r="C69" s="2"/>
      <c r="D69" s="2"/>
      <c r="E69" s="2"/>
      <c r="F69" s="1" t="str">
        <f>IF(tblAccounts[[#This Row],[Account Name]]="","",INDEX('Business Engine'!$H$2:$H$200,ROW()-ROW(tblAccounts[#Headers])))</f>
        <v/>
      </c>
      <c r="G69" s="2"/>
      <c r="H69" s="2"/>
      <c r="I69" s="2"/>
      <c r="J69" s="2"/>
    </row>
    <row r="70" spans="1:10" x14ac:dyDescent="0.3">
      <c r="A70" s="1"/>
      <c r="B70" s="2"/>
      <c r="C70" s="2"/>
      <c r="D70" s="2"/>
      <c r="E70" s="2"/>
      <c r="F70" s="1" t="str">
        <f>IF(tblAccounts[[#This Row],[Account Name]]="","",INDEX('Business Engine'!$H$2:$H$200,ROW()-ROW(tblAccounts[#Headers])))</f>
        <v/>
      </c>
      <c r="G70" s="2"/>
      <c r="H70" s="2"/>
      <c r="I70" s="2"/>
      <c r="J70" s="2"/>
    </row>
    <row r="71" spans="1:10" x14ac:dyDescent="0.3">
      <c r="A71" s="1"/>
      <c r="B71" s="2"/>
      <c r="C71" s="2"/>
      <c r="D71" s="2"/>
      <c r="E71" s="2"/>
      <c r="F71" s="1" t="str">
        <f>IF(tblAccounts[[#This Row],[Account Name]]="","",INDEX('Business Engine'!$H$2:$H$200,ROW()-ROW(tblAccounts[#Headers])))</f>
        <v/>
      </c>
      <c r="G71" s="2"/>
      <c r="H71" s="2"/>
      <c r="I71" s="2"/>
      <c r="J71" s="2"/>
    </row>
    <row r="72" spans="1:10" x14ac:dyDescent="0.3">
      <c r="A72" s="1"/>
      <c r="B72" s="2"/>
      <c r="C72" s="2"/>
      <c r="D72" s="2"/>
      <c r="E72" s="2"/>
      <c r="F72" s="1" t="str">
        <f>IF(tblAccounts[[#This Row],[Account Name]]="","",INDEX('Business Engine'!$H$2:$H$200,ROW()-ROW(tblAccounts[#Headers])))</f>
        <v/>
      </c>
      <c r="G72" s="2"/>
      <c r="H72" s="2"/>
      <c r="I72" s="2"/>
      <c r="J72" s="2"/>
    </row>
    <row r="73" spans="1:10" x14ac:dyDescent="0.3">
      <c r="A73" s="1"/>
      <c r="B73" s="2"/>
      <c r="C73" s="2"/>
      <c r="D73" s="2"/>
      <c r="E73" s="2"/>
      <c r="F73" s="1" t="str">
        <f>IF(tblAccounts[[#This Row],[Account Name]]="","",INDEX('Business Engine'!$H$2:$H$200,ROW()-ROW(tblAccounts[#Headers])))</f>
        <v/>
      </c>
      <c r="G73" s="2"/>
      <c r="H73" s="2"/>
      <c r="I73" s="2"/>
      <c r="J73" s="2"/>
    </row>
    <row r="74" spans="1:10" x14ac:dyDescent="0.3">
      <c r="A74" s="1"/>
      <c r="B74" s="2"/>
      <c r="C74" s="2"/>
      <c r="D74" s="2"/>
      <c r="E74" s="2"/>
      <c r="F74" s="1" t="str">
        <f>IF(tblAccounts[[#This Row],[Account Name]]="","",INDEX('Business Engine'!$H$2:$H$200,ROW()-ROW(tblAccounts[#Headers])))</f>
        <v/>
      </c>
      <c r="G74" s="2"/>
      <c r="H74" s="2"/>
      <c r="I74" s="2"/>
      <c r="J74" s="2"/>
    </row>
    <row r="75" spans="1:10" x14ac:dyDescent="0.3">
      <c r="A75" s="1"/>
      <c r="B75" s="2"/>
      <c r="C75" s="2"/>
      <c r="D75" s="2"/>
      <c r="E75" s="2"/>
      <c r="F75" s="1" t="str">
        <f>IF(tblAccounts[[#This Row],[Account Name]]="","",INDEX('Business Engine'!$H$2:$H$200,ROW()-ROW(tblAccounts[#Headers])))</f>
        <v/>
      </c>
      <c r="G75" s="2"/>
      <c r="H75" s="2"/>
      <c r="I75" s="2"/>
      <c r="J75" s="2"/>
    </row>
    <row r="76" spans="1:10" x14ac:dyDescent="0.3">
      <c r="A76" s="1"/>
      <c r="B76" s="2"/>
      <c r="C76" s="2"/>
      <c r="D76" s="2"/>
      <c r="E76" s="2"/>
      <c r="F76" s="1" t="str">
        <f>IF(tblAccounts[[#This Row],[Account Name]]="","",INDEX('Business Engine'!$H$2:$H$200,ROW()-ROW(tblAccounts[#Headers])))</f>
        <v/>
      </c>
      <c r="G76" s="2"/>
      <c r="H76" s="2"/>
      <c r="I76" s="2"/>
      <c r="J76" s="2"/>
    </row>
    <row r="77" spans="1:10" x14ac:dyDescent="0.3">
      <c r="A77" s="1"/>
      <c r="B77" s="2"/>
      <c r="C77" s="2"/>
      <c r="D77" s="2"/>
      <c r="E77" s="2"/>
      <c r="F77" s="1" t="str">
        <f>IF(tblAccounts[[#This Row],[Account Name]]="","",INDEX('Business Engine'!$H$2:$H$200,ROW()-ROW(tblAccounts[#Headers])))</f>
        <v/>
      </c>
      <c r="G77" s="2"/>
      <c r="H77" s="2"/>
      <c r="I77" s="2"/>
      <c r="J77" s="2"/>
    </row>
    <row r="78" spans="1:10" x14ac:dyDescent="0.3">
      <c r="A78" s="1"/>
      <c r="B78" s="2"/>
      <c r="C78" s="2"/>
      <c r="D78" s="2"/>
      <c r="E78" s="2"/>
      <c r="F78" s="1" t="str">
        <f>IF(tblAccounts[[#This Row],[Account Name]]="","",INDEX('Business Engine'!$H$2:$H$200,ROW()-ROW(tblAccounts[#Headers])))</f>
        <v/>
      </c>
      <c r="G78" s="2"/>
      <c r="H78" s="2"/>
      <c r="I78" s="2"/>
      <c r="J78" s="2"/>
    </row>
    <row r="79" spans="1:10" x14ac:dyDescent="0.3">
      <c r="A79" s="1"/>
      <c r="B79" s="2"/>
      <c r="C79" s="2"/>
      <c r="D79" s="2"/>
      <c r="E79" s="2"/>
      <c r="F79" s="1" t="str">
        <f>IF(tblAccounts[[#This Row],[Account Name]]="","",INDEX('Business Engine'!$H$2:$H$200,ROW()-ROW(tblAccounts[#Headers])))</f>
        <v/>
      </c>
      <c r="G79" s="2"/>
      <c r="H79" s="2"/>
      <c r="I79" s="2"/>
      <c r="J79" s="2"/>
    </row>
    <row r="80" spans="1:10" x14ac:dyDescent="0.3">
      <c r="A80" s="1"/>
      <c r="B80" s="2"/>
      <c r="C80" s="2"/>
      <c r="D80" s="2"/>
      <c r="E80" s="2"/>
      <c r="F80" s="1" t="str">
        <f>IF(tblAccounts[[#This Row],[Account Name]]="","",INDEX('Business Engine'!$H$2:$H$200,ROW()-ROW(tblAccounts[#Headers])))</f>
        <v/>
      </c>
      <c r="G80" s="2"/>
      <c r="H80" s="2"/>
      <c r="I80" s="2"/>
      <c r="J80" s="2"/>
    </row>
    <row r="81" spans="1:10" x14ac:dyDescent="0.3">
      <c r="A81" s="1"/>
      <c r="B81" s="2"/>
      <c r="C81" s="2"/>
      <c r="D81" s="2"/>
      <c r="E81" s="2"/>
      <c r="F81" s="1" t="str">
        <f>IF(tblAccounts[[#This Row],[Account Name]]="","",INDEX('Business Engine'!$H$2:$H$200,ROW()-ROW(tblAccounts[#Headers])))</f>
        <v/>
      </c>
      <c r="G81" s="2"/>
      <c r="H81" s="2"/>
      <c r="I81" s="2"/>
      <c r="J81" s="2"/>
    </row>
    <row r="82" spans="1:10" x14ac:dyDescent="0.3">
      <c r="A82" s="1"/>
      <c r="B82" s="2"/>
      <c r="C82" s="2"/>
      <c r="D82" s="2"/>
      <c r="E82" s="2"/>
      <c r="F82" s="1" t="str">
        <f>IF(tblAccounts[[#This Row],[Account Name]]="","",INDEX('Business Engine'!$H$2:$H$200,ROW()-ROW(tblAccounts[#Headers])))</f>
        <v/>
      </c>
      <c r="G82" s="2"/>
      <c r="H82" s="2"/>
      <c r="I82" s="2"/>
      <c r="J82" s="2"/>
    </row>
    <row r="83" spans="1:10" x14ac:dyDescent="0.3">
      <c r="A83" s="1"/>
      <c r="B83" s="2"/>
      <c r="C83" s="2"/>
      <c r="D83" s="2"/>
      <c r="E83" s="2"/>
      <c r="F83" s="1" t="str">
        <f>IF(tblAccounts[[#This Row],[Account Name]]="","",INDEX('Business Engine'!$H$2:$H$200,ROW()-ROW(tblAccounts[#Headers])))</f>
        <v/>
      </c>
      <c r="G83" s="2"/>
      <c r="H83" s="2"/>
      <c r="I83" s="2"/>
      <c r="J83" s="2"/>
    </row>
    <row r="84" spans="1:10" x14ac:dyDescent="0.3">
      <c r="A84" s="1"/>
      <c r="B84" s="2"/>
      <c r="C84" s="2"/>
      <c r="D84" s="2"/>
      <c r="E84" s="2"/>
      <c r="F84" s="1" t="str">
        <f>IF(tblAccounts[[#This Row],[Account Name]]="","",INDEX('Business Engine'!$H$2:$H$200,ROW()-ROW(tblAccounts[#Headers])))</f>
        <v/>
      </c>
      <c r="G84" s="2"/>
      <c r="H84" s="2"/>
      <c r="I84" s="2"/>
      <c r="J84" s="2"/>
    </row>
    <row r="85" spans="1:10" x14ac:dyDescent="0.3">
      <c r="A85" s="1"/>
      <c r="B85" s="2"/>
      <c r="C85" s="2"/>
      <c r="D85" s="2"/>
      <c r="E85" s="2"/>
      <c r="F85" s="1" t="str">
        <f>IF(tblAccounts[[#This Row],[Account Name]]="","",INDEX('Business Engine'!$H$2:$H$200,ROW()-ROW(tblAccounts[#Headers])))</f>
        <v/>
      </c>
      <c r="G85" s="2"/>
      <c r="H85" s="2"/>
      <c r="I85" s="2"/>
      <c r="J85" s="2"/>
    </row>
    <row r="86" spans="1:10" x14ac:dyDescent="0.3">
      <c r="A86" s="1"/>
      <c r="B86" s="2"/>
      <c r="C86" s="2"/>
      <c r="D86" s="2"/>
      <c r="E86" s="2"/>
      <c r="F86" s="1" t="str">
        <f>IF(tblAccounts[[#This Row],[Account Name]]="","",INDEX('Business Engine'!$H$2:$H$200,ROW()-ROW(tblAccounts[#Headers])))</f>
        <v/>
      </c>
      <c r="G86" s="2"/>
      <c r="H86" s="2"/>
      <c r="I86" s="2"/>
      <c r="J86" s="2"/>
    </row>
    <row r="87" spans="1:10" x14ac:dyDescent="0.3">
      <c r="A87" s="1"/>
      <c r="B87" s="2"/>
      <c r="C87" s="2"/>
      <c r="D87" s="2"/>
      <c r="E87" s="2"/>
      <c r="F87" s="1" t="str">
        <f>IF(tblAccounts[[#This Row],[Account Name]]="","",INDEX('Business Engine'!$H$2:$H$200,ROW()-ROW(tblAccounts[#Headers])))</f>
        <v/>
      </c>
      <c r="G87" s="2"/>
      <c r="H87" s="2"/>
      <c r="I87" s="2"/>
      <c r="J87" s="2"/>
    </row>
    <row r="88" spans="1:10" x14ac:dyDescent="0.3">
      <c r="A88" s="1"/>
      <c r="B88" s="2"/>
      <c r="C88" s="2"/>
      <c r="D88" s="2"/>
      <c r="E88" s="2"/>
      <c r="F88" s="1" t="str">
        <f>IF(tblAccounts[[#This Row],[Account Name]]="","",INDEX('Business Engine'!$H$2:$H$200,ROW()-ROW(tblAccounts[#Headers])))</f>
        <v/>
      </c>
      <c r="G88" s="2"/>
      <c r="H88" s="2"/>
      <c r="I88" s="2"/>
      <c r="J88" s="2"/>
    </row>
    <row r="89" spans="1:10" x14ac:dyDescent="0.3">
      <c r="A89" s="1"/>
      <c r="B89" s="2"/>
      <c r="C89" s="2"/>
      <c r="D89" s="2"/>
      <c r="E89" s="2"/>
      <c r="F89" s="1" t="str">
        <f>IF(tblAccounts[[#This Row],[Account Name]]="","",INDEX('Business Engine'!$H$2:$H$200,ROW()-ROW(tblAccounts[#Headers])))</f>
        <v/>
      </c>
      <c r="G89" s="2"/>
      <c r="H89" s="2"/>
      <c r="I89" s="2"/>
      <c r="J89" s="2"/>
    </row>
    <row r="90" spans="1:10" x14ac:dyDescent="0.3">
      <c r="A90" s="1"/>
      <c r="B90" s="2"/>
      <c r="C90" s="2"/>
      <c r="D90" s="2"/>
      <c r="E90" s="2"/>
      <c r="F90" s="1" t="str">
        <f>IF(tblAccounts[[#This Row],[Account Name]]="","",INDEX('Business Engine'!$H$2:$H$200,ROW()-ROW(tblAccounts[#Headers])))</f>
        <v/>
      </c>
      <c r="G90" s="2"/>
      <c r="H90" s="2"/>
      <c r="I90" s="2"/>
      <c r="J90" s="2"/>
    </row>
    <row r="91" spans="1:10" x14ac:dyDescent="0.3">
      <c r="A91" s="1"/>
      <c r="B91" s="2"/>
      <c r="C91" s="2"/>
      <c r="D91" s="2"/>
      <c r="E91" s="2"/>
      <c r="F91" s="1" t="str">
        <f>IF(tblAccounts[[#This Row],[Account Name]]="","",INDEX('Business Engine'!$H$2:$H$200,ROW()-ROW(tblAccounts[#Headers])))</f>
        <v/>
      </c>
      <c r="G91" s="2"/>
      <c r="H91" s="2"/>
      <c r="I91" s="2"/>
      <c r="J91" s="2"/>
    </row>
    <row r="92" spans="1:10" x14ac:dyDescent="0.3">
      <c r="A92" s="1"/>
      <c r="B92" s="2"/>
      <c r="C92" s="2"/>
      <c r="D92" s="2"/>
      <c r="E92" s="2"/>
      <c r="F92" s="1" t="str">
        <f>IF(tblAccounts[[#This Row],[Account Name]]="","",INDEX('Business Engine'!$H$2:$H$200,ROW()-ROW(tblAccounts[#Headers])))</f>
        <v/>
      </c>
      <c r="G92" s="2"/>
      <c r="H92" s="2"/>
      <c r="I92" s="2"/>
      <c r="J92" s="2"/>
    </row>
    <row r="93" spans="1:10" x14ac:dyDescent="0.3">
      <c r="A93" s="1"/>
      <c r="B93" s="2"/>
      <c r="C93" s="2"/>
      <c r="D93" s="2"/>
      <c r="E93" s="2"/>
      <c r="F93" s="1" t="str">
        <f>IF(tblAccounts[[#This Row],[Account Name]]="","",INDEX('Business Engine'!$H$2:$H$200,ROW()-ROW(tblAccounts[#Headers])))</f>
        <v/>
      </c>
      <c r="G93" s="2"/>
      <c r="H93" s="2"/>
      <c r="I93" s="2"/>
      <c r="J93" s="2"/>
    </row>
    <row r="94" spans="1:10" x14ac:dyDescent="0.3">
      <c r="A94" s="1"/>
      <c r="B94" s="2"/>
      <c r="C94" s="2"/>
      <c r="D94" s="2"/>
      <c r="E94" s="2"/>
      <c r="F94" s="1" t="str">
        <f>IF(tblAccounts[[#This Row],[Account Name]]="","",INDEX('Business Engine'!$H$2:$H$200,ROW()-ROW(tblAccounts[#Headers])))</f>
        <v/>
      </c>
      <c r="G94" s="2"/>
      <c r="H94" s="2"/>
      <c r="I94" s="2"/>
      <c r="J94" s="2"/>
    </row>
    <row r="95" spans="1:10" x14ac:dyDescent="0.3">
      <c r="A95" s="1"/>
      <c r="B95" s="2"/>
      <c r="C95" s="2"/>
      <c r="D95" s="2"/>
      <c r="E95" s="2"/>
      <c r="F95" s="1" t="str">
        <f>IF(tblAccounts[[#This Row],[Account Name]]="","",INDEX('Business Engine'!$H$2:$H$200,ROW()-ROW(tblAccounts[#Headers])))</f>
        <v/>
      </c>
      <c r="G95" s="2"/>
      <c r="H95" s="2"/>
      <c r="I95" s="2"/>
      <c r="J95" s="2"/>
    </row>
    <row r="96" spans="1:10" x14ac:dyDescent="0.3">
      <c r="A96" s="1"/>
      <c r="B96" s="2"/>
      <c r="C96" s="2"/>
      <c r="D96" s="2"/>
      <c r="E96" s="2"/>
      <c r="F96" s="1" t="str">
        <f>IF(tblAccounts[[#This Row],[Account Name]]="","",INDEX('Business Engine'!$H$2:$H$200,ROW()-ROW(tblAccounts[#Headers])))</f>
        <v/>
      </c>
      <c r="G96" s="2"/>
      <c r="H96" s="2"/>
      <c r="I96" s="2"/>
      <c r="J96" s="2"/>
    </row>
    <row r="97" spans="1:10" x14ac:dyDescent="0.3">
      <c r="A97" s="1"/>
      <c r="B97" s="2"/>
      <c r="C97" s="2"/>
      <c r="D97" s="2"/>
      <c r="E97" s="2"/>
      <c r="F97" s="1" t="str">
        <f>IF(tblAccounts[[#This Row],[Account Name]]="","",INDEX('Business Engine'!$H$2:$H$200,ROW()-ROW(tblAccounts[#Headers])))</f>
        <v/>
      </c>
      <c r="G97" s="2"/>
      <c r="H97" s="2"/>
      <c r="I97" s="2"/>
      <c r="J97" s="2"/>
    </row>
    <row r="98" spans="1:10" x14ac:dyDescent="0.3">
      <c r="A98" s="1"/>
      <c r="B98" s="2"/>
      <c r="C98" s="2"/>
      <c r="D98" s="2"/>
      <c r="E98" s="2"/>
      <c r="F98" s="1" t="str">
        <f>IF(tblAccounts[[#This Row],[Account Name]]="","",INDEX('Business Engine'!$H$2:$H$200,ROW()-ROW(tblAccounts[#Headers])))</f>
        <v/>
      </c>
      <c r="G98" s="2"/>
      <c r="H98" s="2"/>
      <c r="I98" s="2"/>
      <c r="J98" s="2"/>
    </row>
    <row r="99" spans="1:10" x14ac:dyDescent="0.3">
      <c r="A99" s="1"/>
      <c r="B99" s="2"/>
      <c r="C99" s="2"/>
      <c r="D99" s="2"/>
      <c r="E99" s="2"/>
      <c r="F99" s="1" t="str">
        <f>IF(tblAccounts[[#This Row],[Account Name]]="","",INDEX('Business Engine'!$H$2:$H$200,ROW()-ROW(tblAccounts[#Headers])))</f>
        <v/>
      </c>
      <c r="G99" s="2"/>
      <c r="H99" s="2"/>
      <c r="I99" s="2"/>
      <c r="J99" s="2"/>
    </row>
    <row r="100" spans="1:10" x14ac:dyDescent="0.3">
      <c r="A100" s="1"/>
      <c r="B100" s="2"/>
      <c r="C100" s="2"/>
      <c r="D100" s="2"/>
      <c r="E100" s="2"/>
      <c r="F100" s="1" t="str">
        <f>IF(tblAccounts[[#This Row],[Account Name]]="","",INDEX('Business Engine'!$H$2:$H$200,ROW()-ROW(tblAccounts[#Headers])))</f>
        <v/>
      </c>
      <c r="G100" s="2"/>
      <c r="H100" s="2"/>
      <c r="I100" s="2"/>
      <c r="J100" s="2"/>
    </row>
    <row r="101" spans="1:10" x14ac:dyDescent="0.3">
      <c r="A101" s="1"/>
      <c r="B101" s="2"/>
      <c r="C101" s="2"/>
      <c r="D101" s="2"/>
      <c r="E101" s="2"/>
      <c r="F101" s="1" t="str">
        <f>IF(tblAccounts[[#This Row],[Account Name]]="","",INDEX('Business Engine'!$H$2:$H$200,ROW()-ROW(tblAccounts[#Headers])))</f>
        <v/>
      </c>
      <c r="G101" s="2"/>
      <c r="H101" s="2"/>
      <c r="I101" s="2"/>
      <c r="J101" s="2"/>
    </row>
    <row r="102" spans="1:10" x14ac:dyDescent="0.3">
      <c r="A102" s="1"/>
      <c r="B102" s="2"/>
      <c r="C102" s="2"/>
      <c r="D102" s="2"/>
      <c r="E102" s="2"/>
      <c r="F102" s="1" t="str">
        <f>IF(tblAccounts[[#This Row],[Account Name]]="","",INDEX('Business Engine'!$H$2:$H$200,ROW()-ROW(tblAccounts[#Headers])))</f>
        <v/>
      </c>
      <c r="G102" s="2"/>
      <c r="H102" s="2"/>
      <c r="I102" s="2"/>
      <c r="J102" s="2"/>
    </row>
    <row r="103" spans="1:10" x14ac:dyDescent="0.3">
      <c r="A103" s="1"/>
      <c r="B103" s="2"/>
      <c r="C103" s="2"/>
      <c r="D103" s="2"/>
      <c r="E103" s="2"/>
      <c r="F103" s="1" t="str">
        <f>IF(tblAccounts[[#This Row],[Account Name]]="","",INDEX('Business Engine'!$H$2:$H$200,ROW()-ROW(tblAccounts[#Headers])))</f>
        <v/>
      </c>
      <c r="G103" s="2"/>
      <c r="H103" s="2"/>
      <c r="I103" s="2"/>
      <c r="J103" s="2"/>
    </row>
    <row r="104" spans="1:10" x14ac:dyDescent="0.3">
      <c r="A104" s="1"/>
      <c r="B104" s="2"/>
      <c r="C104" s="2"/>
      <c r="D104" s="2"/>
      <c r="E104" s="2"/>
      <c r="F104" s="1" t="str">
        <f>IF(tblAccounts[[#This Row],[Account Name]]="","",INDEX('Business Engine'!$H$2:$H$200,ROW()-ROW(tblAccounts[#Headers])))</f>
        <v/>
      </c>
      <c r="G104" s="2"/>
      <c r="H104" s="2"/>
      <c r="I104" s="2"/>
      <c r="J104" s="2"/>
    </row>
    <row r="105" spans="1:10" x14ac:dyDescent="0.3">
      <c r="A105" s="1"/>
      <c r="B105" s="2"/>
      <c r="C105" s="2"/>
      <c r="D105" s="2"/>
      <c r="E105" s="2"/>
      <c r="F105" s="1" t="str">
        <f>IF(tblAccounts[[#This Row],[Account Name]]="","",INDEX('Business Engine'!$H$2:$H$200,ROW()-ROW(tblAccounts[#Headers])))</f>
        <v/>
      </c>
      <c r="G105" s="2"/>
      <c r="H105" s="2"/>
      <c r="I105" s="2"/>
      <c r="J105" s="2"/>
    </row>
    <row r="106" spans="1:10" x14ac:dyDescent="0.3">
      <c r="A106" s="1"/>
      <c r="B106" s="2"/>
      <c r="C106" s="2"/>
      <c r="D106" s="2"/>
      <c r="E106" s="2"/>
      <c r="F106" s="1" t="str">
        <f>IF(tblAccounts[[#This Row],[Account Name]]="","",INDEX('Business Engine'!$H$2:$H$200,ROW()-ROW(tblAccounts[#Headers])))</f>
        <v/>
      </c>
      <c r="G106" s="2"/>
      <c r="H106" s="2"/>
      <c r="I106" s="2"/>
      <c r="J106" s="2"/>
    </row>
    <row r="107" spans="1:10" x14ac:dyDescent="0.3">
      <c r="A107" s="1"/>
      <c r="B107" s="2"/>
      <c r="C107" s="2"/>
      <c r="D107" s="2"/>
      <c r="E107" s="2"/>
      <c r="F107" s="1" t="str">
        <f>IF(tblAccounts[[#This Row],[Account Name]]="","",INDEX('Business Engine'!$H$2:$H$200,ROW()-ROW(tblAccounts[#Headers])))</f>
        <v/>
      </c>
      <c r="G107" s="2"/>
      <c r="H107" s="2"/>
      <c r="I107" s="2"/>
      <c r="J107" s="2"/>
    </row>
    <row r="108" spans="1:10" x14ac:dyDescent="0.3">
      <c r="A108" s="1"/>
      <c r="B108" s="2"/>
      <c r="C108" s="2"/>
      <c r="D108" s="2"/>
      <c r="E108" s="2"/>
      <c r="F108" s="1" t="str">
        <f>IF(tblAccounts[[#This Row],[Account Name]]="","",INDEX('Business Engine'!$H$2:$H$200,ROW()-ROW(tblAccounts[#Headers])))</f>
        <v/>
      </c>
      <c r="G108" s="2"/>
      <c r="H108" s="2"/>
      <c r="I108" s="2"/>
      <c r="J108" s="2"/>
    </row>
    <row r="109" spans="1:10" x14ac:dyDescent="0.3">
      <c r="A109" s="1"/>
      <c r="B109" s="2"/>
      <c r="C109" s="2"/>
      <c r="D109" s="2"/>
      <c r="E109" s="2"/>
      <c r="F109" s="1" t="str">
        <f>IF(tblAccounts[[#This Row],[Account Name]]="","",INDEX('Business Engine'!$H$2:$H$200,ROW()-ROW(tblAccounts[#Headers])))</f>
        <v/>
      </c>
      <c r="G109" s="2"/>
      <c r="H109" s="2"/>
      <c r="I109" s="2"/>
      <c r="J109" s="2"/>
    </row>
    <row r="110" spans="1:10" x14ac:dyDescent="0.3">
      <c r="A110" s="1"/>
      <c r="B110" s="2"/>
      <c r="C110" s="2"/>
      <c r="D110" s="2"/>
      <c r="E110" s="2"/>
      <c r="F110" s="1" t="str">
        <f>IF(tblAccounts[[#This Row],[Account Name]]="","",INDEX('Business Engine'!$H$2:$H$200,ROW()-ROW(tblAccounts[#Headers])))</f>
        <v/>
      </c>
      <c r="G110" s="2"/>
      <c r="H110" s="2"/>
      <c r="I110" s="2"/>
      <c r="J110" s="2"/>
    </row>
    <row r="111" spans="1:10" x14ac:dyDescent="0.3">
      <c r="A111" s="1"/>
      <c r="B111" s="2"/>
      <c r="C111" s="2"/>
      <c r="D111" s="2"/>
      <c r="E111" s="2"/>
      <c r="F111" s="1" t="str">
        <f>IF(tblAccounts[[#This Row],[Account Name]]="","",INDEX('Business Engine'!$H$2:$H$200,ROW()-ROW(tblAccounts[#Headers])))</f>
        <v/>
      </c>
      <c r="G111" s="2"/>
      <c r="H111" s="2"/>
      <c r="I111" s="2"/>
      <c r="J111" s="2"/>
    </row>
    <row r="112" spans="1:10" x14ac:dyDescent="0.3">
      <c r="A112" s="1"/>
      <c r="B112" s="2"/>
      <c r="C112" s="2"/>
      <c r="D112" s="2"/>
      <c r="E112" s="2"/>
      <c r="F112" s="1" t="str">
        <f>IF(tblAccounts[[#This Row],[Account Name]]="","",INDEX('Business Engine'!$H$2:$H$200,ROW()-ROW(tblAccounts[#Headers])))</f>
        <v/>
      </c>
      <c r="G112" s="2"/>
      <c r="H112" s="2"/>
      <c r="I112" s="2"/>
      <c r="J112" s="2"/>
    </row>
    <row r="113" spans="1:10" x14ac:dyDescent="0.3">
      <c r="A113" s="1"/>
      <c r="B113" s="2"/>
      <c r="C113" s="2"/>
      <c r="D113" s="2"/>
      <c r="E113" s="2"/>
      <c r="F113" s="1" t="str">
        <f>IF(tblAccounts[[#This Row],[Account Name]]="","",INDEX('Business Engine'!$H$2:$H$200,ROW()-ROW(tblAccounts[#Headers])))</f>
        <v/>
      </c>
      <c r="G113" s="2"/>
      <c r="H113" s="2"/>
      <c r="I113" s="2"/>
      <c r="J113" s="2"/>
    </row>
    <row r="114" spans="1:10" x14ac:dyDescent="0.3">
      <c r="A114" s="1"/>
      <c r="B114" s="2"/>
      <c r="C114" s="2"/>
      <c r="D114" s="2"/>
      <c r="E114" s="2"/>
      <c r="F114" s="1" t="str">
        <f>IF(tblAccounts[[#This Row],[Account Name]]="","",INDEX('Business Engine'!$H$2:$H$200,ROW()-ROW(tblAccounts[#Headers])))</f>
        <v/>
      </c>
      <c r="G114" s="2"/>
      <c r="H114" s="2"/>
      <c r="I114" s="2"/>
      <c r="J114" s="2"/>
    </row>
    <row r="115" spans="1:10" x14ac:dyDescent="0.3">
      <c r="A115" s="1"/>
      <c r="B115" s="2"/>
      <c r="C115" s="2"/>
      <c r="D115" s="2"/>
      <c r="E115" s="2"/>
      <c r="F115" s="1" t="str">
        <f>IF(tblAccounts[[#This Row],[Account Name]]="","",INDEX('Business Engine'!$H$2:$H$200,ROW()-ROW(tblAccounts[#Headers])))</f>
        <v/>
      </c>
      <c r="G115" s="2"/>
      <c r="H115" s="2"/>
      <c r="I115" s="2"/>
      <c r="J115" s="2"/>
    </row>
    <row r="116" spans="1:10" x14ac:dyDescent="0.3">
      <c r="A116" s="1"/>
      <c r="B116" s="2"/>
      <c r="C116" s="2"/>
      <c r="D116" s="2"/>
      <c r="E116" s="2"/>
      <c r="F116" s="1" t="str">
        <f>IF(tblAccounts[[#This Row],[Account Name]]="","",INDEX('Business Engine'!$H$2:$H$200,ROW()-ROW(tblAccounts[#Headers])))</f>
        <v/>
      </c>
      <c r="G116" s="2"/>
      <c r="H116" s="2"/>
      <c r="I116" s="2"/>
      <c r="J116" s="2"/>
    </row>
    <row r="117" spans="1:10" x14ac:dyDescent="0.3">
      <c r="A117" s="1"/>
      <c r="B117" s="2"/>
      <c r="C117" s="2"/>
      <c r="D117" s="2"/>
      <c r="E117" s="2"/>
      <c r="F117" s="1" t="str">
        <f>IF(tblAccounts[[#This Row],[Account Name]]="","",INDEX('Business Engine'!$H$2:$H$200,ROW()-ROW(tblAccounts[#Headers])))</f>
        <v/>
      </c>
      <c r="G117" s="2"/>
      <c r="H117" s="2"/>
      <c r="I117" s="2"/>
      <c r="J117" s="2"/>
    </row>
    <row r="118" spans="1:10" x14ac:dyDescent="0.3">
      <c r="A118" s="1"/>
      <c r="B118" s="2"/>
      <c r="C118" s="2"/>
      <c r="D118" s="2"/>
      <c r="E118" s="2"/>
      <c r="F118" s="1" t="str">
        <f>IF(tblAccounts[[#This Row],[Account Name]]="","",INDEX('Business Engine'!$H$2:$H$200,ROW()-ROW(tblAccounts[#Headers])))</f>
        <v/>
      </c>
      <c r="G118" s="2"/>
      <c r="H118" s="2"/>
      <c r="I118" s="2"/>
      <c r="J118" s="2"/>
    </row>
    <row r="119" spans="1:10" x14ac:dyDescent="0.3">
      <c r="A119" s="1"/>
      <c r="B119" s="2"/>
      <c r="C119" s="2"/>
      <c r="D119" s="2"/>
      <c r="E119" s="2"/>
      <c r="F119" s="1" t="str">
        <f>IF(tblAccounts[[#This Row],[Account Name]]="","",INDEX('Business Engine'!$H$2:$H$200,ROW()-ROW(tblAccounts[#Headers])))</f>
        <v/>
      </c>
      <c r="G119" s="2"/>
      <c r="H119" s="2"/>
      <c r="I119" s="2"/>
      <c r="J119" s="2"/>
    </row>
    <row r="120" spans="1:10" x14ac:dyDescent="0.3">
      <c r="A120" s="1"/>
      <c r="B120" s="2"/>
      <c r="C120" s="2"/>
      <c r="D120" s="2"/>
      <c r="E120" s="2"/>
      <c r="F120" s="1" t="str">
        <f>IF(tblAccounts[[#This Row],[Account Name]]="","",INDEX('Business Engine'!$H$2:$H$200,ROW()-ROW(tblAccounts[#Headers])))</f>
        <v/>
      </c>
      <c r="G120" s="2"/>
      <c r="H120" s="2"/>
      <c r="I120" s="2"/>
      <c r="J120" s="2"/>
    </row>
    <row r="121" spans="1:10" x14ac:dyDescent="0.3">
      <c r="A121" s="1"/>
      <c r="B121" s="2"/>
      <c r="C121" s="2"/>
      <c r="D121" s="2"/>
      <c r="E121" s="2"/>
      <c r="F121" s="1" t="str">
        <f>IF(tblAccounts[[#This Row],[Account Name]]="","",INDEX('Business Engine'!$H$2:$H$200,ROW()-ROW(tblAccounts[#Headers])))</f>
        <v/>
      </c>
      <c r="G121" s="2"/>
      <c r="H121" s="2"/>
      <c r="I121" s="2"/>
      <c r="J121" s="2"/>
    </row>
    <row r="122" spans="1:10" x14ac:dyDescent="0.3">
      <c r="A122" s="1"/>
      <c r="B122" s="2"/>
      <c r="C122" s="2"/>
      <c r="D122" s="2"/>
      <c r="E122" s="2"/>
      <c r="F122" s="1" t="str">
        <f>IF(tblAccounts[[#This Row],[Account Name]]="","",INDEX('Business Engine'!$H$2:$H$200,ROW()-ROW(tblAccounts[#Headers])))</f>
        <v/>
      </c>
      <c r="G122" s="2"/>
      <c r="H122" s="2"/>
      <c r="I122" s="2"/>
      <c r="J122" s="2"/>
    </row>
    <row r="123" spans="1:10" x14ac:dyDescent="0.3">
      <c r="A123" s="1"/>
      <c r="B123" s="2"/>
      <c r="C123" s="2"/>
      <c r="D123" s="2"/>
      <c r="E123" s="2"/>
      <c r="F123" s="1" t="str">
        <f>IF(tblAccounts[[#This Row],[Account Name]]="","",INDEX('Business Engine'!$H$2:$H$200,ROW()-ROW(tblAccounts[#Headers])))</f>
        <v/>
      </c>
      <c r="G123" s="2"/>
      <c r="H123" s="2"/>
      <c r="I123" s="2"/>
      <c r="J123" s="2"/>
    </row>
    <row r="124" spans="1:10" x14ac:dyDescent="0.3">
      <c r="A124" s="1"/>
      <c r="B124" s="2"/>
      <c r="C124" s="2"/>
      <c r="D124" s="2"/>
      <c r="E124" s="2"/>
      <c r="F124" s="1" t="str">
        <f>IF(tblAccounts[[#This Row],[Account Name]]="","",INDEX('Business Engine'!$H$2:$H$200,ROW()-ROW(tblAccounts[#Headers])))</f>
        <v/>
      </c>
      <c r="G124" s="2"/>
      <c r="H124" s="2"/>
      <c r="I124" s="2"/>
      <c r="J124" s="2"/>
    </row>
    <row r="125" spans="1:10" x14ac:dyDescent="0.3">
      <c r="A125" s="1"/>
      <c r="B125" s="2"/>
      <c r="C125" s="2"/>
      <c r="D125" s="2"/>
      <c r="E125" s="2"/>
      <c r="F125" s="1" t="str">
        <f>IF(tblAccounts[[#This Row],[Account Name]]="","",INDEX('Business Engine'!$H$2:$H$200,ROW()-ROW(tblAccounts[#Headers])))</f>
        <v/>
      </c>
      <c r="G125" s="2"/>
      <c r="H125" s="2"/>
      <c r="I125" s="2"/>
      <c r="J125" s="2"/>
    </row>
    <row r="126" spans="1:10" x14ac:dyDescent="0.3">
      <c r="A126" s="1"/>
      <c r="B126" s="2"/>
      <c r="C126" s="2"/>
      <c r="D126" s="2"/>
      <c r="E126" s="2"/>
      <c r="F126" s="1" t="str">
        <f>IF(tblAccounts[[#This Row],[Account Name]]="","",INDEX('Business Engine'!$H$2:$H$200,ROW()-ROW(tblAccounts[#Headers])))</f>
        <v/>
      </c>
      <c r="G126" s="2"/>
      <c r="H126" s="2"/>
      <c r="I126" s="2"/>
      <c r="J126" s="2"/>
    </row>
    <row r="127" spans="1:10" x14ac:dyDescent="0.3">
      <c r="A127" s="1"/>
      <c r="B127" s="2"/>
      <c r="C127" s="2"/>
      <c r="D127" s="2"/>
      <c r="E127" s="2"/>
      <c r="F127" s="1" t="str">
        <f>IF(tblAccounts[[#This Row],[Account Name]]="","",INDEX('Business Engine'!$H$2:$H$200,ROW()-ROW(tblAccounts[#Headers])))</f>
        <v/>
      </c>
      <c r="G127" s="2"/>
      <c r="H127" s="2"/>
      <c r="I127" s="2"/>
      <c r="J127" s="2"/>
    </row>
    <row r="128" spans="1:10" x14ac:dyDescent="0.3">
      <c r="A128" s="1"/>
      <c r="B128" s="2"/>
      <c r="C128" s="2"/>
      <c r="D128" s="2"/>
      <c r="E128" s="2"/>
      <c r="F128" s="1" t="str">
        <f>IF(tblAccounts[[#This Row],[Account Name]]="","",INDEX('Business Engine'!$H$2:$H$200,ROW()-ROW(tblAccounts[#Headers])))</f>
        <v/>
      </c>
      <c r="G128" s="2"/>
      <c r="H128" s="2"/>
      <c r="I128" s="2"/>
      <c r="J128" s="2"/>
    </row>
    <row r="129" spans="1:10" x14ac:dyDescent="0.3">
      <c r="A129" s="1"/>
      <c r="B129" s="2"/>
      <c r="C129" s="2"/>
      <c r="D129" s="2"/>
      <c r="E129" s="2"/>
      <c r="F129" s="1" t="str">
        <f>IF(tblAccounts[[#This Row],[Account Name]]="","",INDEX('Business Engine'!$H$2:$H$200,ROW()-ROW(tblAccounts[#Headers])))</f>
        <v/>
      </c>
      <c r="G129" s="2"/>
      <c r="H129" s="2"/>
      <c r="I129" s="2"/>
      <c r="J129" s="2"/>
    </row>
    <row r="130" spans="1:10" x14ac:dyDescent="0.3">
      <c r="A130" s="1"/>
      <c r="B130" s="2"/>
      <c r="C130" s="2"/>
      <c r="D130" s="2"/>
      <c r="E130" s="2"/>
      <c r="F130" s="1" t="str">
        <f>IF(tblAccounts[[#This Row],[Account Name]]="","",INDEX('Business Engine'!$H$2:$H$200,ROW()-ROW(tblAccounts[#Headers])))</f>
        <v/>
      </c>
      <c r="G130" s="2"/>
      <c r="H130" s="2"/>
      <c r="I130" s="2"/>
      <c r="J130" s="2"/>
    </row>
    <row r="131" spans="1:10" x14ac:dyDescent="0.3">
      <c r="A131" s="1"/>
      <c r="B131" s="2"/>
      <c r="C131" s="2"/>
      <c r="D131" s="2"/>
      <c r="E131" s="2"/>
      <c r="F131" s="1" t="str">
        <f>IF(tblAccounts[[#This Row],[Account Name]]="","",INDEX('Business Engine'!$H$2:$H$200,ROW()-ROW(tblAccounts[#Headers])))</f>
        <v/>
      </c>
      <c r="G131" s="2"/>
      <c r="H131" s="2"/>
      <c r="I131" s="2"/>
      <c r="J131" s="2"/>
    </row>
    <row r="132" spans="1:10" x14ac:dyDescent="0.3">
      <c r="A132" s="1"/>
      <c r="B132" s="2"/>
      <c r="C132" s="2"/>
      <c r="D132" s="2"/>
      <c r="E132" s="2"/>
      <c r="F132" s="1" t="str">
        <f>IF(tblAccounts[[#This Row],[Account Name]]="","",INDEX('Business Engine'!$H$2:$H$200,ROW()-ROW(tblAccounts[#Headers])))</f>
        <v/>
      </c>
      <c r="G132" s="2"/>
      <c r="H132" s="2"/>
      <c r="I132" s="2"/>
      <c r="J132" s="2"/>
    </row>
    <row r="133" spans="1:10" x14ac:dyDescent="0.3">
      <c r="A133" s="1"/>
      <c r="B133" s="2"/>
      <c r="C133" s="2"/>
      <c r="D133" s="2"/>
      <c r="E133" s="2"/>
      <c r="F133" s="1" t="str">
        <f>IF(tblAccounts[[#This Row],[Account Name]]="","",INDEX('Business Engine'!$H$2:$H$200,ROW()-ROW(tblAccounts[#Headers])))</f>
        <v/>
      </c>
      <c r="G133" s="2"/>
      <c r="H133" s="2"/>
      <c r="I133" s="2"/>
      <c r="J133" s="2"/>
    </row>
    <row r="134" spans="1:10" x14ac:dyDescent="0.3">
      <c r="A134" s="1"/>
      <c r="B134" s="2"/>
      <c r="C134" s="2"/>
      <c r="D134" s="2"/>
      <c r="E134" s="2"/>
      <c r="F134" s="1" t="str">
        <f>IF(tblAccounts[[#This Row],[Account Name]]="","",INDEX('Business Engine'!$H$2:$H$200,ROW()-ROW(tblAccounts[#Headers])))</f>
        <v/>
      </c>
      <c r="G134" s="2"/>
      <c r="H134" s="2"/>
      <c r="I134" s="2"/>
      <c r="J134" s="2"/>
    </row>
    <row r="135" spans="1:10" x14ac:dyDescent="0.3">
      <c r="A135" s="1"/>
      <c r="B135" s="2"/>
      <c r="C135" s="2"/>
      <c r="D135" s="2"/>
      <c r="E135" s="2"/>
      <c r="F135" s="1" t="str">
        <f>IF(tblAccounts[[#This Row],[Account Name]]="","",INDEX('Business Engine'!$H$2:$H$200,ROW()-ROW(tblAccounts[#Headers])))</f>
        <v/>
      </c>
      <c r="G135" s="2"/>
      <c r="H135" s="2"/>
      <c r="I135" s="2"/>
      <c r="J135" s="2"/>
    </row>
    <row r="136" spans="1:10" x14ac:dyDescent="0.3">
      <c r="A136" s="1"/>
      <c r="B136" s="2"/>
      <c r="C136" s="2"/>
      <c r="D136" s="2"/>
      <c r="E136" s="2"/>
      <c r="F136" s="1" t="str">
        <f>IF(tblAccounts[[#This Row],[Account Name]]="","",INDEX('Business Engine'!$H$2:$H$200,ROW()-ROW(tblAccounts[#Headers])))</f>
        <v/>
      </c>
      <c r="G136" s="2"/>
      <c r="H136" s="2"/>
      <c r="I136" s="2"/>
      <c r="J136" s="2"/>
    </row>
    <row r="137" spans="1:10" x14ac:dyDescent="0.3">
      <c r="A137" s="1"/>
      <c r="B137" s="2"/>
      <c r="C137" s="2"/>
      <c r="D137" s="2"/>
      <c r="E137" s="2"/>
      <c r="F137" s="1" t="str">
        <f>IF(tblAccounts[[#This Row],[Account Name]]="","",INDEX('Business Engine'!$H$2:$H$200,ROW()-ROW(tblAccounts[#Headers])))</f>
        <v/>
      </c>
      <c r="G137" s="2"/>
      <c r="H137" s="2"/>
      <c r="I137" s="2"/>
      <c r="J137" s="2"/>
    </row>
    <row r="138" spans="1:10" x14ac:dyDescent="0.3">
      <c r="A138" s="1"/>
      <c r="B138" s="2"/>
      <c r="C138" s="2"/>
      <c r="D138" s="2"/>
      <c r="E138" s="2"/>
      <c r="F138" s="1" t="str">
        <f>IF(tblAccounts[[#This Row],[Account Name]]="","",INDEX('Business Engine'!$H$2:$H$200,ROW()-ROW(tblAccounts[#Headers])))</f>
        <v/>
      </c>
      <c r="G138" s="2"/>
      <c r="H138" s="2"/>
      <c r="I138" s="2"/>
      <c r="J138" s="2"/>
    </row>
    <row r="139" spans="1:10" x14ac:dyDescent="0.3">
      <c r="A139" s="1"/>
      <c r="B139" s="2"/>
      <c r="C139" s="2"/>
      <c r="D139" s="2"/>
      <c r="E139" s="2"/>
      <c r="F139" s="1" t="str">
        <f>IF(tblAccounts[[#This Row],[Account Name]]="","",INDEX('Business Engine'!$H$2:$H$200,ROW()-ROW(tblAccounts[#Headers])))</f>
        <v/>
      </c>
      <c r="G139" s="2"/>
      <c r="H139" s="2"/>
      <c r="I139" s="2"/>
      <c r="J139" s="2"/>
    </row>
    <row r="140" spans="1:10" x14ac:dyDescent="0.3">
      <c r="A140" s="1"/>
      <c r="B140" s="2"/>
      <c r="C140" s="2"/>
      <c r="D140" s="2"/>
      <c r="E140" s="2"/>
      <c r="F140" s="1" t="str">
        <f>IF(tblAccounts[[#This Row],[Account Name]]="","",INDEX('Business Engine'!$H$2:$H$200,ROW()-ROW(tblAccounts[#Headers])))</f>
        <v/>
      </c>
      <c r="G140" s="2"/>
      <c r="H140" s="2"/>
      <c r="I140" s="2"/>
      <c r="J140" s="2"/>
    </row>
    <row r="141" spans="1:10" x14ac:dyDescent="0.3">
      <c r="A141" s="1"/>
      <c r="B141" s="2"/>
      <c r="C141" s="2"/>
      <c r="D141" s="2"/>
      <c r="E141" s="2"/>
      <c r="F141" s="1" t="str">
        <f>IF(tblAccounts[[#This Row],[Account Name]]="","",INDEX('Business Engine'!$H$2:$H$200,ROW()-ROW(tblAccounts[#Headers])))</f>
        <v/>
      </c>
      <c r="G141" s="2"/>
      <c r="H141" s="2"/>
      <c r="I141" s="2"/>
      <c r="J141" s="2"/>
    </row>
    <row r="142" spans="1:10" x14ac:dyDescent="0.3">
      <c r="A142" s="1"/>
      <c r="B142" s="2"/>
      <c r="C142" s="2"/>
      <c r="D142" s="2"/>
      <c r="E142" s="2"/>
      <c r="F142" s="1" t="str">
        <f>IF(tblAccounts[[#This Row],[Account Name]]="","",INDEX('Business Engine'!$H$2:$H$200,ROW()-ROW(tblAccounts[#Headers])))</f>
        <v/>
      </c>
      <c r="G142" s="2"/>
      <c r="H142" s="2"/>
      <c r="I142" s="2"/>
      <c r="J142" s="2"/>
    </row>
    <row r="143" spans="1:10" x14ac:dyDescent="0.3">
      <c r="A143" s="1"/>
      <c r="B143" s="2"/>
      <c r="C143" s="2"/>
      <c r="D143" s="2"/>
      <c r="E143" s="2"/>
      <c r="F143" s="1" t="str">
        <f>IF(tblAccounts[[#This Row],[Account Name]]="","",INDEX('Business Engine'!$H$2:$H$200,ROW()-ROW(tblAccounts[#Headers])))</f>
        <v/>
      </c>
      <c r="G143" s="2"/>
      <c r="H143" s="2"/>
      <c r="I143" s="2"/>
      <c r="J143" s="2"/>
    </row>
    <row r="144" spans="1:10" x14ac:dyDescent="0.3">
      <c r="A144" s="1"/>
      <c r="B144" s="2"/>
      <c r="C144" s="2"/>
      <c r="D144" s="2"/>
      <c r="E144" s="2"/>
      <c r="F144" s="1" t="str">
        <f>IF(tblAccounts[[#This Row],[Account Name]]="","",INDEX('Business Engine'!$H$2:$H$200,ROW()-ROW(tblAccounts[#Headers])))</f>
        <v/>
      </c>
      <c r="G144" s="2"/>
      <c r="H144" s="2"/>
      <c r="I144" s="2"/>
      <c r="J144" s="2"/>
    </row>
    <row r="145" spans="1:10" x14ac:dyDescent="0.3">
      <c r="A145" s="1"/>
      <c r="B145" s="2"/>
      <c r="C145" s="2"/>
      <c r="D145" s="2"/>
      <c r="E145" s="2"/>
      <c r="F145" s="1" t="str">
        <f>IF(tblAccounts[[#This Row],[Account Name]]="","",INDEX('Business Engine'!$H$2:$H$200,ROW()-ROW(tblAccounts[#Headers])))</f>
        <v/>
      </c>
      <c r="G145" s="2"/>
      <c r="H145" s="2"/>
      <c r="I145" s="2"/>
      <c r="J145" s="2"/>
    </row>
    <row r="146" spans="1:10" x14ac:dyDescent="0.3">
      <c r="A146" s="1"/>
      <c r="B146" s="2"/>
      <c r="C146" s="2"/>
      <c r="D146" s="2"/>
      <c r="E146" s="2"/>
      <c r="F146" s="1" t="str">
        <f>IF(tblAccounts[[#This Row],[Account Name]]="","",INDEX('Business Engine'!$H$2:$H$200,ROW()-ROW(tblAccounts[#Headers])))</f>
        <v/>
      </c>
      <c r="G146" s="2"/>
      <c r="H146" s="2"/>
      <c r="I146" s="2"/>
      <c r="J146" s="2"/>
    </row>
    <row r="147" spans="1:10" x14ac:dyDescent="0.3">
      <c r="A147" s="1"/>
      <c r="B147" s="2"/>
      <c r="C147" s="2"/>
      <c r="D147" s="2"/>
      <c r="E147" s="2"/>
      <c r="F147" s="1" t="str">
        <f>IF(tblAccounts[[#This Row],[Account Name]]="","",INDEX('Business Engine'!$H$2:$H$200,ROW()-ROW(tblAccounts[#Headers])))</f>
        <v/>
      </c>
      <c r="G147" s="2"/>
      <c r="H147" s="2"/>
      <c r="I147" s="2"/>
      <c r="J147" s="2"/>
    </row>
    <row r="148" spans="1:10" x14ac:dyDescent="0.3">
      <c r="A148" s="1"/>
      <c r="B148" s="2"/>
      <c r="C148" s="2"/>
      <c r="D148" s="2"/>
      <c r="E148" s="2"/>
      <c r="F148" s="1" t="str">
        <f>IF(tblAccounts[[#This Row],[Account Name]]="","",INDEX('Business Engine'!$H$2:$H$200,ROW()-ROW(tblAccounts[#Headers])))</f>
        <v/>
      </c>
      <c r="G148" s="2"/>
      <c r="H148" s="2"/>
      <c r="I148" s="2"/>
      <c r="J148" s="2"/>
    </row>
    <row r="149" spans="1:10" x14ac:dyDescent="0.3">
      <c r="A149" s="1"/>
      <c r="B149" s="2"/>
      <c r="C149" s="2"/>
      <c r="D149" s="2"/>
      <c r="E149" s="2"/>
      <c r="F149" s="1" t="str">
        <f>IF(tblAccounts[[#This Row],[Account Name]]="","",INDEX('Business Engine'!$H$2:$H$200,ROW()-ROW(tblAccounts[#Headers])))</f>
        <v/>
      </c>
      <c r="G149" s="2"/>
      <c r="H149" s="2"/>
      <c r="I149" s="2"/>
      <c r="J149" s="2"/>
    </row>
    <row r="150" spans="1:10" x14ac:dyDescent="0.3">
      <c r="A150" s="1"/>
      <c r="B150" s="2"/>
      <c r="C150" s="2"/>
      <c r="D150" s="2"/>
      <c r="E150" s="2"/>
      <c r="F150" s="1" t="str">
        <f>IF(tblAccounts[[#This Row],[Account Name]]="","",INDEX('Business Engine'!$H$2:$H$200,ROW()-ROW(tblAccounts[#Headers])))</f>
        <v/>
      </c>
      <c r="G150" s="2"/>
      <c r="H150" s="2"/>
      <c r="I150" s="2"/>
      <c r="J150" s="2"/>
    </row>
    <row r="151" spans="1:10" x14ac:dyDescent="0.3">
      <c r="A151" s="1"/>
      <c r="B151" s="2"/>
      <c r="C151" s="2"/>
      <c r="D151" s="2"/>
      <c r="E151" s="2"/>
      <c r="F151" s="1" t="str">
        <f>IF(tblAccounts[[#This Row],[Account Name]]="","",INDEX('Business Engine'!$H$2:$H$200,ROW()-ROW(tblAccounts[#Headers])))</f>
        <v/>
      </c>
      <c r="G151" s="2"/>
      <c r="H151" s="2"/>
      <c r="I151" s="2"/>
      <c r="J151" s="2"/>
    </row>
    <row r="152" spans="1:10" x14ac:dyDescent="0.3">
      <c r="A152" s="1"/>
      <c r="B152" s="2"/>
      <c r="C152" s="2"/>
      <c r="D152" s="2"/>
      <c r="E152" s="2"/>
      <c r="F152" s="1" t="str">
        <f>IF(tblAccounts[[#This Row],[Account Name]]="","",INDEX('Business Engine'!$H$2:$H$200,ROW()-ROW(tblAccounts[#Headers])))</f>
        <v/>
      </c>
      <c r="G152" s="2"/>
      <c r="H152" s="2"/>
      <c r="I152" s="2"/>
      <c r="J152" s="2"/>
    </row>
    <row r="153" spans="1:10" x14ac:dyDescent="0.3">
      <c r="A153" s="1"/>
      <c r="B153" s="2"/>
      <c r="C153" s="2"/>
      <c r="D153" s="2"/>
      <c r="E153" s="2"/>
      <c r="F153" s="1" t="str">
        <f>IF(tblAccounts[[#This Row],[Account Name]]="","",INDEX('Business Engine'!$H$2:$H$200,ROW()-ROW(tblAccounts[#Headers])))</f>
        <v/>
      </c>
      <c r="G153" s="2"/>
      <c r="H153" s="2"/>
      <c r="I153" s="2"/>
      <c r="J153" s="2"/>
    </row>
    <row r="154" spans="1:10" x14ac:dyDescent="0.3">
      <c r="A154" s="1"/>
      <c r="B154" s="2"/>
      <c r="C154" s="2"/>
      <c r="D154" s="2"/>
      <c r="E154" s="2"/>
      <c r="F154" s="1" t="str">
        <f>IF(tblAccounts[[#This Row],[Account Name]]="","",INDEX('Business Engine'!$H$2:$H$200,ROW()-ROW(tblAccounts[#Headers])))</f>
        <v/>
      </c>
      <c r="G154" s="2"/>
      <c r="H154" s="2"/>
      <c r="I154" s="2"/>
      <c r="J154" s="2"/>
    </row>
    <row r="155" spans="1:10" x14ac:dyDescent="0.3">
      <c r="A155" s="1"/>
      <c r="B155" s="2"/>
      <c r="C155" s="2"/>
      <c r="D155" s="2"/>
      <c r="E155" s="2"/>
      <c r="F155" s="1" t="str">
        <f>IF(tblAccounts[[#This Row],[Account Name]]="","",INDEX('Business Engine'!$H$2:$H$200,ROW()-ROW(tblAccounts[#Headers])))</f>
        <v/>
      </c>
      <c r="G155" s="2"/>
      <c r="H155" s="2"/>
      <c r="I155" s="2"/>
      <c r="J155" s="2"/>
    </row>
    <row r="156" spans="1:10" x14ac:dyDescent="0.3">
      <c r="A156" s="1"/>
      <c r="B156" s="2"/>
      <c r="C156" s="2"/>
      <c r="D156" s="2"/>
      <c r="E156" s="2"/>
      <c r="F156" s="1" t="str">
        <f>IF(tblAccounts[[#This Row],[Account Name]]="","",INDEX('Business Engine'!$H$2:$H$200,ROW()-ROW(tblAccounts[#Headers])))</f>
        <v/>
      </c>
      <c r="G156" s="2"/>
      <c r="H156" s="2"/>
      <c r="I156" s="2"/>
      <c r="J156" s="2"/>
    </row>
    <row r="157" spans="1:10" x14ac:dyDescent="0.3">
      <c r="A157" s="1"/>
      <c r="B157" s="2"/>
      <c r="C157" s="2"/>
      <c r="D157" s="2"/>
      <c r="E157" s="2"/>
      <c r="F157" s="1" t="str">
        <f>IF(tblAccounts[[#This Row],[Account Name]]="","",INDEX('Business Engine'!$H$2:$H$200,ROW()-ROW(tblAccounts[#Headers])))</f>
        <v/>
      </c>
      <c r="G157" s="2"/>
      <c r="H157" s="2"/>
      <c r="I157" s="2"/>
      <c r="J157" s="2"/>
    </row>
    <row r="158" spans="1:10" x14ac:dyDescent="0.3">
      <c r="A158" s="1"/>
      <c r="B158" s="2"/>
      <c r="C158" s="2"/>
      <c r="D158" s="2"/>
      <c r="E158" s="2"/>
      <c r="F158" s="1" t="str">
        <f>IF(tblAccounts[[#This Row],[Account Name]]="","",INDEX('Business Engine'!$H$2:$H$200,ROW()-ROW(tblAccounts[#Headers])))</f>
        <v/>
      </c>
      <c r="G158" s="2"/>
      <c r="H158" s="2"/>
      <c r="I158" s="2"/>
      <c r="J158" s="2"/>
    </row>
    <row r="159" spans="1:10" x14ac:dyDescent="0.3">
      <c r="A159" s="1"/>
      <c r="B159" s="2"/>
      <c r="C159" s="2"/>
      <c r="D159" s="2"/>
      <c r="E159" s="2"/>
      <c r="F159" s="1" t="str">
        <f>IF(tblAccounts[[#This Row],[Account Name]]="","",INDEX('Business Engine'!$H$2:$H$200,ROW()-ROW(tblAccounts[#Headers])))</f>
        <v/>
      </c>
      <c r="G159" s="2"/>
      <c r="H159" s="2"/>
      <c r="I159" s="2"/>
      <c r="J159" s="2"/>
    </row>
    <row r="160" spans="1:10" x14ac:dyDescent="0.3">
      <c r="A160" s="1"/>
      <c r="B160" s="2"/>
      <c r="C160" s="2"/>
      <c r="D160" s="2"/>
      <c r="E160" s="2"/>
      <c r="F160" s="1" t="str">
        <f>IF(tblAccounts[[#This Row],[Account Name]]="","",INDEX('Business Engine'!$H$2:$H$200,ROW()-ROW(tblAccounts[#Headers])))</f>
        <v/>
      </c>
      <c r="G160" s="2"/>
      <c r="H160" s="2"/>
      <c r="I160" s="2"/>
      <c r="J160" s="2"/>
    </row>
    <row r="161" spans="1:10" x14ac:dyDescent="0.3">
      <c r="A161" s="1"/>
      <c r="B161" s="2"/>
      <c r="C161" s="2"/>
      <c r="D161" s="2"/>
      <c r="E161" s="2"/>
      <c r="F161" s="1" t="str">
        <f>IF(tblAccounts[[#This Row],[Account Name]]="","",INDEX('Business Engine'!$H$2:$H$200,ROW()-ROW(tblAccounts[#Headers])))</f>
        <v/>
      </c>
      <c r="G161" s="2"/>
      <c r="H161" s="2"/>
      <c r="I161" s="2"/>
      <c r="J161" s="2"/>
    </row>
    <row r="162" spans="1:10" x14ac:dyDescent="0.3">
      <c r="A162" s="1"/>
      <c r="B162" s="2"/>
      <c r="C162" s="2"/>
      <c r="D162" s="2"/>
      <c r="E162" s="2"/>
      <c r="F162" s="1" t="str">
        <f>IF(tblAccounts[[#This Row],[Account Name]]="","",INDEX('Business Engine'!$H$2:$H$200,ROW()-ROW(tblAccounts[#Headers])))</f>
        <v/>
      </c>
      <c r="G162" s="2"/>
      <c r="H162" s="2"/>
      <c r="I162" s="2"/>
      <c r="J162" s="2"/>
    </row>
    <row r="163" spans="1:10" x14ac:dyDescent="0.3">
      <c r="A163" s="1"/>
      <c r="B163" s="2"/>
      <c r="C163" s="2"/>
      <c r="D163" s="2"/>
      <c r="E163" s="2"/>
      <c r="F163" s="1" t="str">
        <f>IF(tblAccounts[[#This Row],[Account Name]]="","",INDEX('Business Engine'!$H$2:$H$200,ROW()-ROW(tblAccounts[#Headers])))</f>
        <v/>
      </c>
      <c r="G163" s="2"/>
      <c r="H163" s="2"/>
      <c r="I163" s="2"/>
      <c r="J163" s="2"/>
    </row>
    <row r="164" spans="1:10" x14ac:dyDescent="0.3">
      <c r="A164" s="1"/>
      <c r="B164" s="2"/>
      <c r="C164" s="2"/>
      <c r="D164" s="2"/>
      <c r="E164" s="2"/>
      <c r="F164" s="1" t="str">
        <f>IF(tblAccounts[[#This Row],[Account Name]]="","",INDEX('Business Engine'!$H$2:$H$200,ROW()-ROW(tblAccounts[#Headers])))</f>
        <v/>
      </c>
      <c r="G164" s="2"/>
      <c r="H164" s="2"/>
      <c r="I164" s="2"/>
      <c r="J164" s="2"/>
    </row>
    <row r="165" spans="1:10" x14ac:dyDescent="0.3">
      <c r="A165" s="1"/>
      <c r="B165" s="2"/>
      <c r="C165" s="2"/>
      <c r="D165" s="2"/>
      <c r="E165" s="2"/>
      <c r="F165" s="1" t="str">
        <f>IF(tblAccounts[[#This Row],[Account Name]]="","",INDEX('Business Engine'!$H$2:$H$200,ROW()-ROW(tblAccounts[#Headers])))</f>
        <v/>
      </c>
      <c r="G165" s="2"/>
      <c r="H165" s="2"/>
      <c r="I165" s="2"/>
      <c r="J165" s="2"/>
    </row>
    <row r="166" spans="1:10" x14ac:dyDescent="0.3">
      <c r="A166" s="1"/>
      <c r="B166" s="2"/>
      <c r="C166" s="2"/>
      <c r="D166" s="2"/>
      <c r="E166" s="2"/>
      <c r="F166" s="1" t="str">
        <f>IF(tblAccounts[[#This Row],[Account Name]]="","",INDEX('Business Engine'!$H$2:$H$200,ROW()-ROW(tblAccounts[#Headers])))</f>
        <v/>
      </c>
      <c r="G166" s="2"/>
      <c r="H166" s="2"/>
      <c r="I166" s="2"/>
      <c r="J166" s="2"/>
    </row>
    <row r="167" spans="1:10" x14ac:dyDescent="0.3">
      <c r="A167" s="1"/>
      <c r="B167" s="2"/>
      <c r="C167" s="2"/>
      <c r="D167" s="2"/>
      <c r="E167" s="2"/>
      <c r="F167" s="1" t="str">
        <f>IF(tblAccounts[[#This Row],[Account Name]]="","",INDEX('Business Engine'!$H$2:$H$200,ROW()-ROW(tblAccounts[#Headers])))</f>
        <v/>
      </c>
      <c r="G167" s="2"/>
      <c r="H167" s="2"/>
      <c r="I167" s="2"/>
      <c r="J167" s="2"/>
    </row>
    <row r="168" spans="1:10" x14ac:dyDescent="0.3">
      <c r="A168" s="1"/>
      <c r="B168" s="2"/>
      <c r="C168" s="2"/>
      <c r="D168" s="2"/>
      <c r="E168" s="2"/>
      <c r="F168" s="1" t="str">
        <f>IF(tblAccounts[[#This Row],[Account Name]]="","",INDEX('Business Engine'!$H$2:$H$200,ROW()-ROW(tblAccounts[#Headers])))</f>
        <v/>
      </c>
      <c r="G168" s="2"/>
      <c r="H168" s="2"/>
      <c r="I168" s="2"/>
      <c r="J168" s="2"/>
    </row>
    <row r="169" spans="1:10" x14ac:dyDescent="0.3">
      <c r="A169" s="1"/>
      <c r="B169" s="2"/>
      <c r="C169" s="2"/>
      <c r="D169" s="2"/>
      <c r="E169" s="2"/>
      <c r="F169" s="1" t="str">
        <f>IF(tblAccounts[[#This Row],[Account Name]]="","",INDEX('Business Engine'!$H$2:$H$200,ROW()-ROW(tblAccounts[#Headers])))</f>
        <v/>
      </c>
      <c r="G169" s="2"/>
      <c r="H169" s="2"/>
      <c r="I169" s="2"/>
      <c r="J169" s="2"/>
    </row>
    <row r="170" spans="1:10" x14ac:dyDescent="0.3">
      <c r="A170" s="1"/>
      <c r="B170" s="2"/>
      <c r="C170" s="2"/>
      <c r="D170" s="2"/>
      <c r="E170" s="2"/>
      <c r="F170" s="1" t="str">
        <f>IF(tblAccounts[[#This Row],[Account Name]]="","",INDEX('Business Engine'!$H$2:$H$200,ROW()-ROW(tblAccounts[#Headers])))</f>
        <v/>
      </c>
      <c r="G170" s="2"/>
      <c r="H170" s="2"/>
      <c r="I170" s="2"/>
      <c r="J170" s="2"/>
    </row>
    <row r="171" spans="1:10" x14ac:dyDescent="0.3">
      <c r="A171" s="1"/>
      <c r="B171" s="2"/>
      <c r="C171" s="2"/>
      <c r="D171" s="2"/>
      <c r="E171" s="2"/>
      <c r="F171" s="1" t="str">
        <f>IF(tblAccounts[[#This Row],[Account Name]]="","",INDEX('Business Engine'!$H$2:$H$200,ROW()-ROW(tblAccounts[#Headers])))</f>
        <v/>
      </c>
      <c r="G171" s="2"/>
      <c r="H171" s="2"/>
      <c r="I171" s="2"/>
      <c r="J171" s="2"/>
    </row>
    <row r="172" spans="1:10" x14ac:dyDescent="0.3">
      <c r="A172" s="1"/>
      <c r="B172" s="2"/>
      <c r="C172" s="2"/>
      <c r="D172" s="2"/>
      <c r="E172" s="2"/>
      <c r="F172" s="1" t="str">
        <f>IF(tblAccounts[[#This Row],[Account Name]]="","",INDEX('Business Engine'!$H$2:$H$200,ROW()-ROW(tblAccounts[#Headers])))</f>
        <v/>
      </c>
      <c r="G172" s="2"/>
      <c r="H172" s="2"/>
      <c r="I172" s="2"/>
      <c r="J172" s="2"/>
    </row>
    <row r="173" spans="1:10" x14ac:dyDescent="0.3">
      <c r="A173" s="1"/>
      <c r="B173" s="2"/>
      <c r="C173" s="2"/>
      <c r="D173" s="2"/>
      <c r="E173" s="2"/>
      <c r="F173" s="1" t="str">
        <f>IF(tblAccounts[[#This Row],[Account Name]]="","",INDEX('Business Engine'!$H$2:$H$200,ROW()-ROW(tblAccounts[#Headers])))</f>
        <v/>
      </c>
      <c r="G173" s="2"/>
      <c r="H173" s="2"/>
      <c r="I173" s="2"/>
      <c r="J173" s="2"/>
    </row>
    <row r="174" spans="1:10" x14ac:dyDescent="0.3">
      <c r="A174" s="1"/>
      <c r="B174" s="2"/>
      <c r="C174" s="2"/>
      <c r="D174" s="2"/>
      <c r="E174" s="2"/>
      <c r="F174" s="1" t="str">
        <f>IF(tblAccounts[[#This Row],[Account Name]]="","",INDEX('Business Engine'!$H$2:$H$200,ROW()-ROW(tblAccounts[#Headers])))</f>
        <v/>
      </c>
      <c r="G174" s="2"/>
      <c r="H174" s="2"/>
      <c r="I174" s="2"/>
      <c r="J174" s="2"/>
    </row>
    <row r="175" spans="1:10" x14ac:dyDescent="0.3">
      <c r="A175" s="1"/>
      <c r="B175" s="2"/>
      <c r="C175" s="2"/>
      <c r="D175" s="2"/>
      <c r="E175" s="2"/>
      <c r="F175" s="1" t="str">
        <f>IF(tblAccounts[[#This Row],[Account Name]]="","",INDEX('Business Engine'!$H$2:$H$200,ROW()-ROW(tblAccounts[#Headers])))</f>
        <v/>
      </c>
      <c r="G175" s="2"/>
      <c r="H175" s="2"/>
      <c r="I175" s="2"/>
      <c r="J175" s="2"/>
    </row>
    <row r="176" spans="1:10" x14ac:dyDescent="0.3">
      <c r="A176" s="1"/>
      <c r="B176" s="2"/>
      <c r="C176" s="2"/>
      <c r="D176" s="2"/>
      <c r="E176" s="2"/>
      <c r="F176" s="1" t="str">
        <f>IF(tblAccounts[[#This Row],[Account Name]]="","",INDEX('Business Engine'!$H$2:$H$200,ROW()-ROW(tblAccounts[#Headers])))</f>
        <v/>
      </c>
      <c r="G176" s="2"/>
      <c r="H176" s="2"/>
      <c r="I176" s="2"/>
      <c r="J176" s="2"/>
    </row>
    <row r="177" spans="1:10" x14ac:dyDescent="0.3">
      <c r="A177" s="1"/>
      <c r="B177" s="2"/>
      <c r="C177" s="2"/>
      <c r="D177" s="2"/>
      <c r="E177" s="2"/>
      <c r="F177" s="1" t="str">
        <f>IF(tblAccounts[[#This Row],[Account Name]]="","",INDEX('Business Engine'!$H$2:$H$200,ROW()-ROW(tblAccounts[#Headers])))</f>
        <v/>
      </c>
      <c r="G177" s="2"/>
      <c r="H177" s="2"/>
      <c r="I177" s="2"/>
      <c r="J177" s="2"/>
    </row>
    <row r="178" spans="1:10" x14ac:dyDescent="0.3">
      <c r="A178" s="1"/>
      <c r="B178" s="2"/>
      <c r="C178" s="2"/>
      <c r="D178" s="2"/>
      <c r="E178" s="2"/>
      <c r="F178" s="1" t="str">
        <f>IF(tblAccounts[[#This Row],[Account Name]]="","",INDEX('Business Engine'!$H$2:$H$200,ROW()-ROW(tblAccounts[#Headers])))</f>
        <v/>
      </c>
      <c r="G178" s="2"/>
      <c r="H178" s="2"/>
      <c r="I178" s="2"/>
      <c r="J178" s="2"/>
    </row>
    <row r="179" spans="1:10" x14ac:dyDescent="0.3">
      <c r="A179" s="1"/>
      <c r="B179" s="2"/>
      <c r="C179" s="2"/>
      <c r="D179" s="2"/>
      <c r="E179" s="2"/>
      <c r="F179" s="1" t="str">
        <f>IF(tblAccounts[[#This Row],[Account Name]]="","",INDEX('Business Engine'!$H$2:$H$200,ROW()-ROW(tblAccounts[#Headers])))</f>
        <v/>
      </c>
      <c r="G179" s="2"/>
      <c r="H179" s="2"/>
      <c r="I179" s="2"/>
      <c r="J179" s="2"/>
    </row>
    <row r="180" spans="1:10" x14ac:dyDescent="0.3">
      <c r="A180" s="1"/>
      <c r="B180" s="2"/>
      <c r="C180" s="2"/>
      <c r="D180" s="2"/>
      <c r="E180" s="2"/>
      <c r="F180" s="1" t="str">
        <f>IF(tblAccounts[[#This Row],[Account Name]]="","",INDEX('Business Engine'!$H$2:$H$200,ROW()-ROW(tblAccounts[#Headers])))</f>
        <v/>
      </c>
      <c r="G180" s="2"/>
      <c r="H180" s="2"/>
      <c r="I180" s="2"/>
      <c r="J180" s="2"/>
    </row>
    <row r="181" spans="1:10" x14ac:dyDescent="0.3">
      <c r="A181" s="1"/>
      <c r="B181" s="2"/>
      <c r="C181" s="2"/>
      <c r="D181" s="2"/>
      <c r="E181" s="2"/>
      <c r="F181" s="1" t="str">
        <f>IF(tblAccounts[[#This Row],[Account Name]]="","",INDEX('Business Engine'!$H$2:$H$200,ROW()-ROW(tblAccounts[#Headers])))</f>
        <v/>
      </c>
      <c r="G181" s="2"/>
      <c r="H181" s="2"/>
      <c r="I181" s="2"/>
      <c r="J181" s="2"/>
    </row>
    <row r="182" spans="1:10" x14ac:dyDescent="0.3">
      <c r="A182" s="1"/>
      <c r="B182" s="2"/>
      <c r="C182" s="2"/>
      <c r="D182" s="2"/>
      <c r="E182" s="2"/>
      <c r="F182" s="1" t="str">
        <f>IF(tblAccounts[[#This Row],[Account Name]]="","",INDEX('Business Engine'!$H$2:$H$200,ROW()-ROW(tblAccounts[#Headers])))</f>
        <v/>
      </c>
      <c r="G182" s="2"/>
      <c r="H182" s="2"/>
      <c r="I182" s="2"/>
      <c r="J182" s="2"/>
    </row>
    <row r="183" spans="1:10" x14ac:dyDescent="0.3">
      <c r="A183" s="1"/>
      <c r="B183" s="2"/>
      <c r="C183" s="2"/>
      <c r="D183" s="2"/>
      <c r="E183" s="2"/>
      <c r="F183" s="1" t="str">
        <f>IF(tblAccounts[[#This Row],[Account Name]]="","",INDEX('Business Engine'!$H$2:$H$200,ROW()-ROW(tblAccounts[#Headers])))</f>
        <v/>
      </c>
      <c r="G183" s="2"/>
      <c r="H183" s="2"/>
      <c r="I183" s="2"/>
      <c r="J183" s="2"/>
    </row>
    <row r="184" spans="1:10" x14ac:dyDescent="0.3">
      <c r="A184" s="1"/>
      <c r="B184" s="2"/>
      <c r="C184" s="2"/>
      <c r="D184" s="2"/>
      <c r="E184" s="2"/>
      <c r="F184" s="1" t="str">
        <f>IF(tblAccounts[[#This Row],[Account Name]]="","",INDEX('Business Engine'!$H$2:$H$200,ROW()-ROW(tblAccounts[#Headers])))</f>
        <v/>
      </c>
      <c r="G184" s="2"/>
      <c r="H184" s="2"/>
      <c r="I184" s="2"/>
      <c r="J184" s="2"/>
    </row>
    <row r="185" spans="1:10" x14ac:dyDescent="0.3">
      <c r="A185" s="1"/>
      <c r="B185" s="2"/>
      <c r="C185" s="2"/>
      <c r="D185" s="2"/>
      <c r="E185" s="2"/>
      <c r="F185" s="1" t="str">
        <f>IF(tblAccounts[[#This Row],[Account Name]]="","",INDEX('Business Engine'!$H$2:$H$200,ROW()-ROW(tblAccounts[#Headers])))</f>
        <v/>
      </c>
      <c r="G185" s="2"/>
      <c r="H185" s="2"/>
      <c r="I185" s="2"/>
      <c r="J185" s="2"/>
    </row>
    <row r="186" spans="1:10" x14ac:dyDescent="0.3">
      <c r="A186" s="1"/>
      <c r="B186" s="2"/>
      <c r="C186" s="2"/>
      <c r="D186" s="2"/>
      <c r="E186" s="2"/>
      <c r="F186" s="1" t="str">
        <f>IF(tblAccounts[[#This Row],[Account Name]]="","",INDEX('Business Engine'!$H$2:$H$200,ROW()-ROW(tblAccounts[#Headers])))</f>
        <v/>
      </c>
      <c r="G186" s="2"/>
      <c r="H186" s="2"/>
      <c r="I186" s="2"/>
      <c r="J186" s="2"/>
    </row>
    <row r="187" spans="1:10" x14ac:dyDescent="0.3">
      <c r="A187" s="1"/>
      <c r="B187" s="2"/>
      <c r="C187" s="2"/>
      <c r="D187" s="2"/>
      <c r="E187" s="2"/>
      <c r="F187" s="1" t="str">
        <f>IF(tblAccounts[[#This Row],[Account Name]]="","",INDEX('Business Engine'!$H$2:$H$200,ROW()-ROW(tblAccounts[#Headers])))</f>
        <v/>
      </c>
      <c r="G187" s="2"/>
      <c r="H187" s="2"/>
      <c r="I187" s="2"/>
      <c r="J187" s="2"/>
    </row>
    <row r="188" spans="1:10" x14ac:dyDescent="0.3">
      <c r="A188" s="1"/>
      <c r="B188" s="2"/>
      <c r="C188" s="2"/>
      <c r="D188" s="2"/>
      <c r="E188" s="2"/>
      <c r="F188" s="1" t="str">
        <f>IF(tblAccounts[[#This Row],[Account Name]]="","",INDEX('Business Engine'!$H$2:$H$200,ROW()-ROW(tblAccounts[#Headers])))</f>
        <v/>
      </c>
      <c r="G188" s="2"/>
      <c r="H188" s="2"/>
      <c r="I188" s="2"/>
      <c r="J188" s="2"/>
    </row>
    <row r="189" spans="1:10" x14ac:dyDescent="0.3">
      <c r="A189" s="1"/>
      <c r="B189" s="2"/>
      <c r="C189" s="2"/>
      <c r="D189" s="2"/>
      <c r="E189" s="2"/>
      <c r="F189" s="1" t="str">
        <f>IF(tblAccounts[[#This Row],[Account Name]]="","",INDEX('Business Engine'!$H$2:$H$200,ROW()-ROW(tblAccounts[#Headers])))</f>
        <v/>
      </c>
      <c r="G189" s="2"/>
      <c r="H189" s="2"/>
      <c r="I189" s="2"/>
      <c r="J189" s="2"/>
    </row>
    <row r="190" spans="1:10" x14ac:dyDescent="0.3">
      <c r="A190" s="1"/>
      <c r="B190" s="2"/>
      <c r="C190" s="2"/>
      <c r="D190" s="2"/>
      <c r="E190" s="2"/>
      <c r="F190" s="1" t="str">
        <f>IF(tblAccounts[[#This Row],[Account Name]]="","",INDEX('Business Engine'!$H$2:$H$200,ROW()-ROW(tblAccounts[#Headers])))</f>
        <v/>
      </c>
      <c r="G190" s="2"/>
      <c r="H190" s="2"/>
      <c r="I190" s="2"/>
      <c r="J190" s="2"/>
    </row>
    <row r="191" spans="1:10" x14ac:dyDescent="0.3">
      <c r="A191" s="1"/>
      <c r="B191" s="2"/>
      <c r="C191" s="2"/>
      <c r="D191" s="2"/>
      <c r="E191" s="2"/>
      <c r="F191" s="1" t="str">
        <f>IF(tblAccounts[[#This Row],[Account Name]]="","",INDEX('Business Engine'!$H$2:$H$200,ROW()-ROW(tblAccounts[#Headers])))</f>
        <v/>
      </c>
      <c r="G191" s="2"/>
      <c r="H191" s="2"/>
      <c r="I191" s="2"/>
      <c r="J191" s="2"/>
    </row>
    <row r="192" spans="1:10" x14ac:dyDescent="0.3">
      <c r="A192" s="1"/>
      <c r="B192" s="2"/>
      <c r="C192" s="2"/>
      <c r="D192" s="2"/>
      <c r="E192" s="2"/>
      <c r="F192" s="1" t="str">
        <f>IF(tblAccounts[[#This Row],[Account Name]]="","",INDEX('Business Engine'!$H$2:$H$200,ROW()-ROW(tblAccounts[#Headers])))</f>
        <v/>
      </c>
      <c r="G192" s="2"/>
      <c r="H192" s="2"/>
      <c r="I192" s="2"/>
      <c r="J192" s="2"/>
    </row>
    <row r="193" spans="1:10" x14ac:dyDescent="0.3">
      <c r="A193" s="1"/>
      <c r="B193" s="2"/>
      <c r="C193" s="2"/>
      <c r="D193" s="2"/>
      <c r="E193" s="2"/>
      <c r="F193" s="1" t="str">
        <f>IF(tblAccounts[[#This Row],[Account Name]]="","",INDEX('Business Engine'!$H$2:$H$200,ROW()-ROW(tblAccounts[#Headers])))</f>
        <v/>
      </c>
      <c r="G193" s="2"/>
      <c r="H193" s="2"/>
      <c r="I193" s="2"/>
      <c r="J193" s="2"/>
    </row>
    <row r="194" spans="1:10" x14ac:dyDescent="0.3">
      <c r="A194" s="1"/>
      <c r="B194" s="2"/>
      <c r="C194" s="2"/>
      <c r="D194" s="2"/>
      <c r="E194" s="2"/>
      <c r="F194" s="1" t="str">
        <f>IF(tblAccounts[[#This Row],[Account Name]]="","",INDEX('Business Engine'!$H$2:$H$200,ROW()-ROW(tblAccounts[#Headers])))</f>
        <v/>
      </c>
      <c r="G194" s="2"/>
      <c r="H194" s="2"/>
      <c r="I194" s="2"/>
      <c r="J194" s="2"/>
    </row>
    <row r="195" spans="1:10" x14ac:dyDescent="0.3">
      <c r="A195" s="1"/>
      <c r="B195" s="2"/>
      <c r="C195" s="2"/>
      <c r="D195" s="2"/>
      <c r="E195" s="2"/>
      <c r="F195" s="1" t="str">
        <f>IF(tblAccounts[[#This Row],[Account Name]]="","",INDEX('Business Engine'!$H$2:$H$200,ROW()-ROW(tblAccounts[#Headers])))</f>
        <v/>
      </c>
      <c r="G195" s="2"/>
      <c r="H195" s="2"/>
      <c r="I195" s="2"/>
      <c r="J195" s="2"/>
    </row>
    <row r="196" spans="1:10" x14ac:dyDescent="0.3">
      <c r="A196" s="1"/>
      <c r="B196" s="2"/>
      <c r="C196" s="2"/>
      <c r="D196" s="2"/>
      <c r="E196" s="2"/>
      <c r="F196" s="1" t="str">
        <f>IF(tblAccounts[[#This Row],[Account Name]]="","",INDEX('Business Engine'!$H$2:$H$200,ROW()-ROW(tblAccounts[#Headers])))</f>
        <v/>
      </c>
      <c r="G196" s="2"/>
      <c r="H196" s="2"/>
      <c r="I196" s="2"/>
      <c r="J196" s="2"/>
    </row>
    <row r="197" spans="1:10" x14ac:dyDescent="0.3">
      <c r="A197" s="1"/>
      <c r="B197" s="2"/>
      <c r="C197" s="2"/>
      <c r="D197" s="2"/>
      <c r="E197" s="2"/>
      <c r="F197" s="1" t="str">
        <f>IF(tblAccounts[[#This Row],[Account Name]]="","",INDEX('Business Engine'!$H$2:$H$200,ROW()-ROW(tblAccounts[#Headers])))</f>
        <v/>
      </c>
      <c r="G197" s="2"/>
      <c r="H197" s="2"/>
      <c r="I197" s="2"/>
      <c r="J197" s="2"/>
    </row>
    <row r="198" spans="1:10" x14ac:dyDescent="0.3">
      <c r="A198" s="1"/>
      <c r="B198" s="2"/>
      <c r="C198" s="2"/>
      <c r="D198" s="2"/>
      <c r="E198" s="2"/>
      <c r="F198" s="1" t="str">
        <f>IF(tblAccounts[[#This Row],[Account Name]]="","",INDEX('Business Engine'!$H$2:$H$200,ROW()-ROW(tblAccounts[#Headers])))</f>
        <v/>
      </c>
      <c r="G198" s="2"/>
      <c r="H198" s="2"/>
      <c r="I198" s="2"/>
      <c r="J198" s="2"/>
    </row>
    <row r="199" spans="1:10" x14ac:dyDescent="0.3">
      <c r="A199" s="1"/>
      <c r="B199" s="2"/>
      <c r="C199" s="2"/>
      <c r="D199" s="2"/>
      <c r="E199" s="2"/>
      <c r="F199" s="1" t="str">
        <f>IF(tblAccounts[[#This Row],[Account Name]]="","",INDEX('Business Engine'!$H$2:$H$200,ROW()-ROW(tblAccounts[#Headers])))</f>
        <v/>
      </c>
      <c r="G199" s="2"/>
      <c r="H199" s="2"/>
      <c r="I199" s="2"/>
      <c r="J199" s="2"/>
    </row>
    <row r="200" spans="1:10" x14ac:dyDescent="0.3">
      <c r="A200" s="1"/>
      <c r="B200" s="2"/>
      <c r="C200" s="2"/>
      <c r="D200" s="2"/>
      <c r="E200" s="2"/>
      <c r="F200" s="1" t="str">
        <f>IF(tblAccounts[[#This Row],[Account Name]]="","",INDEX('Business Engine'!$H$2:$H$200,ROW()-ROW(tblAccounts[#Headers])))</f>
        <v/>
      </c>
      <c r="G200" s="2"/>
      <c r="H200" s="2"/>
      <c r="I200" s="2"/>
      <c r="J200" s="2"/>
    </row>
  </sheetData>
  <sheetProtection sheet="1" objects="1" scenarios="1" formatCells="0" formatColumns="0" formatRows="0" insertColumns="0" insertHyperlinks="0" deleteColumns="0" pivotTables="0"/>
  <dataValidations count="4">
    <dataValidation type="list" allowBlank="1" showInputMessage="1" showErrorMessage="1" errorTitle="Invalid value" error="Select a value from the list." promptTitle="Select a value" prompt="Choose from the list." sqref="C2:C200" xr:uid="{00000000-0002-0000-0200-000000000000}">
      <formula1>rngAccountType</formula1>
    </dataValidation>
    <dataValidation type="list" allowBlank="1" showInputMessage="1" showErrorMessage="1" errorTitle="Invalid value" error="Select a value from the list." promptTitle="Select a value" prompt="Choose from the list." sqref="G2:G200" xr:uid="{00000000-0002-0000-0200-000001000000}">
      <formula1>rngCurrency</formula1>
    </dataValidation>
    <dataValidation type="list" allowBlank="1" showInputMessage="1" showErrorMessage="1" errorTitle="Invalid value" error="Select a value from the list." promptTitle="Select a value" prompt="Choose from the list." sqref="I2:I200" xr:uid="{00000000-0002-0000-0200-000002000000}">
      <formula1>rngAccountStatus</formula1>
    </dataValidation>
    <dataValidation type="list" allowBlank="1" showInputMessage="1" showErrorMessage="1" errorTitle="Invalid value" error="Select Yes or No." promptTitle="Select a value" prompt="Choose from the list." sqref="H2:H200" xr:uid="{00000000-0002-0000-0200-000003000000}">
      <formula1>rngYesNo</formula1>
    </dataValidation>
  </dataValidations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00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8" customWidth="1"/>
    <col min="2" max="2" width="24" customWidth="1"/>
    <col min="3" max="3" width="18" customWidth="1"/>
    <col min="4" max="4" width="26" customWidth="1"/>
    <col min="5" max="5" width="12" customWidth="1"/>
    <col min="6" max="6" width="22" customWidth="1"/>
  </cols>
  <sheetData>
    <row r="1" spans="1:6" x14ac:dyDescent="0.3">
      <c r="A1" s="1" t="s">
        <v>19</v>
      </c>
      <c r="B1" s="1" t="s">
        <v>20</v>
      </c>
      <c r="C1" s="1" t="s">
        <v>21</v>
      </c>
      <c r="D1" s="1" t="s">
        <v>22</v>
      </c>
      <c r="E1" s="1" t="s">
        <v>9</v>
      </c>
      <c r="F1" s="1" t="s">
        <v>11</v>
      </c>
    </row>
    <row r="2" spans="1:6" x14ac:dyDescent="0.3">
      <c r="A2" s="1"/>
      <c r="B2" s="2"/>
      <c r="C2" s="2"/>
      <c r="D2" s="2"/>
      <c r="E2" s="2"/>
      <c r="F2" s="2"/>
    </row>
    <row r="3" spans="1:6" x14ac:dyDescent="0.3">
      <c r="A3" s="1"/>
      <c r="B3" s="2"/>
      <c r="C3" s="2"/>
      <c r="D3" s="2"/>
      <c r="E3" s="2"/>
      <c r="F3" s="2"/>
    </row>
    <row r="4" spans="1:6" x14ac:dyDescent="0.3">
      <c r="A4" s="1"/>
      <c r="B4" s="2"/>
      <c r="C4" s="2"/>
      <c r="D4" s="2"/>
      <c r="E4" s="2"/>
      <c r="F4" s="2"/>
    </row>
    <row r="5" spans="1:6" x14ac:dyDescent="0.3">
      <c r="A5" s="1"/>
      <c r="B5" s="2"/>
      <c r="C5" s="2"/>
      <c r="D5" s="2"/>
      <c r="E5" s="2"/>
      <c r="F5" s="2"/>
    </row>
    <row r="6" spans="1:6" x14ac:dyDescent="0.3">
      <c r="A6" s="1"/>
      <c r="B6" s="2"/>
      <c r="C6" s="2"/>
      <c r="D6" s="2"/>
      <c r="E6" s="2"/>
      <c r="F6" s="2"/>
    </row>
    <row r="7" spans="1:6" x14ac:dyDescent="0.3">
      <c r="A7" s="1"/>
      <c r="B7" s="2"/>
      <c r="C7" s="2"/>
      <c r="D7" s="2"/>
      <c r="E7" s="2"/>
      <c r="F7" s="2"/>
    </row>
    <row r="8" spans="1:6" x14ac:dyDescent="0.3">
      <c r="A8" s="1"/>
      <c r="B8" s="2"/>
      <c r="C8" s="2"/>
      <c r="D8" s="2"/>
      <c r="E8" s="2"/>
      <c r="F8" s="2"/>
    </row>
    <row r="9" spans="1:6" x14ac:dyDescent="0.3">
      <c r="A9" s="1"/>
      <c r="B9" s="2"/>
      <c r="C9" s="2"/>
      <c r="D9" s="2"/>
      <c r="E9" s="2"/>
      <c r="F9" s="2"/>
    </row>
    <row r="10" spans="1:6" x14ac:dyDescent="0.3">
      <c r="A10" s="1"/>
      <c r="B10" s="2"/>
      <c r="C10" s="2"/>
      <c r="D10" s="2"/>
      <c r="E10" s="2"/>
      <c r="F10" s="2"/>
    </row>
    <row r="11" spans="1:6" x14ac:dyDescent="0.3">
      <c r="A11" s="1"/>
      <c r="B11" s="2"/>
      <c r="C11" s="2"/>
      <c r="D11" s="2"/>
      <c r="E11" s="2"/>
      <c r="F11" s="2"/>
    </row>
    <row r="12" spans="1:6" x14ac:dyDescent="0.3">
      <c r="A12" s="1"/>
      <c r="B12" s="2"/>
      <c r="C12" s="2"/>
      <c r="D12" s="2"/>
      <c r="E12" s="2"/>
      <c r="F12" s="2"/>
    </row>
    <row r="13" spans="1:6" x14ac:dyDescent="0.3">
      <c r="A13" s="1"/>
      <c r="B13" s="2"/>
      <c r="C13" s="2"/>
      <c r="D13" s="2"/>
      <c r="E13" s="2"/>
      <c r="F13" s="2"/>
    </row>
    <row r="14" spans="1:6" x14ac:dyDescent="0.3">
      <c r="A14" s="1"/>
      <c r="B14" s="2"/>
      <c r="C14" s="2"/>
      <c r="D14" s="2"/>
      <c r="E14" s="2"/>
      <c r="F14" s="2"/>
    </row>
    <row r="15" spans="1:6" x14ac:dyDescent="0.3">
      <c r="A15" s="1"/>
      <c r="B15" s="2"/>
      <c r="C15" s="2"/>
      <c r="D15" s="2"/>
      <c r="E15" s="2"/>
      <c r="F15" s="2"/>
    </row>
    <row r="16" spans="1:6" x14ac:dyDescent="0.3">
      <c r="A16" s="1"/>
      <c r="B16" s="2"/>
      <c r="C16" s="2"/>
      <c r="D16" s="2"/>
      <c r="E16" s="2"/>
      <c r="F16" s="2"/>
    </row>
    <row r="17" spans="1:6" x14ac:dyDescent="0.3">
      <c r="A17" s="1"/>
      <c r="B17" s="2"/>
      <c r="C17" s="2"/>
      <c r="D17" s="2"/>
      <c r="E17" s="2"/>
      <c r="F17" s="2"/>
    </row>
    <row r="18" spans="1:6" x14ac:dyDescent="0.3">
      <c r="A18" s="1"/>
      <c r="B18" s="2"/>
      <c r="C18" s="2"/>
      <c r="D18" s="2"/>
      <c r="E18" s="2"/>
      <c r="F18" s="2"/>
    </row>
    <row r="19" spans="1:6" x14ac:dyDescent="0.3">
      <c r="A19" s="1"/>
      <c r="B19" s="2"/>
      <c r="C19" s="2"/>
      <c r="D19" s="2"/>
      <c r="E19" s="2"/>
      <c r="F19" s="2"/>
    </row>
    <row r="20" spans="1:6" x14ac:dyDescent="0.3">
      <c r="A20" s="1"/>
      <c r="B20" s="2"/>
      <c r="C20" s="2"/>
      <c r="D20" s="2"/>
      <c r="E20" s="2"/>
      <c r="F20" s="2"/>
    </row>
    <row r="21" spans="1:6" x14ac:dyDescent="0.3">
      <c r="A21" s="1"/>
      <c r="B21" s="2"/>
      <c r="C21" s="2"/>
      <c r="D21" s="2"/>
      <c r="E21" s="2"/>
      <c r="F21" s="2"/>
    </row>
    <row r="22" spans="1:6" x14ac:dyDescent="0.3">
      <c r="A22" s="1"/>
      <c r="B22" s="2"/>
      <c r="C22" s="2"/>
      <c r="D22" s="2"/>
      <c r="E22" s="2"/>
      <c r="F22" s="2"/>
    </row>
    <row r="23" spans="1:6" x14ac:dyDescent="0.3">
      <c r="A23" s="1"/>
      <c r="B23" s="2"/>
      <c r="C23" s="2"/>
      <c r="D23" s="2"/>
      <c r="E23" s="2"/>
      <c r="F23" s="2"/>
    </row>
    <row r="24" spans="1:6" x14ac:dyDescent="0.3">
      <c r="A24" s="1"/>
      <c r="B24" s="2"/>
      <c r="C24" s="2"/>
      <c r="D24" s="2"/>
      <c r="E24" s="2"/>
      <c r="F24" s="2"/>
    </row>
    <row r="25" spans="1:6" x14ac:dyDescent="0.3">
      <c r="A25" s="1"/>
      <c r="B25" s="2"/>
      <c r="C25" s="2"/>
      <c r="D25" s="2"/>
      <c r="E25" s="2"/>
      <c r="F25" s="2"/>
    </row>
    <row r="26" spans="1:6" x14ac:dyDescent="0.3">
      <c r="A26" s="1"/>
      <c r="B26" s="2"/>
      <c r="C26" s="2"/>
      <c r="D26" s="2"/>
      <c r="E26" s="2"/>
      <c r="F26" s="2"/>
    </row>
    <row r="27" spans="1:6" x14ac:dyDescent="0.3">
      <c r="A27" s="1"/>
      <c r="B27" s="2"/>
      <c r="C27" s="2"/>
      <c r="D27" s="2"/>
      <c r="E27" s="2"/>
      <c r="F27" s="2"/>
    </row>
    <row r="28" spans="1:6" x14ac:dyDescent="0.3">
      <c r="A28" s="1"/>
      <c r="B28" s="2"/>
      <c r="C28" s="2"/>
      <c r="D28" s="2"/>
      <c r="E28" s="2"/>
      <c r="F28" s="2"/>
    </row>
    <row r="29" spans="1:6" x14ac:dyDescent="0.3">
      <c r="A29" s="1"/>
      <c r="B29" s="2"/>
      <c r="C29" s="2"/>
      <c r="D29" s="2"/>
      <c r="E29" s="2"/>
      <c r="F29" s="2"/>
    </row>
    <row r="30" spans="1:6" x14ac:dyDescent="0.3">
      <c r="A30" s="1"/>
      <c r="B30" s="2"/>
      <c r="C30" s="2"/>
      <c r="D30" s="2"/>
      <c r="E30" s="2"/>
      <c r="F30" s="2"/>
    </row>
    <row r="31" spans="1:6" x14ac:dyDescent="0.3">
      <c r="A31" s="1"/>
      <c r="B31" s="2"/>
      <c r="C31" s="2"/>
      <c r="D31" s="2"/>
      <c r="E31" s="2"/>
      <c r="F31" s="2"/>
    </row>
    <row r="32" spans="1:6" x14ac:dyDescent="0.3">
      <c r="A32" s="1"/>
      <c r="B32" s="2"/>
      <c r="C32" s="2"/>
      <c r="D32" s="2"/>
      <c r="E32" s="2"/>
      <c r="F32" s="2"/>
    </row>
    <row r="33" spans="1:6" x14ac:dyDescent="0.3">
      <c r="A33" s="1"/>
      <c r="B33" s="2"/>
      <c r="C33" s="2"/>
      <c r="D33" s="2"/>
      <c r="E33" s="2"/>
      <c r="F33" s="2"/>
    </row>
    <row r="34" spans="1:6" x14ac:dyDescent="0.3">
      <c r="A34" s="1"/>
      <c r="B34" s="2"/>
      <c r="C34" s="2"/>
      <c r="D34" s="2"/>
      <c r="E34" s="2"/>
      <c r="F34" s="2"/>
    </row>
    <row r="35" spans="1:6" x14ac:dyDescent="0.3">
      <c r="A35" s="1"/>
      <c r="B35" s="2"/>
      <c r="C35" s="2"/>
      <c r="D35" s="2"/>
      <c r="E35" s="2"/>
      <c r="F35" s="2"/>
    </row>
    <row r="36" spans="1:6" x14ac:dyDescent="0.3">
      <c r="A36" s="1"/>
      <c r="B36" s="2"/>
      <c r="C36" s="2"/>
      <c r="D36" s="2"/>
      <c r="E36" s="2"/>
      <c r="F36" s="2"/>
    </row>
    <row r="37" spans="1:6" x14ac:dyDescent="0.3">
      <c r="A37" s="1"/>
      <c r="B37" s="2"/>
      <c r="C37" s="2"/>
      <c r="D37" s="2"/>
      <c r="E37" s="2"/>
      <c r="F37" s="2"/>
    </row>
    <row r="38" spans="1:6" x14ac:dyDescent="0.3">
      <c r="A38" s="1"/>
      <c r="B38" s="2"/>
      <c r="C38" s="2"/>
      <c r="D38" s="2"/>
      <c r="E38" s="2"/>
      <c r="F38" s="2"/>
    </row>
    <row r="39" spans="1:6" x14ac:dyDescent="0.3">
      <c r="A39" s="1"/>
      <c r="B39" s="2"/>
      <c r="C39" s="2"/>
      <c r="D39" s="2"/>
      <c r="E39" s="2"/>
      <c r="F39" s="2"/>
    </row>
    <row r="40" spans="1:6" x14ac:dyDescent="0.3">
      <c r="A40" s="1"/>
      <c r="B40" s="2"/>
      <c r="C40" s="2"/>
      <c r="D40" s="2"/>
      <c r="E40" s="2"/>
      <c r="F40" s="2"/>
    </row>
    <row r="41" spans="1:6" x14ac:dyDescent="0.3">
      <c r="A41" s="1"/>
      <c r="B41" s="2"/>
      <c r="C41" s="2"/>
      <c r="D41" s="2"/>
      <c r="E41" s="2"/>
      <c r="F41" s="2"/>
    </row>
    <row r="42" spans="1:6" x14ac:dyDescent="0.3">
      <c r="A42" s="1"/>
      <c r="B42" s="2"/>
      <c r="C42" s="2"/>
      <c r="D42" s="2"/>
      <c r="E42" s="2"/>
      <c r="F42" s="2"/>
    </row>
    <row r="43" spans="1:6" x14ac:dyDescent="0.3">
      <c r="A43" s="1"/>
      <c r="B43" s="2"/>
      <c r="C43" s="2"/>
      <c r="D43" s="2"/>
      <c r="E43" s="2"/>
      <c r="F43" s="2"/>
    </row>
    <row r="44" spans="1:6" x14ac:dyDescent="0.3">
      <c r="A44" s="1"/>
      <c r="B44" s="2"/>
      <c r="C44" s="2"/>
      <c r="D44" s="2"/>
      <c r="E44" s="2"/>
      <c r="F44" s="2"/>
    </row>
    <row r="45" spans="1:6" x14ac:dyDescent="0.3">
      <c r="A45" s="1"/>
      <c r="B45" s="2"/>
      <c r="C45" s="2"/>
      <c r="D45" s="2"/>
      <c r="E45" s="2"/>
      <c r="F45" s="2"/>
    </row>
    <row r="46" spans="1:6" x14ac:dyDescent="0.3">
      <c r="A46" s="1"/>
      <c r="B46" s="2"/>
      <c r="C46" s="2"/>
      <c r="D46" s="2"/>
      <c r="E46" s="2"/>
      <c r="F46" s="2"/>
    </row>
    <row r="47" spans="1:6" x14ac:dyDescent="0.3">
      <c r="A47" s="1"/>
      <c r="B47" s="2"/>
      <c r="C47" s="2"/>
      <c r="D47" s="2"/>
      <c r="E47" s="2"/>
      <c r="F47" s="2"/>
    </row>
    <row r="48" spans="1:6" x14ac:dyDescent="0.3">
      <c r="A48" s="1"/>
      <c r="B48" s="2"/>
      <c r="C48" s="2"/>
      <c r="D48" s="2"/>
      <c r="E48" s="2"/>
      <c r="F48" s="2"/>
    </row>
    <row r="49" spans="1:6" x14ac:dyDescent="0.3">
      <c r="A49" s="1"/>
      <c r="B49" s="2"/>
      <c r="C49" s="2"/>
      <c r="D49" s="2"/>
      <c r="E49" s="2"/>
      <c r="F49" s="2"/>
    </row>
    <row r="50" spans="1:6" x14ac:dyDescent="0.3">
      <c r="A50" s="1"/>
      <c r="B50" s="2"/>
      <c r="C50" s="2"/>
      <c r="D50" s="2"/>
      <c r="E50" s="2"/>
      <c r="F50" s="2"/>
    </row>
    <row r="51" spans="1:6" x14ac:dyDescent="0.3">
      <c r="A51" s="1"/>
      <c r="B51" s="2"/>
      <c r="C51" s="2"/>
      <c r="D51" s="2"/>
      <c r="E51" s="2"/>
      <c r="F51" s="2"/>
    </row>
    <row r="52" spans="1:6" x14ac:dyDescent="0.3">
      <c r="A52" s="1"/>
      <c r="B52" s="2"/>
      <c r="C52" s="2"/>
      <c r="D52" s="2"/>
      <c r="E52" s="2"/>
      <c r="F52" s="2"/>
    </row>
    <row r="53" spans="1:6" x14ac:dyDescent="0.3">
      <c r="A53" s="1"/>
      <c r="B53" s="2"/>
      <c r="C53" s="2"/>
      <c r="D53" s="2"/>
      <c r="E53" s="2"/>
      <c r="F53" s="2"/>
    </row>
    <row r="54" spans="1:6" x14ac:dyDescent="0.3">
      <c r="A54" s="1"/>
      <c r="B54" s="2"/>
      <c r="C54" s="2"/>
      <c r="D54" s="2"/>
      <c r="E54" s="2"/>
      <c r="F54" s="2"/>
    </row>
    <row r="55" spans="1:6" x14ac:dyDescent="0.3">
      <c r="A55" s="1"/>
      <c r="B55" s="2"/>
      <c r="C55" s="2"/>
      <c r="D55" s="2"/>
      <c r="E55" s="2"/>
      <c r="F55" s="2"/>
    </row>
    <row r="56" spans="1:6" x14ac:dyDescent="0.3">
      <c r="A56" s="1"/>
      <c r="B56" s="2"/>
      <c r="C56" s="2"/>
      <c r="D56" s="2"/>
      <c r="E56" s="2"/>
      <c r="F56" s="2"/>
    </row>
    <row r="57" spans="1:6" x14ac:dyDescent="0.3">
      <c r="A57" s="1"/>
      <c r="B57" s="2"/>
      <c r="C57" s="2"/>
      <c r="D57" s="2"/>
      <c r="E57" s="2"/>
      <c r="F57" s="2"/>
    </row>
    <row r="58" spans="1:6" x14ac:dyDescent="0.3">
      <c r="A58" s="1"/>
      <c r="B58" s="2"/>
      <c r="C58" s="2"/>
      <c r="D58" s="2"/>
      <c r="E58" s="2"/>
      <c r="F58" s="2"/>
    </row>
    <row r="59" spans="1:6" x14ac:dyDescent="0.3">
      <c r="A59" s="1"/>
      <c r="B59" s="2"/>
      <c r="C59" s="2"/>
      <c r="D59" s="2"/>
      <c r="E59" s="2"/>
      <c r="F59" s="2"/>
    </row>
    <row r="60" spans="1:6" x14ac:dyDescent="0.3">
      <c r="A60" s="1"/>
      <c r="B60" s="2"/>
      <c r="C60" s="2"/>
      <c r="D60" s="2"/>
      <c r="E60" s="2"/>
      <c r="F60" s="2"/>
    </row>
    <row r="61" spans="1:6" x14ac:dyDescent="0.3">
      <c r="A61" s="1"/>
      <c r="B61" s="2"/>
      <c r="C61" s="2"/>
      <c r="D61" s="2"/>
      <c r="E61" s="2"/>
      <c r="F61" s="2"/>
    </row>
    <row r="62" spans="1:6" x14ac:dyDescent="0.3">
      <c r="A62" s="1"/>
      <c r="B62" s="2"/>
      <c r="C62" s="2"/>
      <c r="D62" s="2"/>
      <c r="E62" s="2"/>
      <c r="F62" s="2"/>
    </row>
    <row r="63" spans="1:6" x14ac:dyDescent="0.3">
      <c r="A63" s="1"/>
      <c r="B63" s="2"/>
      <c r="C63" s="2"/>
      <c r="D63" s="2"/>
      <c r="E63" s="2"/>
      <c r="F63" s="2"/>
    </row>
    <row r="64" spans="1:6" x14ac:dyDescent="0.3">
      <c r="A64" s="1"/>
      <c r="B64" s="2"/>
      <c r="C64" s="2"/>
      <c r="D64" s="2"/>
      <c r="E64" s="2"/>
      <c r="F64" s="2"/>
    </row>
    <row r="65" spans="1:6" x14ac:dyDescent="0.3">
      <c r="A65" s="1"/>
      <c r="B65" s="2"/>
      <c r="C65" s="2"/>
      <c r="D65" s="2"/>
      <c r="E65" s="2"/>
      <c r="F65" s="2"/>
    </row>
    <row r="66" spans="1:6" x14ac:dyDescent="0.3">
      <c r="A66" s="1"/>
      <c r="B66" s="2"/>
      <c r="C66" s="2"/>
      <c r="D66" s="2"/>
      <c r="E66" s="2"/>
      <c r="F66" s="2"/>
    </row>
    <row r="67" spans="1:6" x14ac:dyDescent="0.3">
      <c r="A67" s="1"/>
      <c r="B67" s="2"/>
      <c r="C67" s="2"/>
      <c r="D67" s="2"/>
      <c r="E67" s="2"/>
      <c r="F67" s="2"/>
    </row>
    <row r="68" spans="1:6" x14ac:dyDescent="0.3">
      <c r="A68" s="1"/>
      <c r="B68" s="2"/>
      <c r="C68" s="2"/>
      <c r="D68" s="2"/>
      <c r="E68" s="2"/>
      <c r="F68" s="2"/>
    </row>
    <row r="69" spans="1:6" x14ac:dyDescent="0.3">
      <c r="A69" s="1"/>
      <c r="B69" s="2"/>
      <c r="C69" s="2"/>
      <c r="D69" s="2"/>
      <c r="E69" s="2"/>
      <c r="F69" s="2"/>
    </row>
    <row r="70" spans="1:6" x14ac:dyDescent="0.3">
      <c r="A70" s="1"/>
      <c r="B70" s="2"/>
      <c r="C70" s="2"/>
      <c r="D70" s="2"/>
      <c r="E70" s="2"/>
      <c r="F70" s="2"/>
    </row>
    <row r="71" spans="1:6" x14ac:dyDescent="0.3">
      <c r="A71" s="1"/>
      <c r="B71" s="2"/>
      <c r="C71" s="2"/>
      <c r="D71" s="2"/>
      <c r="E71" s="2"/>
      <c r="F71" s="2"/>
    </row>
    <row r="72" spans="1:6" x14ac:dyDescent="0.3">
      <c r="A72" s="1"/>
      <c r="B72" s="2"/>
      <c r="C72" s="2"/>
      <c r="D72" s="2"/>
      <c r="E72" s="2"/>
      <c r="F72" s="2"/>
    </row>
    <row r="73" spans="1:6" x14ac:dyDescent="0.3">
      <c r="A73" s="1"/>
      <c r="B73" s="2"/>
      <c r="C73" s="2"/>
      <c r="D73" s="2"/>
      <c r="E73" s="2"/>
      <c r="F73" s="2"/>
    </row>
    <row r="74" spans="1:6" x14ac:dyDescent="0.3">
      <c r="A74" s="1"/>
      <c r="B74" s="2"/>
      <c r="C74" s="2"/>
      <c r="D74" s="2"/>
      <c r="E74" s="2"/>
      <c r="F74" s="2"/>
    </row>
    <row r="75" spans="1:6" x14ac:dyDescent="0.3">
      <c r="A75" s="1"/>
      <c r="B75" s="2"/>
      <c r="C75" s="2"/>
      <c r="D75" s="2"/>
      <c r="E75" s="2"/>
      <c r="F75" s="2"/>
    </row>
    <row r="76" spans="1:6" x14ac:dyDescent="0.3">
      <c r="A76" s="1"/>
      <c r="B76" s="2"/>
      <c r="C76" s="2"/>
      <c r="D76" s="2"/>
      <c r="E76" s="2"/>
      <c r="F76" s="2"/>
    </row>
    <row r="77" spans="1:6" x14ac:dyDescent="0.3">
      <c r="A77" s="1"/>
      <c r="B77" s="2"/>
      <c r="C77" s="2"/>
      <c r="D77" s="2"/>
      <c r="E77" s="2"/>
      <c r="F77" s="2"/>
    </row>
    <row r="78" spans="1:6" x14ac:dyDescent="0.3">
      <c r="A78" s="1"/>
      <c r="B78" s="2"/>
      <c r="C78" s="2"/>
      <c r="D78" s="2"/>
      <c r="E78" s="2"/>
      <c r="F78" s="2"/>
    </row>
    <row r="79" spans="1:6" x14ac:dyDescent="0.3">
      <c r="A79" s="1"/>
      <c r="B79" s="2"/>
      <c r="C79" s="2"/>
      <c r="D79" s="2"/>
      <c r="E79" s="2"/>
      <c r="F79" s="2"/>
    </row>
    <row r="80" spans="1:6" x14ac:dyDescent="0.3">
      <c r="A80" s="1"/>
      <c r="B80" s="2"/>
      <c r="C80" s="2"/>
      <c r="D80" s="2"/>
      <c r="E80" s="2"/>
      <c r="F80" s="2"/>
    </row>
    <row r="81" spans="1:6" x14ac:dyDescent="0.3">
      <c r="A81" s="1"/>
      <c r="B81" s="2"/>
      <c r="C81" s="2"/>
      <c r="D81" s="2"/>
      <c r="E81" s="2"/>
      <c r="F81" s="2"/>
    </row>
    <row r="82" spans="1:6" x14ac:dyDescent="0.3">
      <c r="A82" s="1"/>
      <c r="B82" s="2"/>
      <c r="C82" s="2"/>
      <c r="D82" s="2"/>
      <c r="E82" s="2"/>
      <c r="F82" s="2"/>
    </row>
    <row r="83" spans="1:6" x14ac:dyDescent="0.3">
      <c r="A83" s="1"/>
      <c r="B83" s="2"/>
      <c r="C83" s="2"/>
      <c r="D83" s="2"/>
      <c r="E83" s="2"/>
      <c r="F83" s="2"/>
    </row>
    <row r="84" spans="1:6" x14ac:dyDescent="0.3">
      <c r="A84" s="1"/>
      <c r="B84" s="2"/>
      <c r="C84" s="2"/>
      <c r="D84" s="2"/>
      <c r="E84" s="2"/>
      <c r="F84" s="2"/>
    </row>
    <row r="85" spans="1:6" x14ac:dyDescent="0.3">
      <c r="A85" s="1"/>
      <c r="B85" s="2"/>
      <c r="C85" s="2"/>
      <c r="D85" s="2"/>
      <c r="E85" s="2"/>
      <c r="F85" s="2"/>
    </row>
    <row r="86" spans="1:6" x14ac:dyDescent="0.3">
      <c r="A86" s="1"/>
      <c r="B86" s="2"/>
      <c r="C86" s="2"/>
      <c r="D86" s="2"/>
      <c r="E86" s="2"/>
      <c r="F86" s="2"/>
    </row>
    <row r="87" spans="1:6" x14ac:dyDescent="0.3">
      <c r="A87" s="1"/>
      <c r="B87" s="2"/>
      <c r="C87" s="2"/>
      <c r="D87" s="2"/>
      <c r="E87" s="2"/>
      <c r="F87" s="2"/>
    </row>
    <row r="88" spans="1:6" x14ac:dyDescent="0.3">
      <c r="A88" s="1"/>
      <c r="B88" s="2"/>
      <c r="C88" s="2"/>
      <c r="D88" s="2"/>
      <c r="E88" s="2"/>
      <c r="F88" s="2"/>
    </row>
    <row r="89" spans="1:6" x14ac:dyDescent="0.3">
      <c r="A89" s="1"/>
      <c r="B89" s="2"/>
      <c r="C89" s="2"/>
      <c r="D89" s="2"/>
      <c r="E89" s="2"/>
      <c r="F89" s="2"/>
    </row>
    <row r="90" spans="1:6" x14ac:dyDescent="0.3">
      <c r="A90" s="1"/>
      <c r="B90" s="2"/>
      <c r="C90" s="2"/>
      <c r="D90" s="2"/>
      <c r="E90" s="2"/>
      <c r="F90" s="2"/>
    </row>
    <row r="91" spans="1:6" x14ac:dyDescent="0.3">
      <c r="A91" s="1"/>
      <c r="B91" s="2"/>
      <c r="C91" s="2"/>
      <c r="D91" s="2"/>
      <c r="E91" s="2"/>
      <c r="F91" s="2"/>
    </row>
    <row r="92" spans="1:6" x14ac:dyDescent="0.3">
      <c r="A92" s="1"/>
      <c r="B92" s="2"/>
      <c r="C92" s="2"/>
      <c r="D92" s="2"/>
      <c r="E92" s="2"/>
      <c r="F92" s="2"/>
    </row>
    <row r="93" spans="1:6" x14ac:dyDescent="0.3">
      <c r="A93" s="1"/>
      <c r="B93" s="2"/>
      <c r="C93" s="2"/>
      <c r="D93" s="2"/>
      <c r="E93" s="2"/>
      <c r="F93" s="2"/>
    </row>
    <row r="94" spans="1:6" x14ac:dyDescent="0.3">
      <c r="A94" s="1"/>
      <c r="B94" s="2"/>
      <c r="C94" s="2"/>
      <c r="D94" s="2"/>
      <c r="E94" s="2"/>
      <c r="F94" s="2"/>
    </row>
    <row r="95" spans="1:6" x14ac:dyDescent="0.3">
      <c r="A95" s="1"/>
      <c r="B95" s="2"/>
      <c r="C95" s="2"/>
      <c r="D95" s="2"/>
      <c r="E95" s="2"/>
      <c r="F95" s="2"/>
    </row>
    <row r="96" spans="1:6" x14ac:dyDescent="0.3">
      <c r="A96" s="1"/>
      <c r="B96" s="2"/>
      <c r="C96" s="2"/>
      <c r="D96" s="2"/>
      <c r="E96" s="2"/>
      <c r="F96" s="2"/>
    </row>
    <row r="97" spans="1:6" x14ac:dyDescent="0.3">
      <c r="A97" s="1"/>
      <c r="B97" s="2"/>
      <c r="C97" s="2"/>
      <c r="D97" s="2"/>
      <c r="E97" s="2"/>
      <c r="F97" s="2"/>
    </row>
    <row r="98" spans="1:6" x14ac:dyDescent="0.3">
      <c r="A98" s="1"/>
      <c r="B98" s="2"/>
      <c r="C98" s="2"/>
      <c r="D98" s="2"/>
      <c r="E98" s="2"/>
      <c r="F98" s="2"/>
    </row>
    <row r="99" spans="1:6" x14ac:dyDescent="0.3">
      <c r="A99" s="1"/>
      <c r="B99" s="2"/>
      <c r="C99" s="2"/>
      <c r="D99" s="2"/>
      <c r="E99" s="2"/>
      <c r="F99" s="2"/>
    </row>
    <row r="100" spans="1:6" x14ac:dyDescent="0.3">
      <c r="A100" s="1"/>
      <c r="B100" s="2"/>
      <c r="C100" s="2"/>
      <c r="D100" s="2"/>
      <c r="E100" s="2"/>
      <c r="F100" s="2"/>
    </row>
    <row r="101" spans="1:6" x14ac:dyDescent="0.3">
      <c r="A101" s="1"/>
      <c r="B101" s="2"/>
      <c r="C101" s="2"/>
      <c r="D101" s="2"/>
      <c r="E101" s="2"/>
      <c r="F101" s="2"/>
    </row>
    <row r="102" spans="1:6" x14ac:dyDescent="0.3">
      <c r="A102" s="1"/>
      <c r="B102" s="2"/>
      <c r="C102" s="2"/>
      <c r="D102" s="2"/>
      <c r="E102" s="2"/>
      <c r="F102" s="2"/>
    </row>
    <row r="103" spans="1:6" x14ac:dyDescent="0.3">
      <c r="A103" s="1"/>
      <c r="B103" s="2"/>
      <c r="C103" s="2"/>
      <c r="D103" s="2"/>
      <c r="E103" s="2"/>
      <c r="F103" s="2"/>
    </row>
    <row r="104" spans="1:6" x14ac:dyDescent="0.3">
      <c r="A104" s="1"/>
      <c r="B104" s="2"/>
      <c r="C104" s="2"/>
      <c r="D104" s="2"/>
      <c r="E104" s="2"/>
      <c r="F104" s="2"/>
    </row>
    <row r="105" spans="1:6" x14ac:dyDescent="0.3">
      <c r="A105" s="1"/>
      <c r="B105" s="2"/>
      <c r="C105" s="2"/>
      <c r="D105" s="2"/>
      <c r="E105" s="2"/>
      <c r="F105" s="2"/>
    </row>
    <row r="106" spans="1:6" x14ac:dyDescent="0.3">
      <c r="A106" s="1"/>
      <c r="B106" s="2"/>
      <c r="C106" s="2"/>
      <c r="D106" s="2"/>
      <c r="E106" s="2"/>
      <c r="F106" s="2"/>
    </row>
    <row r="107" spans="1:6" x14ac:dyDescent="0.3">
      <c r="A107" s="1"/>
      <c r="B107" s="2"/>
      <c r="C107" s="2"/>
      <c r="D107" s="2"/>
      <c r="E107" s="2"/>
      <c r="F107" s="2"/>
    </row>
    <row r="108" spans="1:6" x14ac:dyDescent="0.3">
      <c r="A108" s="1"/>
      <c r="B108" s="2"/>
      <c r="C108" s="2"/>
      <c r="D108" s="2"/>
      <c r="E108" s="2"/>
      <c r="F108" s="2"/>
    </row>
    <row r="109" spans="1:6" x14ac:dyDescent="0.3">
      <c r="A109" s="1"/>
      <c r="B109" s="2"/>
      <c r="C109" s="2"/>
      <c r="D109" s="2"/>
      <c r="E109" s="2"/>
      <c r="F109" s="2"/>
    </row>
    <row r="110" spans="1:6" x14ac:dyDescent="0.3">
      <c r="A110" s="1"/>
      <c r="B110" s="2"/>
      <c r="C110" s="2"/>
      <c r="D110" s="2"/>
      <c r="E110" s="2"/>
      <c r="F110" s="2"/>
    </row>
    <row r="111" spans="1:6" x14ac:dyDescent="0.3">
      <c r="A111" s="1"/>
      <c r="B111" s="2"/>
      <c r="C111" s="2"/>
      <c r="D111" s="2"/>
      <c r="E111" s="2"/>
      <c r="F111" s="2"/>
    </row>
    <row r="112" spans="1:6" x14ac:dyDescent="0.3">
      <c r="A112" s="1"/>
      <c r="B112" s="2"/>
      <c r="C112" s="2"/>
      <c r="D112" s="2"/>
      <c r="E112" s="2"/>
      <c r="F112" s="2"/>
    </row>
    <row r="113" spans="1:6" x14ac:dyDescent="0.3">
      <c r="A113" s="1"/>
      <c r="B113" s="2"/>
      <c r="C113" s="2"/>
      <c r="D113" s="2"/>
      <c r="E113" s="2"/>
      <c r="F113" s="2"/>
    </row>
    <row r="114" spans="1:6" x14ac:dyDescent="0.3">
      <c r="A114" s="1"/>
      <c r="B114" s="2"/>
      <c r="C114" s="2"/>
      <c r="D114" s="2"/>
      <c r="E114" s="2"/>
      <c r="F114" s="2"/>
    </row>
    <row r="115" spans="1:6" x14ac:dyDescent="0.3">
      <c r="A115" s="1"/>
      <c r="B115" s="2"/>
      <c r="C115" s="2"/>
      <c r="D115" s="2"/>
      <c r="E115" s="2"/>
      <c r="F115" s="2"/>
    </row>
    <row r="116" spans="1:6" x14ac:dyDescent="0.3">
      <c r="A116" s="1"/>
      <c r="B116" s="2"/>
      <c r="C116" s="2"/>
      <c r="D116" s="2"/>
      <c r="E116" s="2"/>
      <c r="F116" s="2"/>
    </row>
    <row r="117" spans="1:6" x14ac:dyDescent="0.3">
      <c r="A117" s="1"/>
      <c r="B117" s="2"/>
      <c r="C117" s="2"/>
      <c r="D117" s="2"/>
      <c r="E117" s="2"/>
      <c r="F117" s="2"/>
    </row>
    <row r="118" spans="1:6" x14ac:dyDescent="0.3">
      <c r="A118" s="1"/>
      <c r="B118" s="2"/>
      <c r="C118" s="2"/>
      <c r="D118" s="2"/>
      <c r="E118" s="2"/>
      <c r="F118" s="2"/>
    </row>
    <row r="119" spans="1:6" x14ac:dyDescent="0.3">
      <c r="A119" s="1"/>
      <c r="B119" s="2"/>
      <c r="C119" s="2"/>
      <c r="D119" s="2"/>
      <c r="E119" s="2"/>
      <c r="F119" s="2"/>
    </row>
    <row r="120" spans="1:6" x14ac:dyDescent="0.3">
      <c r="A120" s="1"/>
      <c r="B120" s="2"/>
      <c r="C120" s="2"/>
      <c r="D120" s="2"/>
      <c r="E120" s="2"/>
      <c r="F120" s="2"/>
    </row>
    <row r="121" spans="1:6" x14ac:dyDescent="0.3">
      <c r="A121" s="1"/>
      <c r="B121" s="2"/>
      <c r="C121" s="2"/>
      <c r="D121" s="2"/>
      <c r="E121" s="2"/>
      <c r="F121" s="2"/>
    </row>
    <row r="122" spans="1:6" x14ac:dyDescent="0.3">
      <c r="A122" s="1"/>
      <c r="B122" s="2"/>
      <c r="C122" s="2"/>
      <c r="D122" s="2"/>
      <c r="E122" s="2"/>
      <c r="F122" s="2"/>
    </row>
    <row r="123" spans="1:6" x14ac:dyDescent="0.3">
      <c r="A123" s="1"/>
      <c r="B123" s="2"/>
      <c r="C123" s="2"/>
      <c r="D123" s="2"/>
      <c r="E123" s="2"/>
      <c r="F123" s="2"/>
    </row>
    <row r="124" spans="1:6" x14ac:dyDescent="0.3">
      <c r="A124" s="1"/>
      <c r="B124" s="2"/>
      <c r="C124" s="2"/>
      <c r="D124" s="2"/>
      <c r="E124" s="2"/>
      <c r="F124" s="2"/>
    </row>
    <row r="125" spans="1:6" x14ac:dyDescent="0.3">
      <c r="A125" s="1"/>
      <c r="B125" s="2"/>
      <c r="C125" s="2"/>
      <c r="D125" s="2"/>
      <c r="E125" s="2"/>
      <c r="F125" s="2"/>
    </row>
    <row r="126" spans="1:6" x14ac:dyDescent="0.3">
      <c r="A126" s="1"/>
      <c r="B126" s="2"/>
      <c r="C126" s="2"/>
      <c r="D126" s="2"/>
      <c r="E126" s="2"/>
      <c r="F126" s="2"/>
    </row>
    <row r="127" spans="1:6" x14ac:dyDescent="0.3">
      <c r="A127" s="1"/>
      <c r="B127" s="2"/>
      <c r="C127" s="2"/>
      <c r="D127" s="2"/>
      <c r="E127" s="2"/>
      <c r="F127" s="2"/>
    </row>
    <row r="128" spans="1:6" x14ac:dyDescent="0.3">
      <c r="A128" s="1"/>
      <c r="B128" s="2"/>
      <c r="C128" s="2"/>
      <c r="D128" s="2"/>
      <c r="E128" s="2"/>
      <c r="F128" s="2"/>
    </row>
    <row r="129" spans="1:6" x14ac:dyDescent="0.3">
      <c r="A129" s="1"/>
      <c r="B129" s="2"/>
      <c r="C129" s="2"/>
      <c r="D129" s="2"/>
      <c r="E129" s="2"/>
      <c r="F129" s="2"/>
    </row>
    <row r="130" spans="1:6" x14ac:dyDescent="0.3">
      <c r="A130" s="1"/>
      <c r="B130" s="2"/>
      <c r="C130" s="2"/>
      <c r="D130" s="2"/>
      <c r="E130" s="2"/>
      <c r="F130" s="2"/>
    </row>
    <row r="131" spans="1:6" x14ac:dyDescent="0.3">
      <c r="A131" s="1"/>
      <c r="B131" s="2"/>
      <c r="C131" s="2"/>
      <c r="D131" s="2"/>
      <c r="E131" s="2"/>
      <c r="F131" s="2"/>
    </row>
    <row r="132" spans="1:6" x14ac:dyDescent="0.3">
      <c r="A132" s="1"/>
      <c r="B132" s="2"/>
      <c r="C132" s="2"/>
      <c r="D132" s="2"/>
      <c r="E132" s="2"/>
      <c r="F132" s="2"/>
    </row>
    <row r="133" spans="1:6" x14ac:dyDescent="0.3">
      <c r="A133" s="1"/>
      <c r="B133" s="2"/>
      <c r="C133" s="2"/>
      <c r="D133" s="2"/>
      <c r="E133" s="2"/>
      <c r="F133" s="2"/>
    </row>
    <row r="134" spans="1:6" x14ac:dyDescent="0.3">
      <c r="A134" s="1"/>
      <c r="B134" s="2"/>
      <c r="C134" s="2"/>
      <c r="D134" s="2"/>
      <c r="E134" s="2"/>
      <c r="F134" s="2"/>
    </row>
    <row r="135" spans="1:6" x14ac:dyDescent="0.3">
      <c r="A135" s="1"/>
      <c r="B135" s="2"/>
      <c r="C135" s="2"/>
      <c r="D135" s="2"/>
      <c r="E135" s="2"/>
      <c r="F135" s="2"/>
    </row>
    <row r="136" spans="1:6" x14ac:dyDescent="0.3">
      <c r="A136" s="1"/>
      <c r="B136" s="2"/>
      <c r="C136" s="2"/>
      <c r="D136" s="2"/>
      <c r="E136" s="2"/>
      <c r="F136" s="2"/>
    </row>
    <row r="137" spans="1:6" x14ac:dyDescent="0.3">
      <c r="A137" s="1"/>
      <c r="B137" s="2"/>
      <c r="C137" s="2"/>
      <c r="D137" s="2"/>
      <c r="E137" s="2"/>
      <c r="F137" s="2"/>
    </row>
    <row r="138" spans="1:6" x14ac:dyDescent="0.3">
      <c r="A138" s="1"/>
      <c r="B138" s="2"/>
      <c r="C138" s="2"/>
      <c r="D138" s="2"/>
      <c r="E138" s="2"/>
      <c r="F138" s="2"/>
    </row>
    <row r="139" spans="1:6" x14ac:dyDescent="0.3">
      <c r="A139" s="1"/>
      <c r="B139" s="2"/>
      <c r="C139" s="2"/>
      <c r="D139" s="2"/>
      <c r="E139" s="2"/>
      <c r="F139" s="2"/>
    </row>
    <row r="140" spans="1:6" x14ac:dyDescent="0.3">
      <c r="A140" s="1"/>
      <c r="B140" s="2"/>
      <c r="C140" s="2"/>
      <c r="D140" s="2"/>
      <c r="E140" s="2"/>
      <c r="F140" s="2"/>
    </row>
    <row r="141" spans="1:6" x14ac:dyDescent="0.3">
      <c r="A141" s="1"/>
      <c r="B141" s="2"/>
      <c r="C141" s="2"/>
      <c r="D141" s="2"/>
      <c r="E141" s="2"/>
      <c r="F141" s="2"/>
    </row>
    <row r="142" spans="1:6" x14ac:dyDescent="0.3">
      <c r="A142" s="1"/>
      <c r="B142" s="2"/>
      <c r="C142" s="2"/>
      <c r="D142" s="2"/>
      <c r="E142" s="2"/>
      <c r="F142" s="2"/>
    </row>
    <row r="143" spans="1:6" x14ac:dyDescent="0.3">
      <c r="A143" s="1"/>
      <c r="B143" s="2"/>
      <c r="C143" s="2"/>
      <c r="D143" s="2"/>
      <c r="E143" s="2"/>
      <c r="F143" s="2"/>
    </row>
    <row r="144" spans="1:6" x14ac:dyDescent="0.3">
      <c r="A144" s="1"/>
      <c r="B144" s="2"/>
      <c r="C144" s="2"/>
      <c r="D144" s="2"/>
      <c r="E144" s="2"/>
      <c r="F144" s="2"/>
    </row>
    <row r="145" spans="1:6" x14ac:dyDescent="0.3">
      <c r="A145" s="1"/>
      <c r="B145" s="2"/>
      <c r="C145" s="2"/>
      <c r="D145" s="2"/>
      <c r="E145" s="2"/>
      <c r="F145" s="2"/>
    </row>
    <row r="146" spans="1:6" x14ac:dyDescent="0.3">
      <c r="A146" s="1"/>
      <c r="B146" s="2"/>
      <c r="C146" s="2"/>
      <c r="D146" s="2"/>
      <c r="E146" s="2"/>
      <c r="F146" s="2"/>
    </row>
    <row r="147" spans="1:6" x14ac:dyDescent="0.3">
      <c r="A147" s="1"/>
      <c r="B147" s="2"/>
      <c r="C147" s="2"/>
      <c r="D147" s="2"/>
      <c r="E147" s="2"/>
      <c r="F147" s="2"/>
    </row>
    <row r="148" spans="1:6" x14ac:dyDescent="0.3">
      <c r="A148" s="1"/>
      <c r="B148" s="2"/>
      <c r="C148" s="2"/>
      <c r="D148" s="2"/>
      <c r="E148" s="2"/>
      <c r="F148" s="2"/>
    </row>
    <row r="149" spans="1:6" x14ac:dyDescent="0.3">
      <c r="A149" s="1"/>
      <c r="B149" s="2"/>
      <c r="C149" s="2"/>
      <c r="D149" s="2"/>
      <c r="E149" s="2"/>
      <c r="F149" s="2"/>
    </row>
    <row r="150" spans="1:6" x14ac:dyDescent="0.3">
      <c r="A150" s="1"/>
      <c r="B150" s="2"/>
      <c r="C150" s="2"/>
      <c r="D150" s="2"/>
      <c r="E150" s="2"/>
      <c r="F150" s="2"/>
    </row>
    <row r="151" spans="1:6" x14ac:dyDescent="0.3">
      <c r="A151" s="1"/>
      <c r="B151" s="2"/>
      <c r="C151" s="2"/>
      <c r="D151" s="2"/>
      <c r="E151" s="2"/>
      <c r="F151" s="2"/>
    </row>
    <row r="152" spans="1:6" x14ac:dyDescent="0.3">
      <c r="A152" s="1"/>
      <c r="B152" s="2"/>
      <c r="C152" s="2"/>
      <c r="D152" s="2"/>
      <c r="E152" s="2"/>
      <c r="F152" s="2"/>
    </row>
    <row r="153" spans="1:6" x14ac:dyDescent="0.3">
      <c r="A153" s="1"/>
      <c r="B153" s="2"/>
      <c r="C153" s="2"/>
      <c r="D153" s="2"/>
      <c r="E153" s="2"/>
      <c r="F153" s="2"/>
    </row>
    <row r="154" spans="1:6" x14ac:dyDescent="0.3">
      <c r="A154" s="1"/>
      <c r="B154" s="2"/>
      <c r="C154" s="2"/>
      <c r="D154" s="2"/>
      <c r="E154" s="2"/>
      <c r="F154" s="2"/>
    </row>
    <row r="155" spans="1:6" x14ac:dyDescent="0.3">
      <c r="A155" s="1"/>
      <c r="B155" s="2"/>
      <c r="C155" s="2"/>
      <c r="D155" s="2"/>
      <c r="E155" s="2"/>
      <c r="F155" s="2"/>
    </row>
    <row r="156" spans="1:6" x14ac:dyDescent="0.3">
      <c r="A156" s="1"/>
      <c r="B156" s="2"/>
      <c r="C156" s="2"/>
      <c r="D156" s="2"/>
      <c r="E156" s="2"/>
      <c r="F156" s="2"/>
    </row>
    <row r="157" spans="1:6" x14ac:dyDescent="0.3">
      <c r="A157" s="1"/>
      <c r="B157" s="2"/>
      <c r="C157" s="2"/>
      <c r="D157" s="2"/>
      <c r="E157" s="2"/>
      <c r="F157" s="2"/>
    </row>
    <row r="158" spans="1:6" x14ac:dyDescent="0.3">
      <c r="A158" s="1"/>
      <c r="B158" s="2"/>
      <c r="C158" s="2"/>
      <c r="D158" s="2"/>
      <c r="E158" s="2"/>
      <c r="F158" s="2"/>
    </row>
    <row r="159" spans="1:6" x14ac:dyDescent="0.3">
      <c r="A159" s="1"/>
      <c r="B159" s="2"/>
      <c r="C159" s="2"/>
      <c r="D159" s="2"/>
      <c r="E159" s="2"/>
      <c r="F159" s="2"/>
    </row>
    <row r="160" spans="1:6" x14ac:dyDescent="0.3">
      <c r="A160" s="1"/>
      <c r="B160" s="2"/>
      <c r="C160" s="2"/>
      <c r="D160" s="2"/>
      <c r="E160" s="2"/>
      <c r="F160" s="2"/>
    </row>
    <row r="161" spans="1:6" x14ac:dyDescent="0.3">
      <c r="A161" s="1"/>
      <c r="B161" s="2"/>
      <c r="C161" s="2"/>
      <c r="D161" s="2"/>
      <c r="E161" s="2"/>
      <c r="F161" s="2"/>
    </row>
    <row r="162" spans="1:6" x14ac:dyDescent="0.3">
      <c r="A162" s="1"/>
      <c r="B162" s="2"/>
      <c r="C162" s="2"/>
      <c r="D162" s="2"/>
      <c r="E162" s="2"/>
      <c r="F162" s="2"/>
    </row>
    <row r="163" spans="1:6" x14ac:dyDescent="0.3">
      <c r="A163" s="1"/>
      <c r="B163" s="2"/>
      <c r="C163" s="2"/>
      <c r="D163" s="2"/>
      <c r="E163" s="2"/>
      <c r="F163" s="2"/>
    </row>
    <row r="164" spans="1:6" x14ac:dyDescent="0.3">
      <c r="A164" s="1"/>
      <c r="B164" s="2"/>
      <c r="C164" s="2"/>
      <c r="D164" s="2"/>
      <c r="E164" s="2"/>
      <c r="F164" s="2"/>
    </row>
    <row r="165" spans="1:6" x14ac:dyDescent="0.3">
      <c r="A165" s="1"/>
      <c r="B165" s="2"/>
      <c r="C165" s="2"/>
      <c r="D165" s="2"/>
      <c r="E165" s="2"/>
      <c r="F165" s="2"/>
    </row>
    <row r="166" spans="1:6" x14ac:dyDescent="0.3">
      <c r="A166" s="1"/>
      <c r="B166" s="2"/>
      <c r="C166" s="2"/>
      <c r="D166" s="2"/>
      <c r="E166" s="2"/>
      <c r="F166" s="2"/>
    </row>
    <row r="167" spans="1:6" x14ac:dyDescent="0.3">
      <c r="A167" s="1"/>
      <c r="B167" s="2"/>
      <c r="C167" s="2"/>
      <c r="D167" s="2"/>
      <c r="E167" s="2"/>
      <c r="F167" s="2"/>
    </row>
    <row r="168" spans="1:6" x14ac:dyDescent="0.3">
      <c r="A168" s="1"/>
      <c r="B168" s="2"/>
      <c r="C168" s="2"/>
      <c r="D168" s="2"/>
      <c r="E168" s="2"/>
      <c r="F168" s="2"/>
    </row>
    <row r="169" spans="1:6" x14ac:dyDescent="0.3">
      <c r="A169" s="1"/>
      <c r="B169" s="2"/>
      <c r="C169" s="2"/>
      <c r="D169" s="2"/>
      <c r="E169" s="2"/>
      <c r="F169" s="2"/>
    </row>
    <row r="170" spans="1:6" x14ac:dyDescent="0.3">
      <c r="A170" s="1"/>
      <c r="B170" s="2"/>
      <c r="C170" s="2"/>
      <c r="D170" s="2"/>
      <c r="E170" s="2"/>
      <c r="F170" s="2"/>
    </row>
    <row r="171" spans="1:6" x14ac:dyDescent="0.3">
      <c r="A171" s="1"/>
      <c r="B171" s="2"/>
      <c r="C171" s="2"/>
      <c r="D171" s="2"/>
      <c r="E171" s="2"/>
      <c r="F171" s="2"/>
    </row>
    <row r="172" spans="1:6" x14ac:dyDescent="0.3">
      <c r="A172" s="1"/>
      <c r="B172" s="2"/>
      <c r="C172" s="2"/>
      <c r="D172" s="2"/>
      <c r="E172" s="2"/>
      <c r="F172" s="2"/>
    </row>
    <row r="173" spans="1:6" x14ac:dyDescent="0.3">
      <c r="A173" s="1"/>
      <c r="B173" s="2"/>
      <c r="C173" s="2"/>
      <c r="D173" s="2"/>
      <c r="E173" s="2"/>
      <c r="F173" s="2"/>
    </row>
    <row r="174" spans="1:6" x14ac:dyDescent="0.3">
      <c r="A174" s="1"/>
      <c r="B174" s="2"/>
      <c r="C174" s="2"/>
      <c r="D174" s="2"/>
      <c r="E174" s="2"/>
      <c r="F174" s="2"/>
    </row>
    <row r="175" spans="1:6" x14ac:dyDescent="0.3">
      <c r="A175" s="1"/>
      <c r="B175" s="2"/>
      <c r="C175" s="2"/>
      <c r="D175" s="2"/>
      <c r="E175" s="2"/>
      <c r="F175" s="2"/>
    </row>
    <row r="176" spans="1:6" x14ac:dyDescent="0.3">
      <c r="A176" s="1"/>
      <c r="B176" s="2"/>
      <c r="C176" s="2"/>
      <c r="D176" s="2"/>
      <c r="E176" s="2"/>
      <c r="F176" s="2"/>
    </row>
    <row r="177" spans="1:6" x14ac:dyDescent="0.3">
      <c r="A177" s="1"/>
      <c r="B177" s="2"/>
      <c r="C177" s="2"/>
      <c r="D177" s="2"/>
      <c r="E177" s="2"/>
      <c r="F177" s="2"/>
    </row>
    <row r="178" spans="1:6" x14ac:dyDescent="0.3">
      <c r="A178" s="1"/>
      <c r="B178" s="2"/>
      <c r="C178" s="2"/>
      <c r="D178" s="2"/>
      <c r="E178" s="2"/>
      <c r="F178" s="2"/>
    </row>
    <row r="179" spans="1:6" x14ac:dyDescent="0.3">
      <c r="A179" s="1"/>
      <c r="B179" s="2"/>
      <c r="C179" s="2"/>
      <c r="D179" s="2"/>
      <c r="E179" s="2"/>
      <c r="F179" s="2"/>
    </row>
    <row r="180" spans="1:6" x14ac:dyDescent="0.3">
      <c r="A180" s="1"/>
      <c r="B180" s="2"/>
      <c r="C180" s="2"/>
      <c r="D180" s="2"/>
      <c r="E180" s="2"/>
      <c r="F180" s="2"/>
    </row>
    <row r="181" spans="1:6" x14ac:dyDescent="0.3">
      <c r="A181" s="1"/>
      <c r="B181" s="2"/>
      <c r="C181" s="2"/>
      <c r="D181" s="2"/>
      <c r="E181" s="2"/>
      <c r="F181" s="2"/>
    </row>
    <row r="182" spans="1:6" x14ac:dyDescent="0.3">
      <c r="A182" s="1"/>
      <c r="B182" s="2"/>
      <c r="C182" s="2"/>
      <c r="D182" s="2"/>
      <c r="E182" s="2"/>
      <c r="F182" s="2"/>
    </row>
    <row r="183" spans="1:6" x14ac:dyDescent="0.3">
      <c r="A183" s="1"/>
      <c r="B183" s="2"/>
      <c r="C183" s="2"/>
      <c r="D183" s="2"/>
      <c r="E183" s="2"/>
      <c r="F183" s="2"/>
    </row>
    <row r="184" spans="1:6" x14ac:dyDescent="0.3">
      <c r="A184" s="1"/>
      <c r="B184" s="2"/>
      <c r="C184" s="2"/>
      <c r="D184" s="2"/>
      <c r="E184" s="2"/>
      <c r="F184" s="2"/>
    </row>
    <row r="185" spans="1:6" x14ac:dyDescent="0.3">
      <c r="A185" s="1"/>
      <c r="B185" s="2"/>
      <c r="C185" s="2"/>
      <c r="D185" s="2"/>
      <c r="E185" s="2"/>
      <c r="F185" s="2"/>
    </row>
    <row r="186" spans="1:6" x14ac:dyDescent="0.3">
      <c r="A186" s="1"/>
      <c r="B186" s="2"/>
      <c r="C186" s="2"/>
      <c r="D186" s="2"/>
      <c r="E186" s="2"/>
      <c r="F186" s="2"/>
    </row>
    <row r="187" spans="1:6" x14ac:dyDescent="0.3">
      <c r="A187" s="1"/>
      <c r="B187" s="2"/>
      <c r="C187" s="2"/>
      <c r="D187" s="2"/>
      <c r="E187" s="2"/>
      <c r="F187" s="2"/>
    </row>
    <row r="188" spans="1:6" x14ac:dyDescent="0.3">
      <c r="A188" s="1"/>
      <c r="B188" s="2"/>
      <c r="C188" s="2"/>
      <c r="D188" s="2"/>
      <c r="E188" s="2"/>
      <c r="F188" s="2"/>
    </row>
    <row r="189" spans="1:6" x14ac:dyDescent="0.3">
      <c r="A189" s="1"/>
      <c r="B189" s="2"/>
      <c r="C189" s="2"/>
      <c r="D189" s="2"/>
      <c r="E189" s="2"/>
      <c r="F189" s="2"/>
    </row>
    <row r="190" spans="1:6" x14ac:dyDescent="0.3">
      <c r="A190" s="1"/>
      <c r="B190" s="2"/>
      <c r="C190" s="2"/>
      <c r="D190" s="2"/>
      <c r="E190" s="2"/>
      <c r="F190" s="2"/>
    </row>
    <row r="191" spans="1:6" x14ac:dyDescent="0.3">
      <c r="A191" s="1"/>
      <c r="B191" s="2"/>
      <c r="C191" s="2"/>
      <c r="D191" s="2"/>
      <c r="E191" s="2"/>
      <c r="F191" s="2"/>
    </row>
    <row r="192" spans="1:6" x14ac:dyDescent="0.3">
      <c r="A192" s="1"/>
      <c r="B192" s="2"/>
      <c r="C192" s="2"/>
      <c r="D192" s="2"/>
      <c r="E192" s="2"/>
      <c r="F192" s="2"/>
    </row>
    <row r="193" spans="1:6" x14ac:dyDescent="0.3">
      <c r="A193" s="1"/>
      <c r="B193" s="2"/>
      <c r="C193" s="2"/>
      <c r="D193" s="2"/>
      <c r="E193" s="2"/>
      <c r="F193" s="2"/>
    </row>
    <row r="194" spans="1:6" x14ac:dyDescent="0.3">
      <c r="A194" s="1"/>
      <c r="B194" s="2"/>
      <c r="C194" s="2"/>
      <c r="D194" s="2"/>
      <c r="E194" s="2"/>
      <c r="F194" s="2"/>
    </row>
    <row r="195" spans="1:6" x14ac:dyDescent="0.3">
      <c r="A195" s="1"/>
      <c r="B195" s="2"/>
      <c r="C195" s="2"/>
      <c r="D195" s="2"/>
      <c r="E195" s="2"/>
      <c r="F195" s="2"/>
    </row>
    <row r="196" spans="1:6" x14ac:dyDescent="0.3">
      <c r="A196" s="1"/>
      <c r="B196" s="2"/>
      <c r="C196" s="2"/>
      <c r="D196" s="2"/>
      <c r="E196" s="2"/>
      <c r="F196" s="2"/>
    </row>
    <row r="197" spans="1:6" x14ac:dyDescent="0.3">
      <c r="A197" s="1"/>
      <c r="B197" s="2"/>
      <c r="C197" s="2"/>
      <c r="D197" s="2"/>
      <c r="E197" s="2"/>
      <c r="F197" s="2"/>
    </row>
    <row r="198" spans="1:6" x14ac:dyDescent="0.3">
      <c r="A198" s="1"/>
      <c r="B198" s="2"/>
      <c r="C198" s="2"/>
      <c r="D198" s="2"/>
      <c r="E198" s="2"/>
      <c r="F198" s="2"/>
    </row>
    <row r="199" spans="1:6" x14ac:dyDescent="0.3">
      <c r="A199" s="1"/>
      <c r="B199" s="2"/>
      <c r="C199" s="2"/>
      <c r="D199" s="2"/>
      <c r="E199" s="2"/>
      <c r="F199" s="2"/>
    </row>
    <row r="200" spans="1:6" x14ac:dyDescent="0.3">
      <c r="A200" s="1"/>
      <c r="B200" s="2"/>
      <c r="C200" s="2"/>
      <c r="D200" s="2"/>
      <c r="E200" s="2"/>
      <c r="F200" s="2"/>
    </row>
  </sheetData>
  <sheetProtection sheet="1" objects="1" scenarios="1" formatCells="0" formatColumns="0" formatRows="0" insertColumns="0" insertHyperlinks="0" deleteColumns="0" pivotTables="0"/>
  <dataValidations count="3">
    <dataValidation type="list" allowBlank="1" showInputMessage="1" showErrorMessage="1" errorTitle="Invalid value" error="Select a value from the list." promptTitle="Select a value" prompt="Choose from the list." sqref="C2:C200" xr:uid="{00000000-0002-0000-0300-000000000000}">
      <formula1>rngIncomeType</formula1>
    </dataValidation>
    <dataValidation type="list" allowBlank="1" showInputMessage="1" showErrorMessage="1" errorTitle="Invalid value" error="Select a value from the list." promptTitle="Select a value" prompt="Choose from the list." sqref="D2:D200" xr:uid="{00000000-0002-0000-0300-000001000000}">
      <formula1>rngAccounts</formula1>
    </dataValidation>
    <dataValidation type="list" allowBlank="1" showInputMessage="1" showErrorMessage="1" errorTitle="Invalid value" error="Select a value from the list." promptTitle="Select a value" prompt="Choose from the list." sqref="E2:E200" xr:uid="{00000000-0002-0000-0300-000002000000}">
      <formula1>rngAccountStatus</formula1>
    </dataValidation>
  </dataValidations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00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2" customWidth="1"/>
    <col min="2" max="2" width="24" customWidth="1"/>
    <col min="3" max="3" width="16" customWidth="1"/>
    <col min="4" max="5" width="18" customWidth="1"/>
    <col min="6" max="6" width="14" customWidth="1"/>
    <col min="7" max="8" width="16" customWidth="1"/>
    <col min="9" max="9" width="18" customWidth="1"/>
    <col min="10" max="11" width="16" customWidth="1"/>
    <col min="12" max="12" width="12" customWidth="1"/>
    <col min="13" max="13" width="20" customWidth="1"/>
  </cols>
  <sheetData>
    <row r="1" spans="1:13" x14ac:dyDescent="0.3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9</v>
      </c>
      <c r="M1" s="1" t="s">
        <v>11</v>
      </c>
    </row>
    <row r="2" spans="1:13" x14ac:dyDescent="0.3">
      <c r="A2" s="1"/>
      <c r="B2" s="2"/>
      <c r="C2" s="2"/>
      <c r="D2" s="2"/>
      <c r="E2" s="2"/>
      <c r="F2" s="4"/>
      <c r="G2" s="2"/>
      <c r="H2" s="2"/>
      <c r="I2" s="1">
        <f>IF(tblAssets[[#This Row],[Asset ID]]="","",tblAssets[[#This Row],[Current Value]]-tblAssets[[#This Row],[Purchase Value]])</f>
        <v>0</v>
      </c>
      <c r="J2" s="11">
        <f>IF(OR(tblAssets[[#This Row],[Asset ID]]="",tblAssets[[#This Row],[Purchase Value]]=0),"",tblAssets[[#This Row],[Appreciation Amount]]/tblAssets[[#This Row],[Purchase Value]])</f>
        <v>0</v>
      </c>
      <c r="K2" s="2"/>
      <c r="L2" s="2"/>
      <c r="M2" s="2"/>
    </row>
    <row r="3" spans="1:13" x14ac:dyDescent="0.3">
      <c r="A3" s="1"/>
      <c r="B3" s="2"/>
      <c r="C3" s="2"/>
      <c r="D3" s="2"/>
      <c r="E3" s="2"/>
      <c r="F3" s="4"/>
      <c r="G3" s="2"/>
      <c r="H3" s="2"/>
      <c r="I3" s="1">
        <f>IF(tblAssets[[#This Row],[Asset ID]]="","",tblAssets[[#This Row],[Current Value]]-tblAssets[[#This Row],[Purchase Value]])</f>
        <v>0</v>
      </c>
      <c r="J3" s="11">
        <f>IF(OR(tblAssets[[#This Row],[Asset ID]]="",tblAssets[[#This Row],[Purchase Value]]=0),"",tblAssets[[#This Row],[Appreciation Amount]]/tblAssets[[#This Row],[Purchase Value]])</f>
        <v>0</v>
      </c>
      <c r="K3" s="2"/>
      <c r="L3" s="2"/>
      <c r="M3" s="2"/>
    </row>
    <row r="4" spans="1:13" x14ac:dyDescent="0.3">
      <c r="A4" s="1"/>
      <c r="B4" s="2"/>
      <c r="C4" s="2"/>
      <c r="D4" s="2"/>
      <c r="E4" s="2"/>
      <c r="F4" s="4"/>
      <c r="G4" s="2"/>
      <c r="H4" s="2"/>
      <c r="I4" s="1">
        <f>IF(tblAssets[[#This Row],[Asset ID]]="","",tblAssets[[#This Row],[Current Value]]-tblAssets[[#This Row],[Purchase Value]])</f>
        <v>0</v>
      </c>
      <c r="J4" s="11">
        <f>IF(OR(tblAssets[[#This Row],[Asset ID]]="",tblAssets[[#This Row],[Purchase Value]]=0),"",tblAssets[[#This Row],[Appreciation Amount]]/tblAssets[[#This Row],[Purchase Value]])</f>
        <v>0</v>
      </c>
      <c r="K4" s="2"/>
      <c r="L4" s="2"/>
      <c r="M4" s="2"/>
    </row>
    <row r="5" spans="1:13" x14ac:dyDescent="0.3">
      <c r="A5" s="1"/>
      <c r="B5" s="2"/>
      <c r="C5" s="2"/>
      <c r="D5" s="2"/>
      <c r="E5" s="2"/>
      <c r="F5" s="4"/>
      <c r="G5" s="2"/>
      <c r="H5" s="2"/>
      <c r="I5" s="1">
        <f>IF(tblAssets[[#This Row],[Asset ID]]="","",tblAssets[[#This Row],[Current Value]]-tblAssets[[#This Row],[Purchase Value]])</f>
        <v>0</v>
      </c>
      <c r="J5" s="11">
        <f>IF(OR(tblAssets[[#This Row],[Asset ID]]="",tblAssets[[#This Row],[Purchase Value]]=0),"",tblAssets[[#This Row],[Appreciation Amount]]/tblAssets[[#This Row],[Purchase Value]])</f>
        <v>0</v>
      </c>
      <c r="K5" s="2"/>
      <c r="L5" s="2"/>
      <c r="M5" s="2"/>
    </row>
    <row r="6" spans="1:13" x14ac:dyDescent="0.3">
      <c r="A6" s="1"/>
      <c r="B6" s="2"/>
      <c r="C6" s="2"/>
      <c r="D6" s="2"/>
      <c r="E6" s="2"/>
      <c r="F6" s="4"/>
      <c r="G6" s="2"/>
      <c r="H6" s="2"/>
      <c r="I6" s="1">
        <f>IF(tblAssets[[#This Row],[Asset ID]]="","",tblAssets[[#This Row],[Current Value]]-tblAssets[[#This Row],[Purchase Value]])</f>
        <v>0</v>
      </c>
      <c r="J6" s="11">
        <f>IF(OR(tblAssets[[#This Row],[Asset ID]]="",tblAssets[[#This Row],[Purchase Value]]=0),"",tblAssets[[#This Row],[Appreciation Amount]]/tblAssets[[#This Row],[Purchase Value]])</f>
        <v>0</v>
      </c>
      <c r="K6" s="2"/>
      <c r="L6" s="2"/>
      <c r="M6" s="2"/>
    </row>
    <row r="7" spans="1:13" x14ac:dyDescent="0.3">
      <c r="A7" s="1"/>
      <c r="B7" s="2"/>
      <c r="C7" s="2"/>
      <c r="D7" s="2"/>
      <c r="E7" s="2"/>
      <c r="F7" s="4"/>
      <c r="G7" s="2"/>
      <c r="H7" s="2"/>
      <c r="I7" s="1">
        <f>IF(tblAssets[[#This Row],[Asset ID]]="","",tblAssets[[#This Row],[Current Value]]-tblAssets[[#This Row],[Purchase Value]])</f>
        <v>0</v>
      </c>
      <c r="J7" s="11">
        <f>IF(OR(tblAssets[[#This Row],[Asset ID]]="",tblAssets[[#This Row],[Purchase Value]]=0),"",tblAssets[[#This Row],[Appreciation Amount]]/tblAssets[[#This Row],[Purchase Value]])</f>
        <v>0</v>
      </c>
      <c r="K7" s="2"/>
      <c r="L7" s="2"/>
      <c r="M7" s="2"/>
    </row>
    <row r="8" spans="1:13" x14ac:dyDescent="0.3">
      <c r="A8" s="1"/>
      <c r="B8" s="2"/>
      <c r="C8" s="2"/>
      <c r="D8" s="2"/>
      <c r="E8" s="2"/>
      <c r="F8" s="4"/>
      <c r="G8" s="2"/>
      <c r="H8" s="2"/>
      <c r="I8" s="1">
        <f>IF(tblAssets[[#This Row],[Asset ID]]="","",tblAssets[[#This Row],[Current Value]]-tblAssets[[#This Row],[Purchase Value]])</f>
        <v>0</v>
      </c>
      <c r="J8" s="11">
        <f>IF(OR(tblAssets[[#This Row],[Asset ID]]="",tblAssets[[#This Row],[Purchase Value]]=0),"",tblAssets[[#This Row],[Appreciation Amount]]/tblAssets[[#This Row],[Purchase Value]])</f>
        <v>0</v>
      </c>
      <c r="K8" s="2"/>
      <c r="L8" s="2"/>
      <c r="M8" s="2"/>
    </row>
    <row r="9" spans="1:13" x14ac:dyDescent="0.3">
      <c r="A9" s="1"/>
      <c r="B9" s="2"/>
      <c r="C9" s="2"/>
      <c r="D9" s="2"/>
      <c r="E9" s="2"/>
      <c r="F9" s="4"/>
      <c r="G9" s="2"/>
      <c r="H9" s="2"/>
      <c r="I9" s="1">
        <f>IF(tblAssets[[#This Row],[Asset ID]]="","",tblAssets[[#This Row],[Current Value]]-tblAssets[[#This Row],[Purchase Value]])</f>
        <v>0</v>
      </c>
      <c r="J9" s="11">
        <f>IF(OR(tblAssets[[#This Row],[Asset ID]]="",tblAssets[[#This Row],[Purchase Value]]=0),"",tblAssets[[#This Row],[Appreciation Amount]]/tblAssets[[#This Row],[Purchase Value]])</f>
        <v>0</v>
      </c>
      <c r="K9" s="2"/>
      <c r="L9" s="2"/>
      <c r="M9" s="2"/>
    </row>
    <row r="10" spans="1:13" x14ac:dyDescent="0.3">
      <c r="A10" s="1"/>
      <c r="B10" s="2"/>
      <c r="C10" s="2"/>
      <c r="D10" s="2"/>
      <c r="E10" s="2"/>
      <c r="F10" s="4"/>
      <c r="G10" s="2"/>
      <c r="H10" s="2"/>
      <c r="I10" s="1">
        <f>IF(tblAssets[[#This Row],[Asset ID]]="","",tblAssets[[#This Row],[Current Value]]-tblAssets[[#This Row],[Purchase Value]])</f>
        <v>0</v>
      </c>
      <c r="J10" s="11">
        <f>IF(OR(tblAssets[[#This Row],[Asset ID]]="",tblAssets[[#This Row],[Purchase Value]]=0),"",tblAssets[[#This Row],[Appreciation Amount]]/tblAssets[[#This Row],[Purchase Value]])</f>
        <v>0</v>
      </c>
      <c r="K10" s="2"/>
      <c r="L10" s="2"/>
      <c r="M10" s="2"/>
    </row>
    <row r="11" spans="1:13" x14ac:dyDescent="0.3">
      <c r="A11" s="1"/>
      <c r="B11" s="2"/>
      <c r="C11" s="2"/>
      <c r="D11" s="2"/>
      <c r="E11" s="2"/>
      <c r="F11" s="4"/>
      <c r="G11" s="2"/>
      <c r="H11" s="2"/>
      <c r="I11" s="1">
        <f>IF(tblAssets[[#This Row],[Asset ID]]="","",tblAssets[[#This Row],[Current Value]]-tblAssets[[#This Row],[Purchase Value]])</f>
        <v>0</v>
      </c>
      <c r="J11" s="11">
        <f>IF(OR(tblAssets[[#This Row],[Asset ID]]="",tblAssets[[#This Row],[Purchase Value]]=0),"",tblAssets[[#This Row],[Appreciation Amount]]/tblAssets[[#This Row],[Purchase Value]])</f>
        <v>0</v>
      </c>
      <c r="K11" s="2"/>
      <c r="L11" s="2"/>
      <c r="M11" s="2"/>
    </row>
    <row r="12" spans="1:13" x14ac:dyDescent="0.3">
      <c r="A12" s="1"/>
      <c r="B12" s="2"/>
      <c r="C12" s="2"/>
      <c r="D12" s="2"/>
      <c r="E12" s="2"/>
      <c r="F12" s="4"/>
      <c r="G12" s="2"/>
      <c r="H12" s="2"/>
      <c r="I12" s="1">
        <f>IF(tblAssets[[#This Row],[Asset ID]]="","",tblAssets[[#This Row],[Current Value]]-tblAssets[[#This Row],[Purchase Value]])</f>
        <v>0</v>
      </c>
      <c r="J12" s="11">
        <f>IF(OR(tblAssets[[#This Row],[Asset ID]]="",tblAssets[[#This Row],[Purchase Value]]=0),"",tblAssets[[#This Row],[Appreciation Amount]]/tblAssets[[#This Row],[Purchase Value]])</f>
        <v>0</v>
      </c>
      <c r="K12" s="2"/>
      <c r="L12" s="2"/>
      <c r="M12" s="2"/>
    </row>
    <row r="13" spans="1:13" x14ac:dyDescent="0.3">
      <c r="A13" s="1"/>
      <c r="B13" s="2"/>
      <c r="C13" s="2"/>
      <c r="D13" s="2"/>
      <c r="E13" s="2"/>
      <c r="F13" s="4"/>
      <c r="G13" s="2"/>
      <c r="H13" s="2"/>
      <c r="I13" s="1">
        <f>IF(tblAssets[[#This Row],[Asset ID]]="","",tblAssets[[#This Row],[Current Value]]-tblAssets[[#This Row],[Purchase Value]])</f>
        <v>0</v>
      </c>
      <c r="J13" s="11">
        <f>IF(OR(tblAssets[[#This Row],[Asset ID]]="",tblAssets[[#This Row],[Purchase Value]]=0),"",tblAssets[[#This Row],[Appreciation Amount]]/tblAssets[[#This Row],[Purchase Value]])</f>
        <v>0</v>
      </c>
      <c r="K13" s="2"/>
      <c r="L13" s="2"/>
      <c r="M13" s="2"/>
    </row>
    <row r="14" spans="1:13" x14ac:dyDescent="0.3">
      <c r="A14" s="1"/>
      <c r="B14" s="2"/>
      <c r="C14" s="2"/>
      <c r="D14" s="2"/>
      <c r="E14" s="2"/>
      <c r="F14" s="4"/>
      <c r="G14" s="2"/>
      <c r="H14" s="2"/>
      <c r="I14" s="1">
        <f>IF(tblAssets[[#This Row],[Asset ID]]="","",tblAssets[[#This Row],[Current Value]]-tblAssets[[#This Row],[Purchase Value]])</f>
        <v>0</v>
      </c>
      <c r="J14" s="11">
        <f>IF(OR(tblAssets[[#This Row],[Asset ID]]="",tblAssets[[#This Row],[Purchase Value]]=0),"",tblAssets[[#This Row],[Appreciation Amount]]/tblAssets[[#This Row],[Purchase Value]])</f>
        <v>0</v>
      </c>
      <c r="K14" s="2"/>
      <c r="L14" s="2"/>
      <c r="M14" s="2"/>
    </row>
    <row r="15" spans="1:13" x14ac:dyDescent="0.3">
      <c r="A15" s="1"/>
      <c r="B15" s="2"/>
      <c r="C15" s="2"/>
      <c r="D15" s="2"/>
      <c r="E15" s="2"/>
      <c r="F15" s="4"/>
      <c r="G15" s="2"/>
      <c r="H15" s="2"/>
      <c r="I15" s="1">
        <f>IF(tblAssets[[#This Row],[Asset ID]]="","",tblAssets[[#This Row],[Current Value]]-tblAssets[[#This Row],[Purchase Value]])</f>
        <v>0</v>
      </c>
      <c r="J15" s="11">
        <f>IF(OR(tblAssets[[#This Row],[Asset ID]]="",tblAssets[[#This Row],[Purchase Value]]=0),"",tblAssets[[#This Row],[Appreciation Amount]]/tblAssets[[#This Row],[Purchase Value]])</f>
        <v>0</v>
      </c>
      <c r="K15" s="2"/>
      <c r="L15" s="2"/>
      <c r="M15" s="2"/>
    </row>
    <row r="16" spans="1:13" x14ac:dyDescent="0.3">
      <c r="A16" s="1"/>
      <c r="B16" s="2"/>
      <c r="C16" s="2"/>
      <c r="D16" s="2"/>
      <c r="E16" s="2"/>
      <c r="F16" s="4"/>
      <c r="G16" s="2"/>
      <c r="H16" s="2"/>
      <c r="I16" s="1">
        <f>IF(tblAssets[[#This Row],[Asset ID]]="","",tblAssets[[#This Row],[Current Value]]-tblAssets[[#This Row],[Purchase Value]])</f>
        <v>0</v>
      </c>
      <c r="J16" s="11">
        <f>IF(OR(tblAssets[[#This Row],[Asset ID]]="",tblAssets[[#This Row],[Purchase Value]]=0),"",tblAssets[[#This Row],[Appreciation Amount]]/tblAssets[[#This Row],[Purchase Value]])</f>
        <v>0</v>
      </c>
      <c r="K16" s="2"/>
      <c r="L16" s="2"/>
      <c r="M16" s="2"/>
    </row>
    <row r="17" spans="1:13" x14ac:dyDescent="0.3">
      <c r="A17" s="1"/>
      <c r="B17" s="2"/>
      <c r="C17" s="2"/>
      <c r="D17" s="2"/>
      <c r="E17" s="2"/>
      <c r="F17" s="4"/>
      <c r="G17" s="2"/>
      <c r="H17" s="2"/>
      <c r="I17" s="1">
        <f>IF(tblAssets[[#This Row],[Asset ID]]="","",tblAssets[[#This Row],[Current Value]]-tblAssets[[#This Row],[Purchase Value]])</f>
        <v>0</v>
      </c>
      <c r="J17" s="11">
        <f>IF(OR(tblAssets[[#This Row],[Asset ID]]="",tblAssets[[#This Row],[Purchase Value]]=0),"",tblAssets[[#This Row],[Appreciation Amount]]/tblAssets[[#This Row],[Purchase Value]])</f>
        <v>0</v>
      </c>
      <c r="K17" s="2"/>
      <c r="L17" s="2"/>
      <c r="M17" s="2"/>
    </row>
    <row r="18" spans="1:13" x14ac:dyDescent="0.3">
      <c r="A18" s="1"/>
      <c r="B18" s="2"/>
      <c r="C18" s="2"/>
      <c r="D18" s="2"/>
      <c r="E18" s="2"/>
      <c r="F18" s="4"/>
      <c r="G18" s="2"/>
      <c r="H18" s="2"/>
      <c r="I18" s="1">
        <f>IF(tblAssets[[#This Row],[Asset ID]]="","",tblAssets[[#This Row],[Current Value]]-tblAssets[[#This Row],[Purchase Value]])</f>
        <v>0</v>
      </c>
      <c r="J18" s="11">
        <f>IF(OR(tblAssets[[#This Row],[Asset ID]]="",tblAssets[[#This Row],[Purchase Value]]=0),"",tblAssets[[#This Row],[Appreciation Amount]]/tblAssets[[#This Row],[Purchase Value]])</f>
        <v>0</v>
      </c>
      <c r="K18" s="2"/>
      <c r="L18" s="2"/>
      <c r="M18" s="2"/>
    </row>
    <row r="19" spans="1:13" x14ac:dyDescent="0.3">
      <c r="A19" s="1"/>
      <c r="B19" s="2"/>
      <c r="C19" s="2"/>
      <c r="D19" s="2"/>
      <c r="E19" s="2"/>
      <c r="F19" s="4"/>
      <c r="G19" s="2"/>
      <c r="H19" s="2"/>
      <c r="I19" s="1">
        <f>IF(tblAssets[[#This Row],[Asset ID]]="","",tblAssets[[#This Row],[Current Value]]-tblAssets[[#This Row],[Purchase Value]])</f>
        <v>0</v>
      </c>
      <c r="J19" s="11">
        <f>IF(OR(tblAssets[[#This Row],[Asset ID]]="",tblAssets[[#This Row],[Purchase Value]]=0),"",tblAssets[[#This Row],[Appreciation Amount]]/tblAssets[[#This Row],[Purchase Value]])</f>
        <v>0</v>
      </c>
      <c r="K19" s="2"/>
      <c r="L19" s="2"/>
      <c r="M19" s="2"/>
    </row>
    <row r="20" spans="1:13" x14ac:dyDescent="0.3">
      <c r="A20" s="1"/>
      <c r="B20" s="2"/>
      <c r="C20" s="2"/>
      <c r="D20" s="2"/>
      <c r="E20" s="2"/>
      <c r="F20" s="4"/>
      <c r="G20" s="2"/>
      <c r="H20" s="2"/>
      <c r="I20" s="1">
        <f>IF(tblAssets[[#This Row],[Asset ID]]="","",tblAssets[[#This Row],[Current Value]]-tblAssets[[#This Row],[Purchase Value]])</f>
        <v>0</v>
      </c>
      <c r="J20" s="11">
        <f>IF(OR(tblAssets[[#This Row],[Asset ID]]="",tblAssets[[#This Row],[Purchase Value]]=0),"",tblAssets[[#This Row],[Appreciation Amount]]/tblAssets[[#This Row],[Purchase Value]])</f>
        <v>0</v>
      </c>
      <c r="K20" s="2"/>
      <c r="L20" s="2"/>
      <c r="M20" s="2"/>
    </row>
    <row r="21" spans="1:13" x14ac:dyDescent="0.3">
      <c r="A21" s="1"/>
      <c r="B21" s="2"/>
      <c r="C21" s="2"/>
      <c r="D21" s="2"/>
      <c r="E21" s="2"/>
      <c r="F21" s="4"/>
      <c r="G21" s="2"/>
      <c r="H21" s="2"/>
      <c r="I21" s="1">
        <f>IF(tblAssets[[#This Row],[Asset ID]]="","",tblAssets[[#This Row],[Current Value]]-tblAssets[[#This Row],[Purchase Value]])</f>
        <v>0</v>
      </c>
      <c r="J21" s="11">
        <f>IF(OR(tblAssets[[#This Row],[Asset ID]]="",tblAssets[[#This Row],[Purchase Value]]=0),"",tblAssets[[#This Row],[Appreciation Amount]]/tblAssets[[#This Row],[Purchase Value]])</f>
        <v>0</v>
      </c>
      <c r="K21" s="2"/>
      <c r="L21" s="2"/>
      <c r="M21" s="2"/>
    </row>
    <row r="22" spans="1:13" x14ac:dyDescent="0.3">
      <c r="A22" s="1"/>
      <c r="B22" s="2"/>
      <c r="C22" s="2"/>
      <c r="D22" s="2"/>
      <c r="E22" s="2"/>
      <c r="F22" s="4"/>
      <c r="G22" s="2"/>
      <c r="H22" s="2"/>
      <c r="I22" s="1">
        <f>IF(tblAssets[[#This Row],[Asset ID]]="","",tblAssets[[#This Row],[Current Value]]-tblAssets[[#This Row],[Purchase Value]])</f>
        <v>0</v>
      </c>
      <c r="J22" s="11">
        <f>IF(OR(tblAssets[[#This Row],[Asset ID]]="",tblAssets[[#This Row],[Purchase Value]]=0),"",tblAssets[[#This Row],[Appreciation Amount]]/tblAssets[[#This Row],[Purchase Value]])</f>
        <v>0</v>
      </c>
      <c r="K22" s="2"/>
      <c r="L22" s="2"/>
      <c r="M22" s="2"/>
    </row>
    <row r="23" spans="1:13" x14ac:dyDescent="0.3">
      <c r="A23" s="1"/>
      <c r="B23" s="2"/>
      <c r="C23" s="2"/>
      <c r="D23" s="2"/>
      <c r="E23" s="2"/>
      <c r="F23" s="4"/>
      <c r="G23" s="2"/>
      <c r="H23" s="2"/>
      <c r="I23" s="1">
        <f>IF(tblAssets[[#This Row],[Asset ID]]="","",tblAssets[[#This Row],[Current Value]]-tblAssets[[#This Row],[Purchase Value]])</f>
        <v>0</v>
      </c>
      <c r="J23" s="11">
        <f>IF(OR(tblAssets[[#This Row],[Asset ID]]="",tblAssets[[#This Row],[Purchase Value]]=0),"",tblAssets[[#This Row],[Appreciation Amount]]/tblAssets[[#This Row],[Purchase Value]])</f>
        <v>0</v>
      </c>
      <c r="K23" s="2"/>
      <c r="L23" s="2"/>
      <c r="M23" s="2"/>
    </row>
    <row r="24" spans="1:13" x14ac:dyDescent="0.3">
      <c r="A24" s="1"/>
      <c r="B24" s="2"/>
      <c r="C24" s="2"/>
      <c r="D24" s="2"/>
      <c r="E24" s="2"/>
      <c r="F24" s="4"/>
      <c r="G24" s="2"/>
      <c r="H24" s="2"/>
      <c r="I24" s="1">
        <f>IF(tblAssets[[#This Row],[Asset ID]]="","",tblAssets[[#This Row],[Current Value]]-tblAssets[[#This Row],[Purchase Value]])</f>
        <v>0</v>
      </c>
      <c r="J24" s="11">
        <f>IF(OR(tblAssets[[#This Row],[Asset ID]]="",tblAssets[[#This Row],[Purchase Value]]=0),"",tblAssets[[#This Row],[Appreciation Amount]]/tblAssets[[#This Row],[Purchase Value]])</f>
        <v>0</v>
      </c>
      <c r="K24" s="2"/>
      <c r="L24" s="2"/>
      <c r="M24" s="2"/>
    </row>
    <row r="25" spans="1:13" x14ac:dyDescent="0.3">
      <c r="A25" s="1"/>
      <c r="B25" s="2"/>
      <c r="C25" s="2"/>
      <c r="D25" s="2"/>
      <c r="E25" s="2"/>
      <c r="F25" s="4"/>
      <c r="G25" s="2"/>
      <c r="H25" s="2"/>
      <c r="I25" s="1">
        <f>IF(tblAssets[[#This Row],[Asset ID]]="","",tblAssets[[#This Row],[Current Value]]-tblAssets[[#This Row],[Purchase Value]])</f>
        <v>0</v>
      </c>
      <c r="J25" s="11">
        <f>IF(OR(tblAssets[[#This Row],[Asset ID]]="",tblAssets[[#This Row],[Purchase Value]]=0),"",tblAssets[[#This Row],[Appreciation Amount]]/tblAssets[[#This Row],[Purchase Value]])</f>
        <v>0</v>
      </c>
      <c r="K25" s="2"/>
      <c r="L25" s="2"/>
      <c r="M25" s="2"/>
    </row>
    <row r="26" spans="1:13" x14ac:dyDescent="0.3">
      <c r="A26" s="1"/>
      <c r="B26" s="2"/>
      <c r="C26" s="2"/>
      <c r="D26" s="2"/>
      <c r="E26" s="2"/>
      <c r="F26" s="4"/>
      <c r="G26" s="2"/>
      <c r="H26" s="2"/>
      <c r="I26" s="1">
        <f>IF(tblAssets[[#This Row],[Asset ID]]="","",tblAssets[[#This Row],[Current Value]]-tblAssets[[#This Row],[Purchase Value]])</f>
        <v>0</v>
      </c>
      <c r="J26" s="11">
        <f>IF(OR(tblAssets[[#This Row],[Asset ID]]="",tblAssets[[#This Row],[Purchase Value]]=0),"",tblAssets[[#This Row],[Appreciation Amount]]/tblAssets[[#This Row],[Purchase Value]])</f>
        <v>0</v>
      </c>
      <c r="K26" s="2"/>
      <c r="L26" s="2"/>
      <c r="M26" s="2"/>
    </row>
    <row r="27" spans="1:13" x14ac:dyDescent="0.3">
      <c r="A27" s="1"/>
      <c r="B27" s="2"/>
      <c r="C27" s="2"/>
      <c r="D27" s="2"/>
      <c r="E27" s="2"/>
      <c r="F27" s="4"/>
      <c r="G27" s="2"/>
      <c r="H27" s="2"/>
      <c r="I27" s="1">
        <f>IF(tblAssets[[#This Row],[Asset ID]]="","",tblAssets[[#This Row],[Current Value]]-tblAssets[[#This Row],[Purchase Value]])</f>
        <v>0</v>
      </c>
      <c r="J27" s="11">
        <f>IF(OR(tblAssets[[#This Row],[Asset ID]]="",tblAssets[[#This Row],[Purchase Value]]=0),"",tblAssets[[#This Row],[Appreciation Amount]]/tblAssets[[#This Row],[Purchase Value]])</f>
        <v>0</v>
      </c>
      <c r="K27" s="2"/>
      <c r="L27" s="2"/>
      <c r="M27" s="2"/>
    </row>
    <row r="28" spans="1:13" x14ac:dyDescent="0.3">
      <c r="A28" s="1"/>
      <c r="B28" s="2"/>
      <c r="C28" s="2"/>
      <c r="D28" s="2"/>
      <c r="E28" s="2"/>
      <c r="F28" s="4"/>
      <c r="G28" s="2"/>
      <c r="H28" s="2"/>
      <c r="I28" s="1">
        <f>IF(tblAssets[[#This Row],[Asset ID]]="","",tblAssets[[#This Row],[Current Value]]-tblAssets[[#This Row],[Purchase Value]])</f>
        <v>0</v>
      </c>
      <c r="J28" s="11">
        <f>IF(OR(tblAssets[[#This Row],[Asset ID]]="",tblAssets[[#This Row],[Purchase Value]]=0),"",tblAssets[[#This Row],[Appreciation Amount]]/tblAssets[[#This Row],[Purchase Value]])</f>
        <v>0</v>
      </c>
      <c r="K28" s="2"/>
      <c r="L28" s="2"/>
      <c r="M28" s="2"/>
    </row>
    <row r="29" spans="1:13" x14ac:dyDescent="0.3">
      <c r="A29" s="1"/>
      <c r="B29" s="2"/>
      <c r="C29" s="2"/>
      <c r="D29" s="2"/>
      <c r="E29" s="2"/>
      <c r="F29" s="4"/>
      <c r="G29" s="2"/>
      <c r="H29" s="2"/>
      <c r="I29" s="1">
        <f>IF(tblAssets[[#This Row],[Asset ID]]="","",tblAssets[[#This Row],[Current Value]]-tblAssets[[#This Row],[Purchase Value]])</f>
        <v>0</v>
      </c>
      <c r="J29" s="11">
        <f>IF(OR(tblAssets[[#This Row],[Asset ID]]="",tblAssets[[#This Row],[Purchase Value]]=0),"",tblAssets[[#This Row],[Appreciation Amount]]/tblAssets[[#This Row],[Purchase Value]])</f>
        <v>0</v>
      </c>
      <c r="K29" s="2"/>
      <c r="L29" s="2"/>
      <c r="M29" s="2"/>
    </row>
    <row r="30" spans="1:13" x14ac:dyDescent="0.3">
      <c r="A30" s="1"/>
      <c r="B30" s="2"/>
      <c r="C30" s="2"/>
      <c r="D30" s="2"/>
      <c r="E30" s="2"/>
      <c r="F30" s="4"/>
      <c r="G30" s="2"/>
      <c r="H30" s="2"/>
      <c r="I30" s="1">
        <f>IF(tblAssets[[#This Row],[Asset ID]]="","",tblAssets[[#This Row],[Current Value]]-tblAssets[[#This Row],[Purchase Value]])</f>
        <v>0</v>
      </c>
      <c r="J30" s="11">
        <f>IF(OR(tblAssets[[#This Row],[Asset ID]]="",tblAssets[[#This Row],[Purchase Value]]=0),"",tblAssets[[#This Row],[Appreciation Amount]]/tblAssets[[#This Row],[Purchase Value]])</f>
        <v>0</v>
      </c>
      <c r="K30" s="2"/>
      <c r="L30" s="2"/>
      <c r="M30" s="2"/>
    </row>
    <row r="31" spans="1:13" x14ac:dyDescent="0.3">
      <c r="A31" s="1"/>
      <c r="B31" s="2"/>
      <c r="C31" s="2"/>
      <c r="D31" s="2"/>
      <c r="E31" s="2"/>
      <c r="F31" s="4"/>
      <c r="G31" s="2"/>
      <c r="H31" s="2"/>
      <c r="I31" s="1">
        <f>IF(tblAssets[[#This Row],[Asset ID]]="","",tblAssets[[#This Row],[Current Value]]-tblAssets[[#This Row],[Purchase Value]])</f>
        <v>0</v>
      </c>
      <c r="J31" s="11">
        <f>IF(OR(tblAssets[[#This Row],[Asset ID]]="",tblAssets[[#This Row],[Purchase Value]]=0),"",tblAssets[[#This Row],[Appreciation Amount]]/tblAssets[[#This Row],[Purchase Value]])</f>
        <v>0</v>
      </c>
      <c r="K31" s="2"/>
      <c r="L31" s="2"/>
      <c r="M31" s="2"/>
    </row>
    <row r="32" spans="1:13" x14ac:dyDescent="0.3">
      <c r="A32" s="1"/>
      <c r="B32" s="2"/>
      <c r="C32" s="2"/>
      <c r="D32" s="2"/>
      <c r="E32" s="2"/>
      <c r="F32" s="4"/>
      <c r="G32" s="2"/>
      <c r="H32" s="2"/>
      <c r="I32" s="1">
        <f>IF(tblAssets[[#This Row],[Asset ID]]="","",tblAssets[[#This Row],[Current Value]]-tblAssets[[#This Row],[Purchase Value]])</f>
        <v>0</v>
      </c>
      <c r="J32" s="11">
        <f>IF(OR(tblAssets[[#This Row],[Asset ID]]="",tblAssets[[#This Row],[Purchase Value]]=0),"",tblAssets[[#This Row],[Appreciation Amount]]/tblAssets[[#This Row],[Purchase Value]])</f>
        <v>0</v>
      </c>
      <c r="K32" s="2"/>
      <c r="L32" s="2"/>
      <c r="M32" s="2"/>
    </row>
    <row r="33" spans="1:13" x14ac:dyDescent="0.3">
      <c r="A33" s="1"/>
      <c r="B33" s="2"/>
      <c r="C33" s="2"/>
      <c r="D33" s="2"/>
      <c r="E33" s="2"/>
      <c r="F33" s="4"/>
      <c r="G33" s="2"/>
      <c r="H33" s="2"/>
      <c r="I33" s="1">
        <f>IF(tblAssets[[#This Row],[Asset ID]]="","",tblAssets[[#This Row],[Current Value]]-tblAssets[[#This Row],[Purchase Value]])</f>
        <v>0</v>
      </c>
      <c r="J33" s="11">
        <f>IF(OR(tblAssets[[#This Row],[Asset ID]]="",tblAssets[[#This Row],[Purchase Value]]=0),"",tblAssets[[#This Row],[Appreciation Amount]]/tblAssets[[#This Row],[Purchase Value]])</f>
        <v>0</v>
      </c>
      <c r="K33" s="2"/>
      <c r="L33" s="2"/>
      <c r="M33" s="2"/>
    </row>
    <row r="34" spans="1:13" x14ac:dyDescent="0.3">
      <c r="A34" s="1"/>
      <c r="B34" s="2"/>
      <c r="C34" s="2"/>
      <c r="D34" s="2"/>
      <c r="E34" s="2"/>
      <c r="F34" s="4"/>
      <c r="G34" s="2"/>
      <c r="H34" s="2"/>
      <c r="I34" s="1">
        <f>IF(tblAssets[[#This Row],[Asset ID]]="","",tblAssets[[#This Row],[Current Value]]-tblAssets[[#This Row],[Purchase Value]])</f>
        <v>0</v>
      </c>
      <c r="J34" s="11">
        <f>IF(OR(tblAssets[[#This Row],[Asset ID]]="",tblAssets[[#This Row],[Purchase Value]]=0),"",tblAssets[[#This Row],[Appreciation Amount]]/tblAssets[[#This Row],[Purchase Value]])</f>
        <v>0</v>
      </c>
      <c r="K34" s="2"/>
      <c r="L34" s="2"/>
      <c r="M34" s="2"/>
    </row>
    <row r="35" spans="1:13" x14ac:dyDescent="0.3">
      <c r="A35" s="1"/>
      <c r="B35" s="2"/>
      <c r="C35" s="2"/>
      <c r="D35" s="2"/>
      <c r="E35" s="2"/>
      <c r="F35" s="4"/>
      <c r="G35" s="2"/>
      <c r="H35" s="2"/>
      <c r="I35" s="1">
        <f>IF(tblAssets[[#This Row],[Asset ID]]="","",tblAssets[[#This Row],[Current Value]]-tblAssets[[#This Row],[Purchase Value]])</f>
        <v>0</v>
      </c>
      <c r="J35" s="11">
        <f>IF(OR(tblAssets[[#This Row],[Asset ID]]="",tblAssets[[#This Row],[Purchase Value]]=0),"",tblAssets[[#This Row],[Appreciation Amount]]/tblAssets[[#This Row],[Purchase Value]])</f>
        <v>0</v>
      </c>
      <c r="K35" s="2"/>
      <c r="L35" s="2"/>
      <c r="M35" s="2"/>
    </row>
    <row r="36" spans="1:13" x14ac:dyDescent="0.3">
      <c r="A36" s="1"/>
      <c r="B36" s="2"/>
      <c r="C36" s="2"/>
      <c r="D36" s="2"/>
      <c r="E36" s="2"/>
      <c r="F36" s="4"/>
      <c r="G36" s="2"/>
      <c r="H36" s="2"/>
      <c r="I36" s="1">
        <f>IF(tblAssets[[#This Row],[Asset ID]]="","",tblAssets[[#This Row],[Current Value]]-tblAssets[[#This Row],[Purchase Value]])</f>
        <v>0</v>
      </c>
      <c r="J36" s="11">
        <f>IF(OR(tblAssets[[#This Row],[Asset ID]]="",tblAssets[[#This Row],[Purchase Value]]=0),"",tblAssets[[#This Row],[Appreciation Amount]]/tblAssets[[#This Row],[Purchase Value]])</f>
        <v>0</v>
      </c>
      <c r="K36" s="2"/>
      <c r="L36" s="2"/>
      <c r="M36" s="2"/>
    </row>
    <row r="37" spans="1:13" x14ac:dyDescent="0.3">
      <c r="A37" s="1"/>
      <c r="B37" s="2"/>
      <c r="C37" s="2"/>
      <c r="D37" s="2"/>
      <c r="E37" s="2"/>
      <c r="F37" s="4"/>
      <c r="G37" s="2"/>
      <c r="H37" s="2"/>
      <c r="I37" s="1">
        <f>IF(tblAssets[[#This Row],[Asset ID]]="","",tblAssets[[#This Row],[Current Value]]-tblAssets[[#This Row],[Purchase Value]])</f>
        <v>0</v>
      </c>
      <c r="J37" s="11">
        <f>IF(OR(tblAssets[[#This Row],[Asset ID]]="",tblAssets[[#This Row],[Purchase Value]]=0),"",tblAssets[[#This Row],[Appreciation Amount]]/tblAssets[[#This Row],[Purchase Value]])</f>
        <v>0</v>
      </c>
      <c r="K37" s="2"/>
      <c r="L37" s="2"/>
      <c r="M37" s="2"/>
    </row>
    <row r="38" spans="1:13" x14ac:dyDescent="0.3">
      <c r="A38" s="1"/>
      <c r="B38" s="2"/>
      <c r="C38" s="2"/>
      <c r="D38" s="2"/>
      <c r="E38" s="2"/>
      <c r="F38" s="4"/>
      <c r="G38" s="2"/>
      <c r="H38" s="2"/>
      <c r="I38" s="1">
        <f>IF(tblAssets[[#This Row],[Asset ID]]="","",tblAssets[[#This Row],[Current Value]]-tblAssets[[#This Row],[Purchase Value]])</f>
        <v>0</v>
      </c>
      <c r="J38" s="11">
        <f>IF(OR(tblAssets[[#This Row],[Asset ID]]="",tblAssets[[#This Row],[Purchase Value]]=0),"",tblAssets[[#This Row],[Appreciation Amount]]/tblAssets[[#This Row],[Purchase Value]])</f>
        <v>0</v>
      </c>
      <c r="K38" s="2"/>
      <c r="L38" s="2"/>
      <c r="M38" s="2"/>
    </row>
    <row r="39" spans="1:13" x14ac:dyDescent="0.3">
      <c r="A39" s="1"/>
      <c r="B39" s="2"/>
      <c r="C39" s="2"/>
      <c r="D39" s="2"/>
      <c r="E39" s="2"/>
      <c r="F39" s="4"/>
      <c r="G39" s="2"/>
      <c r="H39" s="2"/>
      <c r="I39" s="1">
        <f>IF(tblAssets[[#This Row],[Asset ID]]="","",tblAssets[[#This Row],[Current Value]]-tblAssets[[#This Row],[Purchase Value]])</f>
        <v>0</v>
      </c>
      <c r="J39" s="11">
        <f>IF(OR(tblAssets[[#This Row],[Asset ID]]="",tblAssets[[#This Row],[Purchase Value]]=0),"",tblAssets[[#This Row],[Appreciation Amount]]/tblAssets[[#This Row],[Purchase Value]])</f>
        <v>0</v>
      </c>
      <c r="K39" s="2"/>
      <c r="L39" s="2"/>
      <c r="M39" s="2"/>
    </row>
    <row r="40" spans="1:13" x14ac:dyDescent="0.3">
      <c r="A40" s="1"/>
      <c r="B40" s="2"/>
      <c r="C40" s="2"/>
      <c r="D40" s="2"/>
      <c r="E40" s="2"/>
      <c r="F40" s="4"/>
      <c r="G40" s="2"/>
      <c r="H40" s="2"/>
      <c r="I40" s="1">
        <f>IF(tblAssets[[#This Row],[Asset ID]]="","",tblAssets[[#This Row],[Current Value]]-tblAssets[[#This Row],[Purchase Value]])</f>
        <v>0</v>
      </c>
      <c r="J40" s="11">
        <f>IF(OR(tblAssets[[#This Row],[Asset ID]]="",tblAssets[[#This Row],[Purchase Value]]=0),"",tblAssets[[#This Row],[Appreciation Amount]]/tblAssets[[#This Row],[Purchase Value]])</f>
        <v>0</v>
      </c>
      <c r="K40" s="2"/>
      <c r="L40" s="2"/>
      <c r="M40" s="2"/>
    </row>
    <row r="41" spans="1:13" x14ac:dyDescent="0.3">
      <c r="A41" s="1"/>
      <c r="B41" s="2"/>
      <c r="C41" s="2"/>
      <c r="D41" s="2"/>
      <c r="E41" s="2"/>
      <c r="F41" s="4"/>
      <c r="G41" s="2"/>
      <c r="H41" s="2"/>
      <c r="I41" s="1">
        <f>IF(tblAssets[[#This Row],[Asset ID]]="","",tblAssets[[#This Row],[Current Value]]-tblAssets[[#This Row],[Purchase Value]])</f>
        <v>0</v>
      </c>
      <c r="J41" s="11">
        <f>IF(OR(tblAssets[[#This Row],[Asset ID]]="",tblAssets[[#This Row],[Purchase Value]]=0),"",tblAssets[[#This Row],[Appreciation Amount]]/tblAssets[[#This Row],[Purchase Value]])</f>
        <v>0</v>
      </c>
      <c r="K41" s="2"/>
      <c r="L41" s="2"/>
      <c r="M41" s="2"/>
    </row>
    <row r="42" spans="1:13" x14ac:dyDescent="0.3">
      <c r="A42" s="1"/>
      <c r="B42" s="2"/>
      <c r="C42" s="2"/>
      <c r="D42" s="2"/>
      <c r="E42" s="2"/>
      <c r="F42" s="4"/>
      <c r="G42" s="2"/>
      <c r="H42" s="2"/>
      <c r="I42" s="1">
        <f>IF(tblAssets[[#This Row],[Asset ID]]="","",tblAssets[[#This Row],[Current Value]]-tblAssets[[#This Row],[Purchase Value]])</f>
        <v>0</v>
      </c>
      <c r="J42" s="11">
        <f>IF(OR(tblAssets[[#This Row],[Asset ID]]="",tblAssets[[#This Row],[Purchase Value]]=0),"",tblAssets[[#This Row],[Appreciation Amount]]/tblAssets[[#This Row],[Purchase Value]])</f>
        <v>0</v>
      </c>
      <c r="K42" s="2"/>
      <c r="L42" s="2"/>
      <c r="M42" s="2"/>
    </row>
    <row r="43" spans="1:13" x14ac:dyDescent="0.3">
      <c r="A43" s="1"/>
      <c r="B43" s="2"/>
      <c r="C43" s="2"/>
      <c r="D43" s="2"/>
      <c r="E43" s="2"/>
      <c r="F43" s="4"/>
      <c r="G43" s="2"/>
      <c r="H43" s="2"/>
      <c r="I43" s="1">
        <f>IF(tblAssets[[#This Row],[Asset ID]]="","",tblAssets[[#This Row],[Current Value]]-tblAssets[[#This Row],[Purchase Value]])</f>
        <v>0</v>
      </c>
      <c r="J43" s="11">
        <f>IF(OR(tblAssets[[#This Row],[Asset ID]]="",tblAssets[[#This Row],[Purchase Value]]=0),"",tblAssets[[#This Row],[Appreciation Amount]]/tblAssets[[#This Row],[Purchase Value]])</f>
        <v>0</v>
      </c>
      <c r="K43" s="2"/>
      <c r="L43" s="2"/>
      <c r="M43" s="2"/>
    </row>
    <row r="44" spans="1:13" x14ac:dyDescent="0.3">
      <c r="A44" s="1"/>
      <c r="B44" s="2"/>
      <c r="C44" s="2"/>
      <c r="D44" s="2"/>
      <c r="E44" s="2"/>
      <c r="F44" s="4"/>
      <c r="G44" s="2"/>
      <c r="H44" s="2"/>
      <c r="I44" s="1">
        <f>IF(tblAssets[[#This Row],[Asset ID]]="","",tblAssets[[#This Row],[Current Value]]-tblAssets[[#This Row],[Purchase Value]])</f>
        <v>0</v>
      </c>
      <c r="J44" s="11">
        <f>IF(OR(tblAssets[[#This Row],[Asset ID]]="",tblAssets[[#This Row],[Purchase Value]]=0),"",tblAssets[[#This Row],[Appreciation Amount]]/tblAssets[[#This Row],[Purchase Value]])</f>
        <v>0</v>
      </c>
      <c r="K44" s="2"/>
      <c r="L44" s="2"/>
      <c r="M44" s="2"/>
    </row>
    <row r="45" spans="1:13" x14ac:dyDescent="0.3">
      <c r="A45" s="1"/>
      <c r="B45" s="2"/>
      <c r="C45" s="2"/>
      <c r="D45" s="2"/>
      <c r="E45" s="2"/>
      <c r="F45" s="4"/>
      <c r="G45" s="2"/>
      <c r="H45" s="2"/>
      <c r="I45" s="1">
        <f>IF(tblAssets[[#This Row],[Asset ID]]="","",tblAssets[[#This Row],[Current Value]]-tblAssets[[#This Row],[Purchase Value]])</f>
        <v>0</v>
      </c>
      <c r="J45" s="11">
        <f>IF(OR(tblAssets[[#This Row],[Asset ID]]="",tblAssets[[#This Row],[Purchase Value]]=0),"",tblAssets[[#This Row],[Appreciation Amount]]/tblAssets[[#This Row],[Purchase Value]])</f>
        <v>0</v>
      </c>
      <c r="K45" s="2"/>
      <c r="L45" s="2"/>
      <c r="M45" s="2"/>
    </row>
    <row r="46" spans="1:13" x14ac:dyDescent="0.3">
      <c r="A46" s="1"/>
      <c r="B46" s="2"/>
      <c r="C46" s="2"/>
      <c r="D46" s="2"/>
      <c r="E46" s="2"/>
      <c r="F46" s="4"/>
      <c r="G46" s="2"/>
      <c r="H46" s="2"/>
      <c r="I46" s="1">
        <f>IF(tblAssets[[#This Row],[Asset ID]]="","",tblAssets[[#This Row],[Current Value]]-tblAssets[[#This Row],[Purchase Value]])</f>
        <v>0</v>
      </c>
      <c r="J46" s="11">
        <f>IF(OR(tblAssets[[#This Row],[Asset ID]]="",tblAssets[[#This Row],[Purchase Value]]=0),"",tblAssets[[#This Row],[Appreciation Amount]]/tblAssets[[#This Row],[Purchase Value]])</f>
        <v>0</v>
      </c>
      <c r="K46" s="2"/>
      <c r="L46" s="2"/>
      <c r="M46" s="2"/>
    </row>
    <row r="47" spans="1:13" x14ac:dyDescent="0.3">
      <c r="A47" s="1"/>
      <c r="B47" s="2"/>
      <c r="C47" s="2"/>
      <c r="D47" s="2"/>
      <c r="E47" s="2"/>
      <c r="F47" s="4"/>
      <c r="G47" s="2"/>
      <c r="H47" s="2"/>
      <c r="I47" s="1">
        <f>IF(tblAssets[[#This Row],[Asset ID]]="","",tblAssets[[#This Row],[Current Value]]-tblAssets[[#This Row],[Purchase Value]])</f>
        <v>0</v>
      </c>
      <c r="J47" s="11">
        <f>IF(OR(tblAssets[[#This Row],[Asset ID]]="",tblAssets[[#This Row],[Purchase Value]]=0),"",tblAssets[[#This Row],[Appreciation Amount]]/tblAssets[[#This Row],[Purchase Value]])</f>
        <v>0</v>
      </c>
      <c r="K47" s="2"/>
      <c r="L47" s="2"/>
      <c r="M47" s="2"/>
    </row>
    <row r="48" spans="1:13" x14ac:dyDescent="0.3">
      <c r="A48" s="1"/>
      <c r="B48" s="2"/>
      <c r="C48" s="2"/>
      <c r="D48" s="2"/>
      <c r="E48" s="2"/>
      <c r="F48" s="4"/>
      <c r="G48" s="2"/>
      <c r="H48" s="2"/>
      <c r="I48" s="1">
        <f>IF(tblAssets[[#This Row],[Asset ID]]="","",tblAssets[[#This Row],[Current Value]]-tblAssets[[#This Row],[Purchase Value]])</f>
        <v>0</v>
      </c>
      <c r="J48" s="11">
        <f>IF(OR(tblAssets[[#This Row],[Asset ID]]="",tblAssets[[#This Row],[Purchase Value]]=0),"",tblAssets[[#This Row],[Appreciation Amount]]/tblAssets[[#This Row],[Purchase Value]])</f>
        <v>0</v>
      </c>
      <c r="K48" s="2"/>
      <c r="L48" s="2"/>
      <c r="M48" s="2"/>
    </row>
    <row r="49" spans="1:13" x14ac:dyDescent="0.3">
      <c r="A49" s="1"/>
      <c r="B49" s="2"/>
      <c r="C49" s="2"/>
      <c r="D49" s="2"/>
      <c r="E49" s="2"/>
      <c r="F49" s="4"/>
      <c r="G49" s="2"/>
      <c r="H49" s="2"/>
      <c r="I49" s="1">
        <f>IF(tblAssets[[#This Row],[Asset ID]]="","",tblAssets[[#This Row],[Current Value]]-tblAssets[[#This Row],[Purchase Value]])</f>
        <v>0</v>
      </c>
      <c r="J49" s="11">
        <f>IF(OR(tblAssets[[#This Row],[Asset ID]]="",tblAssets[[#This Row],[Purchase Value]]=0),"",tblAssets[[#This Row],[Appreciation Amount]]/tblAssets[[#This Row],[Purchase Value]])</f>
        <v>0</v>
      </c>
      <c r="K49" s="2"/>
      <c r="L49" s="2"/>
      <c r="M49" s="2"/>
    </row>
    <row r="50" spans="1:13" x14ac:dyDescent="0.3">
      <c r="A50" s="1"/>
      <c r="B50" s="2"/>
      <c r="C50" s="2"/>
      <c r="D50" s="2"/>
      <c r="E50" s="2"/>
      <c r="F50" s="4"/>
      <c r="G50" s="2"/>
      <c r="H50" s="2"/>
      <c r="I50" s="1">
        <f>IF(tblAssets[[#This Row],[Asset ID]]="","",tblAssets[[#This Row],[Current Value]]-tblAssets[[#This Row],[Purchase Value]])</f>
        <v>0</v>
      </c>
      <c r="J50" s="11">
        <f>IF(OR(tblAssets[[#This Row],[Asset ID]]="",tblAssets[[#This Row],[Purchase Value]]=0),"",tblAssets[[#This Row],[Appreciation Amount]]/tblAssets[[#This Row],[Purchase Value]])</f>
        <v>0</v>
      </c>
      <c r="K50" s="2"/>
      <c r="L50" s="2"/>
      <c r="M50" s="2"/>
    </row>
    <row r="51" spans="1:13" x14ac:dyDescent="0.3">
      <c r="A51" s="1"/>
      <c r="B51" s="2"/>
      <c r="C51" s="2"/>
      <c r="D51" s="2"/>
      <c r="E51" s="2"/>
      <c r="F51" s="4"/>
      <c r="G51" s="2"/>
      <c r="H51" s="2"/>
      <c r="I51" s="1">
        <f>IF(tblAssets[[#This Row],[Asset ID]]="","",tblAssets[[#This Row],[Current Value]]-tblAssets[[#This Row],[Purchase Value]])</f>
        <v>0</v>
      </c>
      <c r="J51" s="11">
        <f>IF(OR(tblAssets[[#This Row],[Asset ID]]="",tblAssets[[#This Row],[Purchase Value]]=0),"",tblAssets[[#This Row],[Appreciation Amount]]/tblAssets[[#This Row],[Purchase Value]])</f>
        <v>0</v>
      </c>
      <c r="K51" s="2"/>
      <c r="L51" s="2"/>
      <c r="M51" s="2"/>
    </row>
    <row r="52" spans="1:13" x14ac:dyDescent="0.3">
      <c r="A52" s="1"/>
      <c r="B52" s="2"/>
      <c r="C52" s="2"/>
      <c r="D52" s="2"/>
      <c r="E52" s="2"/>
      <c r="F52" s="4"/>
      <c r="G52" s="2"/>
      <c r="H52" s="2"/>
      <c r="I52" s="1">
        <f>IF(tblAssets[[#This Row],[Asset ID]]="","",tblAssets[[#This Row],[Current Value]]-tblAssets[[#This Row],[Purchase Value]])</f>
        <v>0</v>
      </c>
      <c r="J52" s="11">
        <f>IF(OR(tblAssets[[#This Row],[Asset ID]]="",tblAssets[[#This Row],[Purchase Value]]=0),"",tblAssets[[#This Row],[Appreciation Amount]]/tblAssets[[#This Row],[Purchase Value]])</f>
        <v>0</v>
      </c>
      <c r="K52" s="2"/>
      <c r="L52" s="2"/>
      <c r="M52" s="2"/>
    </row>
    <row r="53" spans="1:13" x14ac:dyDescent="0.3">
      <c r="A53" s="1"/>
      <c r="B53" s="2"/>
      <c r="C53" s="2"/>
      <c r="D53" s="2"/>
      <c r="E53" s="2"/>
      <c r="F53" s="4"/>
      <c r="G53" s="2"/>
      <c r="H53" s="2"/>
      <c r="I53" s="1">
        <f>IF(tblAssets[[#This Row],[Asset ID]]="","",tblAssets[[#This Row],[Current Value]]-tblAssets[[#This Row],[Purchase Value]])</f>
        <v>0</v>
      </c>
      <c r="J53" s="11">
        <f>IF(OR(tblAssets[[#This Row],[Asset ID]]="",tblAssets[[#This Row],[Purchase Value]]=0),"",tblAssets[[#This Row],[Appreciation Amount]]/tblAssets[[#This Row],[Purchase Value]])</f>
        <v>0</v>
      </c>
      <c r="K53" s="2"/>
      <c r="L53" s="2"/>
      <c r="M53" s="2"/>
    </row>
    <row r="54" spans="1:13" x14ac:dyDescent="0.3">
      <c r="A54" s="1"/>
      <c r="B54" s="2"/>
      <c r="C54" s="2"/>
      <c r="D54" s="2"/>
      <c r="E54" s="2"/>
      <c r="F54" s="4"/>
      <c r="G54" s="2"/>
      <c r="H54" s="2"/>
      <c r="I54" s="1">
        <f>IF(tblAssets[[#This Row],[Asset ID]]="","",tblAssets[[#This Row],[Current Value]]-tblAssets[[#This Row],[Purchase Value]])</f>
        <v>0</v>
      </c>
      <c r="J54" s="11">
        <f>IF(OR(tblAssets[[#This Row],[Asset ID]]="",tblAssets[[#This Row],[Purchase Value]]=0),"",tblAssets[[#This Row],[Appreciation Amount]]/tblAssets[[#This Row],[Purchase Value]])</f>
        <v>0</v>
      </c>
      <c r="K54" s="2"/>
      <c r="L54" s="2"/>
      <c r="M54" s="2"/>
    </row>
    <row r="55" spans="1:13" x14ac:dyDescent="0.3">
      <c r="A55" s="1"/>
      <c r="B55" s="2"/>
      <c r="C55" s="2"/>
      <c r="D55" s="2"/>
      <c r="E55" s="2"/>
      <c r="F55" s="4"/>
      <c r="G55" s="2"/>
      <c r="H55" s="2"/>
      <c r="I55" s="1">
        <f>IF(tblAssets[[#This Row],[Asset ID]]="","",tblAssets[[#This Row],[Current Value]]-tblAssets[[#This Row],[Purchase Value]])</f>
        <v>0</v>
      </c>
      <c r="J55" s="11">
        <f>IF(OR(tblAssets[[#This Row],[Asset ID]]="",tblAssets[[#This Row],[Purchase Value]]=0),"",tblAssets[[#This Row],[Appreciation Amount]]/tblAssets[[#This Row],[Purchase Value]])</f>
        <v>0</v>
      </c>
      <c r="K55" s="2"/>
      <c r="L55" s="2"/>
      <c r="M55" s="2"/>
    </row>
    <row r="56" spans="1:13" x14ac:dyDescent="0.3">
      <c r="A56" s="1"/>
      <c r="B56" s="2"/>
      <c r="C56" s="2"/>
      <c r="D56" s="2"/>
      <c r="E56" s="2"/>
      <c r="F56" s="4"/>
      <c r="G56" s="2"/>
      <c r="H56" s="2"/>
      <c r="I56" s="1">
        <f>IF(tblAssets[[#This Row],[Asset ID]]="","",tblAssets[[#This Row],[Current Value]]-tblAssets[[#This Row],[Purchase Value]])</f>
        <v>0</v>
      </c>
      <c r="J56" s="11">
        <f>IF(OR(tblAssets[[#This Row],[Asset ID]]="",tblAssets[[#This Row],[Purchase Value]]=0),"",tblAssets[[#This Row],[Appreciation Amount]]/tblAssets[[#This Row],[Purchase Value]])</f>
        <v>0</v>
      </c>
      <c r="K56" s="2"/>
      <c r="L56" s="2"/>
      <c r="M56" s="2"/>
    </row>
    <row r="57" spans="1:13" x14ac:dyDescent="0.3">
      <c r="A57" s="1"/>
      <c r="B57" s="2"/>
      <c r="C57" s="2"/>
      <c r="D57" s="2"/>
      <c r="E57" s="2"/>
      <c r="F57" s="4"/>
      <c r="G57" s="2"/>
      <c r="H57" s="2"/>
      <c r="I57" s="1">
        <f>IF(tblAssets[[#This Row],[Asset ID]]="","",tblAssets[[#This Row],[Current Value]]-tblAssets[[#This Row],[Purchase Value]])</f>
        <v>0</v>
      </c>
      <c r="J57" s="11">
        <f>IF(OR(tblAssets[[#This Row],[Asset ID]]="",tblAssets[[#This Row],[Purchase Value]]=0),"",tblAssets[[#This Row],[Appreciation Amount]]/tblAssets[[#This Row],[Purchase Value]])</f>
        <v>0</v>
      </c>
      <c r="K57" s="2"/>
      <c r="L57" s="2"/>
      <c r="M57" s="2"/>
    </row>
    <row r="58" spans="1:13" x14ac:dyDescent="0.3">
      <c r="A58" s="1"/>
      <c r="B58" s="2"/>
      <c r="C58" s="2"/>
      <c r="D58" s="2"/>
      <c r="E58" s="2"/>
      <c r="F58" s="4"/>
      <c r="G58" s="2"/>
      <c r="H58" s="2"/>
      <c r="I58" s="1">
        <f>IF(tblAssets[[#This Row],[Asset ID]]="","",tblAssets[[#This Row],[Current Value]]-tblAssets[[#This Row],[Purchase Value]])</f>
        <v>0</v>
      </c>
      <c r="J58" s="11">
        <f>IF(OR(tblAssets[[#This Row],[Asset ID]]="",tblAssets[[#This Row],[Purchase Value]]=0),"",tblAssets[[#This Row],[Appreciation Amount]]/tblAssets[[#This Row],[Purchase Value]])</f>
        <v>0</v>
      </c>
      <c r="K58" s="2"/>
      <c r="L58" s="2"/>
      <c r="M58" s="2"/>
    </row>
    <row r="59" spans="1:13" x14ac:dyDescent="0.3">
      <c r="A59" s="1"/>
      <c r="B59" s="2"/>
      <c r="C59" s="2"/>
      <c r="D59" s="2"/>
      <c r="E59" s="2"/>
      <c r="F59" s="4"/>
      <c r="G59" s="2"/>
      <c r="H59" s="2"/>
      <c r="I59" s="1">
        <f>IF(tblAssets[[#This Row],[Asset ID]]="","",tblAssets[[#This Row],[Current Value]]-tblAssets[[#This Row],[Purchase Value]])</f>
        <v>0</v>
      </c>
      <c r="J59" s="11">
        <f>IF(OR(tblAssets[[#This Row],[Asset ID]]="",tblAssets[[#This Row],[Purchase Value]]=0),"",tblAssets[[#This Row],[Appreciation Amount]]/tblAssets[[#This Row],[Purchase Value]])</f>
        <v>0</v>
      </c>
      <c r="K59" s="2"/>
      <c r="L59" s="2"/>
      <c r="M59" s="2"/>
    </row>
    <row r="60" spans="1:13" x14ac:dyDescent="0.3">
      <c r="A60" s="1"/>
      <c r="B60" s="2"/>
      <c r="C60" s="2"/>
      <c r="D60" s="2"/>
      <c r="E60" s="2"/>
      <c r="F60" s="4"/>
      <c r="G60" s="2"/>
      <c r="H60" s="2"/>
      <c r="I60" s="1">
        <f>IF(tblAssets[[#This Row],[Asset ID]]="","",tblAssets[[#This Row],[Current Value]]-tblAssets[[#This Row],[Purchase Value]])</f>
        <v>0</v>
      </c>
      <c r="J60" s="11">
        <f>IF(OR(tblAssets[[#This Row],[Asset ID]]="",tblAssets[[#This Row],[Purchase Value]]=0),"",tblAssets[[#This Row],[Appreciation Amount]]/tblAssets[[#This Row],[Purchase Value]])</f>
        <v>0</v>
      </c>
      <c r="K60" s="2"/>
      <c r="L60" s="2"/>
      <c r="M60" s="2"/>
    </row>
    <row r="61" spans="1:13" x14ac:dyDescent="0.3">
      <c r="A61" s="1"/>
      <c r="B61" s="2"/>
      <c r="C61" s="2"/>
      <c r="D61" s="2"/>
      <c r="E61" s="2"/>
      <c r="F61" s="4"/>
      <c r="G61" s="2"/>
      <c r="H61" s="2"/>
      <c r="I61" s="1">
        <f>IF(tblAssets[[#This Row],[Asset ID]]="","",tblAssets[[#This Row],[Current Value]]-tblAssets[[#This Row],[Purchase Value]])</f>
        <v>0</v>
      </c>
      <c r="J61" s="11">
        <f>IF(OR(tblAssets[[#This Row],[Asset ID]]="",tblAssets[[#This Row],[Purchase Value]]=0),"",tblAssets[[#This Row],[Appreciation Amount]]/tblAssets[[#This Row],[Purchase Value]])</f>
        <v>0</v>
      </c>
      <c r="K61" s="2"/>
      <c r="L61" s="2"/>
      <c r="M61" s="2"/>
    </row>
    <row r="62" spans="1:13" x14ac:dyDescent="0.3">
      <c r="A62" s="1"/>
      <c r="B62" s="2"/>
      <c r="C62" s="2"/>
      <c r="D62" s="2"/>
      <c r="E62" s="2"/>
      <c r="F62" s="4"/>
      <c r="G62" s="2"/>
      <c r="H62" s="2"/>
      <c r="I62" s="1">
        <f>IF(tblAssets[[#This Row],[Asset ID]]="","",tblAssets[[#This Row],[Current Value]]-tblAssets[[#This Row],[Purchase Value]])</f>
        <v>0</v>
      </c>
      <c r="J62" s="11">
        <f>IF(OR(tblAssets[[#This Row],[Asset ID]]="",tblAssets[[#This Row],[Purchase Value]]=0),"",tblAssets[[#This Row],[Appreciation Amount]]/tblAssets[[#This Row],[Purchase Value]])</f>
        <v>0</v>
      </c>
      <c r="K62" s="2"/>
      <c r="L62" s="2"/>
      <c r="M62" s="2"/>
    </row>
    <row r="63" spans="1:13" x14ac:dyDescent="0.3">
      <c r="A63" s="1"/>
      <c r="B63" s="2"/>
      <c r="C63" s="2"/>
      <c r="D63" s="2"/>
      <c r="E63" s="2"/>
      <c r="F63" s="4"/>
      <c r="G63" s="2"/>
      <c r="H63" s="2"/>
      <c r="I63" s="1">
        <f>IF(tblAssets[[#This Row],[Asset ID]]="","",tblAssets[[#This Row],[Current Value]]-tblAssets[[#This Row],[Purchase Value]])</f>
        <v>0</v>
      </c>
      <c r="J63" s="11">
        <f>IF(OR(tblAssets[[#This Row],[Asset ID]]="",tblAssets[[#This Row],[Purchase Value]]=0),"",tblAssets[[#This Row],[Appreciation Amount]]/tblAssets[[#This Row],[Purchase Value]])</f>
        <v>0</v>
      </c>
      <c r="K63" s="2"/>
      <c r="L63" s="2"/>
      <c r="M63" s="2"/>
    </row>
    <row r="64" spans="1:13" x14ac:dyDescent="0.3">
      <c r="A64" s="1"/>
      <c r="B64" s="2"/>
      <c r="C64" s="2"/>
      <c r="D64" s="2"/>
      <c r="E64" s="2"/>
      <c r="F64" s="4"/>
      <c r="G64" s="2"/>
      <c r="H64" s="2"/>
      <c r="I64" s="1">
        <f>IF(tblAssets[[#This Row],[Asset ID]]="","",tblAssets[[#This Row],[Current Value]]-tblAssets[[#This Row],[Purchase Value]])</f>
        <v>0</v>
      </c>
      <c r="J64" s="11">
        <f>IF(OR(tblAssets[[#This Row],[Asset ID]]="",tblAssets[[#This Row],[Purchase Value]]=0),"",tblAssets[[#This Row],[Appreciation Amount]]/tblAssets[[#This Row],[Purchase Value]])</f>
        <v>0</v>
      </c>
      <c r="K64" s="2"/>
      <c r="L64" s="2"/>
      <c r="M64" s="2"/>
    </row>
    <row r="65" spans="1:13" x14ac:dyDescent="0.3">
      <c r="A65" s="1"/>
      <c r="B65" s="2"/>
      <c r="C65" s="2"/>
      <c r="D65" s="2"/>
      <c r="E65" s="2"/>
      <c r="F65" s="4"/>
      <c r="G65" s="2"/>
      <c r="H65" s="2"/>
      <c r="I65" s="1">
        <f>IF(tblAssets[[#This Row],[Asset ID]]="","",tblAssets[[#This Row],[Current Value]]-tblAssets[[#This Row],[Purchase Value]])</f>
        <v>0</v>
      </c>
      <c r="J65" s="11">
        <f>IF(OR(tblAssets[[#This Row],[Asset ID]]="",tblAssets[[#This Row],[Purchase Value]]=0),"",tblAssets[[#This Row],[Appreciation Amount]]/tblAssets[[#This Row],[Purchase Value]])</f>
        <v>0</v>
      </c>
      <c r="K65" s="2"/>
      <c r="L65" s="2"/>
      <c r="M65" s="2"/>
    </row>
    <row r="66" spans="1:13" x14ac:dyDescent="0.3">
      <c r="A66" s="1"/>
      <c r="B66" s="2"/>
      <c r="C66" s="2"/>
      <c r="D66" s="2"/>
      <c r="E66" s="2"/>
      <c r="F66" s="4"/>
      <c r="G66" s="2"/>
      <c r="H66" s="2"/>
      <c r="I66" s="1">
        <f>IF(tblAssets[[#This Row],[Asset ID]]="","",tblAssets[[#This Row],[Current Value]]-tblAssets[[#This Row],[Purchase Value]])</f>
        <v>0</v>
      </c>
      <c r="J66" s="11">
        <f>IF(OR(tblAssets[[#This Row],[Asset ID]]="",tblAssets[[#This Row],[Purchase Value]]=0),"",tblAssets[[#This Row],[Appreciation Amount]]/tblAssets[[#This Row],[Purchase Value]])</f>
        <v>0</v>
      </c>
      <c r="K66" s="2"/>
      <c r="L66" s="2"/>
      <c r="M66" s="2"/>
    </row>
    <row r="67" spans="1:13" x14ac:dyDescent="0.3">
      <c r="A67" s="1"/>
      <c r="B67" s="2"/>
      <c r="C67" s="2"/>
      <c r="D67" s="2"/>
      <c r="E67" s="2"/>
      <c r="F67" s="4"/>
      <c r="G67" s="2"/>
      <c r="H67" s="2"/>
      <c r="I67" s="1">
        <f>IF(tblAssets[[#This Row],[Asset ID]]="","",tblAssets[[#This Row],[Current Value]]-tblAssets[[#This Row],[Purchase Value]])</f>
        <v>0</v>
      </c>
      <c r="J67" s="11">
        <f>IF(OR(tblAssets[[#This Row],[Asset ID]]="",tblAssets[[#This Row],[Purchase Value]]=0),"",tblAssets[[#This Row],[Appreciation Amount]]/tblAssets[[#This Row],[Purchase Value]])</f>
        <v>0</v>
      </c>
      <c r="K67" s="2"/>
      <c r="L67" s="2"/>
      <c r="M67" s="2"/>
    </row>
    <row r="68" spans="1:13" x14ac:dyDescent="0.3">
      <c r="A68" s="1"/>
      <c r="B68" s="2"/>
      <c r="C68" s="2"/>
      <c r="D68" s="2"/>
      <c r="E68" s="2"/>
      <c r="F68" s="4"/>
      <c r="G68" s="2"/>
      <c r="H68" s="2"/>
      <c r="I68" s="1">
        <f>IF(tblAssets[[#This Row],[Asset ID]]="","",tblAssets[[#This Row],[Current Value]]-tblAssets[[#This Row],[Purchase Value]])</f>
        <v>0</v>
      </c>
      <c r="J68" s="11">
        <f>IF(OR(tblAssets[[#This Row],[Asset ID]]="",tblAssets[[#This Row],[Purchase Value]]=0),"",tblAssets[[#This Row],[Appreciation Amount]]/tblAssets[[#This Row],[Purchase Value]])</f>
        <v>0</v>
      </c>
      <c r="K68" s="2"/>
      <c r="L68" s="2"/>
      <c r="M68" s="2"/>
    </row>
    <row r="69" spans="1:13" x14ac:dyDescent="0.3">
      <c r="A69" s="1"/>
      <c r="B69" s="2"/>
      <c r="C69" s="2"/>
      <c r="D69" s="2"/>
      <c r="E69" s="2"/>
      <c r="F69" s="4"/>
      <c r="G69" s="2"/>
      <c r="H69" s="2"/>
      <c r="I69" s="1">
        <f>IF(tblAssets[[#This Row],[Asset ID]]="","",tblAssets[[#This Row],[Current Value]]-tblAssets[[#This Row],[Purchase Value]])</f>
        <v>0</v>
      </c>
      <c r="J69" s="11">
        <f>IF(OR(tblAssets[[#This Row],[Asset ID]]="",tblAssets[[#This Row],[Purchase Value]]=0),"",tblAssets[[#This Row],[Appreciation Amount]]/tblAssets[[#This Row],[Purchase Value]])</f>
        <v>0</v>
      </c>
      <c r="K69" s="2"/>
      <c r="L69" s="2"/>
      <c r="M69" s="2"/>
    </row>
    <row r="70" spans="1:13" x14ac:dyDescent="0.3">
      <c r="A70" s="1"/>
      <c r="B70" s="2"/>
      <c r="C70" s="2"/>
      <c r="D70" s="2"/>
      <c r="E70" s="2"/>
      <c r="F70" s="4"/>
      <c r="G70" s="2"/>
      <c r="H70" s="2"/>
      <c r="I70" s="1">
        <f>IF(tblAssets[[#This Row],[Asset ID]]="","",tblAssets[[#This Row],[Current Value]]-tblAssets[[#This Row],[Purchase Value]])</f>
        <v>0</v>
      </c>
      <c r="J70" s="11">
        <f>IF(OR(tblAssets[[#This Row],[Asset ID]]="",tblAssets[[#This Row],[Purchase Value]]=0),"",tblAssets[[#This Row],[Appreciation Amount]]/tblAssets[[#This Row],[Purchase Value]])</f>
        <v>0</v>
      </c>
      <c r="K70" s="2"/>
      <c r="L70" s="2"/>
      <c r="M70" s="2"/>
    </row>
    <row r="71" spans="1:13" x14ac:dyDescent="0.3">
      <c r="A71" s="1"/>
      <c r="B71" s="2"/>
      <c r="C71" s="2"/>
      <c r="D71" s="2"/>
      <c r="E71" s="2"/>
      <c r="F71" s="4"/>
      <c r="G71" s="2"/>
      <c r="H71" s="2"/>
      <c r="I71" s="1">
        <f>IF(tblAssets[[#This Row],[Asset ID]]="","",tblAssets[[#This Row],[Current Value]]-tblAssets[[#This Row],[Purchase Value]])</f>
        <v>0</v>
      </c>
      <c r="J71" s="11">
        <f>IF(OR(tblAssets[[#This Row],[Asset ID]]="",tblAssets[[#This Row],[Purchase Value]]=0),"",tblAssets[[#This Row],[Appreciation Amount]]/tblAssets[[#This Row],[Purchase Value]])</f>
        <v>0</v>
      </c>
      <c r="K71" s="2"/>
      <c r="L71" s="2"/>
      <c r="M71" s="2"/>
    </row>
    <row r="72" spans="1:13" x14ac:dyDescent="0.3">
      <c r="A72" s="1"/>
      <c r="B72" s="2"/>
      <c r="C72" s="2"/>
      <c r="D72" s="2"/>
      <c r="E72" s="2"/>
      <c r="F72" s="4"/>
      <c r="G72" s="2"/>
      <c r="H72" s="2"/>
      <c r="I72" s="1">
        <f>IF(tblAssets[[#This Row],[Asset ID]]="","",tblAssets[[#This Row],[Current Value]]-tblAssets[[#This Row],[Purchase Value]])</f>
        <v>0</v>
      </c>
      <c r="J72" s="11">
        <f>IF(OR(tblAssets[[#This Row],[Asset ID]]="",tblAssets[[#This Row],[Purchase Value]]=0),"",tblAssets[[#This Row],[Appreciation Amount]]/tblAssets[[#This Row],[Purchase Value]])</f>
        <v>0</v>
      </c>
      <c r="K72" s="2"/>
      <c r="L72" s="2"/>
      <c r="M72" s="2"/>
    </row>
    <row r="73" spans="1:13" x14ac:dyDescent="0.3">
      <c r="A73" s="1"/>
      <c r="B73" s="2"/>
      <c r="C73" s="2"/>
      <c r="D73" s="2"/>
      <c r="E73" s="2"/>
      <c r="F73" s="4"/>
      <c r="G73" s="2"/>
      <c r="H73" s="2"/>
      <c r="I73" s="1">
        <f>IF(tblAssets[[#This Row],[Asset ID]]="","",tblAssets[[#This Row],[Current Value]]-tblAssets[[#This Row],[Purchase Value]])</f>
        <v>0</v>
      </c>
      <c r="J73" s="11">
        <f>IF(OR(tblAssets[[#This Row],[Asset ID]]="",tblAssets[[#This Row],[Purchase Value]]=0),"",tblAssets[[#This Row],[Appreciation Amount]]/tblAssets[[#This Row],[Purchase Value]])</f>
        <v>0</v>
      </c>
      <c r="K73" s="2"/>
      <c r="L73" s="2"/>
      <c r="M73" s="2"/>
    </row>
    <row r="74" spans="1:13" x14ac:dyDescent="0.3">
      <c r="A74" s="1"/>
      <c r="B74" s="2"/>
      <c r="C74" s="2"/>
      <c r="D74" s="2"/>
      <c r="E74" s="2"/>
      <c r="F74" s="4"/>
      <c r="G74" s="2"/>
      <c r="H74" s="2"/>
      <c r="I74" s="1">
        <f>IF(tblAssets[[#This Row],[Asset ID]]="","",tblAssets[[#This Row],[Current Value]]-tblAssets[[#This Row],[Purchase Value]])</f>
        <v>0</v>
      </c>
      <c r="J74" s="11">
        <f>IF(OR(tblAssets[[#This Row],[Asset ID]]="",tblAssets[[#This Row],[Purchase Value]]=0),"",tblAssets[[#This Row],[Appreciation Amount]]/tblAssets[[#This Row],[Purchase Value]])</f>
        <v>0</v>
      </c>
      <c r="K74" s="2"/>
      <c r="L74" s="2"/>
      <c r="M74" s="2"/>
    </row>
    <row r="75" spans="1:13" x14ac:dyDescent="0.3">
      <c r="A75" s="1"/>
      <c r="B75" s="2"/>
      <c r="C75" s="2"/>
      <c r="D75" s="2"/>
      <c r="E75" s="2"/>
      <c r="F75" s="4"/>
      <c r="G75" s="2"/>
      <c r="H75" s="2"/>
      <c r="I75" s="1">
        <f>IF(tblAssets[[#This Row],[Asset ID]]="","",tblAssets[[#This Row],[Current Value]]-tblAssets[[#This Row],[Purchase Value]])</f>
        <v>0</v>
      </c>
      <c r="J75" s="11">
        <f>IF(OR(tblAssets[[#This Row],[Asset ID]]="",tblAssets[[#This Row],[Purchase Value]]=0),"",tblAssets[[#This Row],[Appreciation Amount]]/tblAssets[[#This Row],[Purchase Value]])</f>
        <v>0</v>
      </c>
      <c r="K75" s="2"/>
      <c r="L75" s="2"/>
      <c r="M75" s="2"/>
    </row>
    <row r="76" spans="1:13" x14ac:dyDescent="0.3">
      <c r="A76" s="1"/>
      <c r="B76" s="2"/>
      <c r="C76" s="2"/>
      <c r="D76" s="2"/>
      <c r="E76" s="2"/>
      <c r="F76" s="4"/>
      <c r="G76" s="2"/>
      <c r="H76" s="2"/>
      <c r="I76" s="1">
        <f>IF(tblAssets[[#This Row],[Asset ID]]="","",tblAssets[[#This Row],[Current Value]]-tblAssets[[#This Row],[Purchase Value]])</f>
        <v>0</v>
      </c>
      <c r="J76" s="11">
        <f>IF(OR(tblAssets[[#This Row],[Asset ID]]="",tblAssets[[#This Row],[Purchase Value]]=0),"",tblAssets[[#This Row],[Appreciation Amount]]/tblAssets[[#This Row],[Purchase Value]])</f>
        <v>0</v>
      </c>
      <c r="K76" s="2"/>
      <c r="L76" s="2"/>
      <c r="M76" s="2"/>
    </row>
    <row r="77" spans="1:13" x14ac:dyDescent="0.3">
      <c r="A77" s="1"/>
      <c r="B77" s="2"/>
      <c r="C77" s="2"/>
      <c r="D77" s="2"/>
      <c r="E77" s="2"/>
      <c r="F77" s="4"/>
      <c r="G77" s="2"/>
      <c r="H77" s="2"/>
      <c r="I77" s="1">
        <f>IF(tblAssets[[#This Row],[Asset ID]]="","",tblAssets[[#This Row],[Current Value]]-tblAssets[[#This Row],[Purchase Value]])</f>
        <v>0</v>
      </c>
      <c r="J77" s="11">
        <f>IF(OR(tblAssets[[#This Row],[Asset ID]]="",tblAssets[[#This Row],[Purchase Value]]=0),"",tblAssets[[#This Row],[Appreciation Amount]]/tblAssets[[#This Row],[Purchase Value]])</f>
        <v>0</v>
      </c>
      <c r="K77" s="2"/>
      <c r="L77" s="2"/>
      <c r="M77" s="2"/>
    </row>
    <row r="78" spans="1:13" x14ac:dyDescent="0.3">
      <c r="A78" s="1"/>
      <c r="B78" s="2"/>
      <c r="C78" s="2"/>
      <c r="D78" s="2"/>
      <c r="E78" s="2"/>
      <c r="F78" s="4"/>
      <c r="G78" s="2"/>
      <c r="H78" s="2"/>
      <c r="I78" s="1">
        <f>IF(tblAssets[[#This Row],[Asset ID]]="","",tblAssets[[#This Row],[Current Value]]-tblAssets[[#This Row],[Purchase Value]])</f>
        <v>0</v>
      </c>
      <c r="J78" s="11">
        <f>IF(OR(tblAssets[[#This Row],[Asset ID]]="",tblAssets[[#This Row],[Purchase Value]]=0),"",tblAssets[[#This Row],[Appreciation Amount]]/tblAssets[[#This Row],[Purchase Value]])</f>
        <v>0</v>
      </c>
      <c r="K78" s="2"/>
      <c r="L78" s="2"/>
      <c r="M78" s="2"/>
    </row>
    <row r="79" spans="1:13" x14ac:dyDescent="0.3">
      <c r="A79" s="1"/>
      <c r="B79" s="2"/>
      <c r="C79" s="2"/>
      <c r="D79" s="2"/>
      <c r="E79" s="2"/>
      <c r="F79" s="4"/>
      <c r="G79" s="2"/>
      <c r="H79" s="2"/>
      <c r="I79" s="1">
        <f>IF(tblAssets[[#This Row],[Asset ID]]="","",tblAssets[[#This Row],[Current Value]]-tblAssets[[#This Row],[Purchase Value]])</f>
        <v>0</v>
      </c>
      <c r="J79" s="11">
        <f>IF(OR(tblAssets[[#This Row],[Asset ID]]="",tblAssets[[#This Row],[Purchase Value]]=0),"",tblAssets[[#This Row],[Appreciation Amount]]/tblAssets[[#This Row],[Purchase Value]])</f>
        <v>0</v>
      </c>
      <c r="K79" s="2"/>
      <c r="L79" s="2"/>
      <c r="M79" s="2"/>
    </row>
    <row r="80" spans="1:13" x14ac:dyDescent="0.3">
      <c r="A80" s="1"/>
      <c r="B80" s="2"/>
      <c r="C80" s="2"/>
      <c r="D80" s="2"/>
      <c r="E80" s="2"/>
      <c r="F80" s="4"/>
      <c r="G80" s="2"/>
      <c r="H80" s="2"/>
      <c r="I80" s="1">
        <f>IF(tblAssets[[#This Row],[Asset ID]]="","",tblAssets[[#This Row],[Current Value]]-tblAssets[[#This Row],[Purchase Value]])</f>
        <v>0</v>
      </c>
      <c r="J80" s="11">
        <f>IF(OR(tblAssets[[#This Row],[Asset ID]]="",tblAssets[[#This Row],[Purchase Value]]=0),"",tblAssets[[#This Row],[Appreciation Amount]]/tblAssets[[#This Row],[Purchase Value]])</f>
        <v>0</v>
      </c>
      <c r="K80" s="2"/>
      <c r="L80" s="2"/>
      <c r="M80" s="2"/>
    </row>
    <row r="81" spans="1:13" x14ac:dyDescent="0.3">
      <c r="A81" s="1"/>
      <c r="B81" s="2"/>
      <c r="C81" s="2"/>
      <c r="D81" s="2"/>
      <c r="E81" s="2"/>
      <c r="F81" s="4"/>
      <c r="G81" s="2"/>
      <c r="H81" s="2"/>
      <c r="I81" s="1">
        <f>IF(tblAssets[[#This Row],[Asset ID]]="","",tblAssets[[#This Row],[Current Value]]-tblAssets[[#This Row],[Purchase Value]])</f>
        <v>0</v>
      </c>
      <c r="J81" s="11">
        <f>IF(OR(tblAssets[[#This Row],[Asset ID]]="",tblAssets[[#This Row],[Purchase Value]]=0),"",tblAssets[[#This Row],[Appreciation Amount]]/tblAssets[[#This Row],[Purchase Value]])</f>
        <v>0</v>
      </c>
      <c r="K81" s="2"/>
      <c r="L81" s="2"/>
      <c r="M81" s="2"/>
    </row>
    <row r="82" spans="1:13" x14ac:dyDescent="0.3">
      <c r="A82" s="1"/>
      <c r="B82" s="2"/>
      <c r="C82" s="2"/>
      <c r="D82" s="2"/>
      <c r="E82" s="2"/>
      <c r="F82" s="4"/>
      <c r="G82" s="2"/>
      <c r="H82" s="2"/>
      <c r="I82" s="1">
        <f>IF(tblAssets[[#This Row],[Asset ID]]="","",tblAssets[[#This Row],[Current Value]]-tblAssets[[#This Row],[Purchase Value]])</f>
        <v>0</v>
      </c>
      <c r="J82" s="11">
        <f>IF(OR(tblAssets[[#This Row],[Asset ID]]="",tblAssets[[#This Row],[Purchase Value]]=0),"",tblAssets[[#This Row],[Appreciation Amount]]/tblAssets[[#This Row],[Purchase Value]])</f>
        <v>0</v>
      </c>
      <c r="K82" s="2"/>
      <c r="L82" s="2"/>
      <c r="M82" s="2"/>
    </row>
    <row r="83" spans="1:13" x14ac:dyDescent="0.3">
      <c r="A83" s="1"/>
      <c r="B83" s="2"/>
      <c r="C83" s="2"/>
      <c r="D83" s="2"/>
      <c r="E83" s="2"/>
      <c r="F83" s="4"/>
      <c r="G83" s="2"/>
      <c r="H83" s="2"/>
      <c r="I83" s="1">
        <f>IF(tblAssets[[#This Row],[Asset ID]]="","",tblAssets[[#This Row],[Current Value]]-tblAssets[[#This Row],[Purchase Value]])</f>
        <v>0</v>
      </c>
      <c r="J83" s="11">
        <f>IF(OR(tblAssets[[#This Row],[Asset ID]]="",tblAssets[[#This Row],[Purchase Value]]=0),"",tblAssets[[#This Row],[Appreciation Amount]]/tblAssets[[#This Row],[Purchase Value]])</f>
        <v>0</v>
      </c>
      <c r="K83" s="2"/>
      <c r="L83" s="2"/>
      <c r="M83" s="2"/>
    </row>
    <row r="84" spans="1:13" x14ac:dyDescent="0.3">
      <c r="A84" s="1"/>
      <c r="B84" s="2"/>
      <c r="C84" s="2"/>
      <c r="D84" s="2"/>
      <c r="E84" s="2"/>
      <c r="F84" s="4"/>
      <c r="G84" s="2"/>
      <c r="H84" s="2"/>
      <c r="I84" s="1">
        <f>IF(tblAssets[[#This Row],[Asset ID]]="","",tblAssets[[#This Row],[Current Value]]-tblAssets[[#This Row],[Purchase Value]])</f>
        <v>0</v>
      </c>
      <c r="J84" s="11">
        <f>IF(OR(tblAssets[[#This Row],[Asset ID]]="",tblAssets[[#This Row],[Purchase Value]]=0),"",tblAssets[[#This Row],[Appreciation Amount]]/tblAssets[[#This Row],[Purchase Value]])</f>
        <v>0</v>
      </c>
      <c r="K84" s="2"/>
      <c r="L84" s="2"/>
      <c r="M84" s="2"/>
    </row>
    <row r="85" spans="1:13" x14ac:dyDescent="0.3">
      <c r="A85" s="1"/>
      <c r="B85" s="2"/>
      <c r="C85" s="2"/>
      <c r="D85" s="2"/>
      <c r="E85" s="2"/>
      <c r="F85" s="4"/>
      <c r="G85" s="2"/>
      <c r="H85" s="2"/>
      <c r="I85" s="1">
        <f>IF(tblAssets[[#This Row],[Asset ID]]="","",tblAssets[[#This Row],[Current Value]]-tblAssets[[#This Row],[Purchase Value]])</f>
        <v>0</v>
      </c>
      <c r="J85" s="11">
        <f>IF(OR(tblAssets[[#This Row],[Asset ID]]="",tblAssets[[#This Row],[Purchase Value]]=0),"",tblAssets[[#This Row],[Appreciation Amount]]/tblAssets[[#This Row],[Purchase Value]])</f>
        <v>0</v>
      </c>
      <c r="K85" s="2"/>
      <c r="L85" s="2"/>
      <c r="M85" s="2"/>
    </row>
    <row r="86" spans="1:13" x14ac:dyDescent="0.3">
      <c r="A86" s="1"/>
      <c r="B86" s="2"/>
      <c r="C86" s="2"/>
      <c r="D86" s="2"/>
      <c r="E86" s="2"/>
      <c r="F86" s="4"/>
      <c r="G86" s="2"/>
      <c r="H86" s="2"/>
      <c r="I86" s="1">
        <f>IF(tblAssets[[#This Row],[Asset ID]]="","",tblAssets[[#This Row],[Current Value]]-tblAssets[[#This Row],[Purchase Value]])</f>
        <v>0</v>
      </c>
      <c r="J86" s="11">
        <f>IF(OR(tblAssets[[#This Row],[Asset ID]]="",tblAssets[[#This Row],[Purchase Value]]=0),"",tblAssets[[#This Row],[Appreciation Amount]]/tblAssets[[#This Row],[Purchase Value]])</f>
        <v>0</v>
      </c>
      <c r="K86" s="2"/>
      <c r="L86" s="2"/>
      <c r="M86" s="2"/>
    </row>
    <row r="87" spans="1:13" x14ac:dyDescent="0.3">
      <c r="A87" s="1"/>
      <c r="B87" s="2"/>
      <c r="C87" s="2"/>
      <c r="D87" s="2"/>
      <c r="E87" s="2"/>
      <c r="F87" s="4"/>
      <c r="G87" s="2"/>
      <c r="H87" s="2"/>
      <c r="I87" s="1">
        <f>IF(tblAssets[[#This Row],[Asset ID]]="","",tblAssets[[#This Row],[Current Value]]-tblAssets[[#This Row],[Purchase Value]])</f>
        <v>0</v>
      </c>
      <c r="J87" s="11">
        <f>IF(OR(tblAssets[[#This Row],[Asset ID]]="",tblAssets[[#This Row],[Purchase Value]]=0),"",tblAssets[[#This Row],[Appreciation Amount]]/tblAssets[[#This Row],[Purchase Value]])</f>
        <v>0</v>
      </c>
      <c r="K87" s="2"/>
      <c r="L87" s="2"/>
      <c r="M87" s="2"/>
    </row>
    <row r="88" spans="1:13" x14ac:dyDescent="0.3">
      <c r="A88" s="1"/>
      <c r="B88" s="2"/>
      <c r="C88" s="2"/>
      <c r="D88" s="2"/>
      <c r="E88" s="2"/>
      <c r="F88" s="4"/>
      <c r="G88" s="2"/>
      <c r="H88" s="2"/>
      <c r="I88" s="1">
        <f>IF(tblAssets[[#This Row],[Asset ID]]="","",tblAssets[[#This Row],[Current Value]]-tblAssets[[#This Row],[Purchase Value]])</f>
        <v>0</v>
      </c>
      <c r="J88" s="11">
        <f>IF(OR(tblAssets[[#This Row],[Asset ID]]="",tblAssets[[#This Row],[Purchase Value]]=0),"",tblAssets[[#This Row],[Appreciation Amount]]/tblAssets[[#This Row],[Purchase Value]])</f>
        <v>0</v>
      </c>
      <c r="K88" s="2"/>
      <c r="L88" s="2"/>
      <c r="M88" s="2"/>
    </row>
    <row r="89" spans="1:13" x14ac:dyDescent="0.3">
      <c r="A89" s="1"/>
      <c r="B89" s="2"/>
      <c r="C89" s="2"/>
      <c r="D89" s="2"/>
      <c r="E89" s="2"/>
      <c r="F89" s="4"/>
      <c r="G89" s="2"/>
      <c r="H89" s="2"/>
      <c r="I89" s="1">
        <f>IF(tblAssets[[#This Row],[Asset ID]]="","",tblAssets[[#This Row],[Current Value]]-tblAssets[[#This Row],[Purchase Value]])</f>
        <v>0</v>
      </c>
      <c r="J89" s="11">
        <f>IF(OR(tblAssets[[#This Row],[Asset ID]]="",tblAssets[[#This Row],[Purchase Value]]=0),"",tblAssets[[#This Row],[Appreciation Amount]]/tblAssets[[#This Row],[Purchase Value]])</f>
        <v>0</v>
      </c>
      <c r="K89" s="2"/>
      <c r="L89" s="2"/>
      <c r="M89" s="2"/>
    </row>
    <row r="90" spans="1:13" x14ac:dyDescent="0.3">
      <c r="A90" s="1"/>
      <c r="B90" s="2"/>
      <c r="C90" s="2"/>
      <c r="D90" s="2"/>
      <c r="E90" s="2"/>
      <c r="F90" s="4"/>
      <c r="G90" s="2"/>
      <c r="H90" s="2"/>
      <c r="I90" s="1">
        <f>IF(tblAssets[[#This Row],[Asset ID]]="","",tblAssets[[#This Row],[Current Value]]-tblAssets[[#This Row],[Purchase Value]])</f>
        <v>0</v>
      </c>
      <c r="J90" s="11">
        <f>IF(OR(tblAssets[[#This Row],[Asset ID]]="",tblAssets[[#This Row],[Purchase Value]]=0),"",tblAssets[[#This Row],[Appreciation Amount]]/tblAssets[[#This Row],[Purchase Value]])</f>
        <v>0</v>
      </c>
      <c r="K90" s="2"/>
      <c r="L90" s="2"/>
      <c r="M90" s="2"/>
    </row>
    <row r="91" spans="1:13" x14ac:dyDescent="0.3">
      <c r="A91" s="1"/>
      <c r="B91" s="2"/>
      <c r="C91" s="2"/>
      <c r="D91" s="2"/>
      <c r="E91" s="2"/>
      <c r="F91" s="4"/>
      <c r="G91" s="2"/>
      <c r="H91" s="2"/>
      <c r="I91" s="1">
        <f>IF(tblAssets[[#This Row],[Asset ID]]="","",tblAssets[[#This Row],[Current Value]]-tblAssets[[#This Row],[Purchase Value]])</f>
        <v>0</v>
      </c>
      <c r="J91" s="11">
        <f>IF(OR(tblAssets[[#This Row],[Asset ID]]="",tblAssets[[#This Row],[Purchase Value]]=0),"",tblAssets[[#This Row],[Appreciation Amount]]/tblAssets[[#This Row],[Purchase Value]])</f>
        <v>0</v>
      </c>
      <c r="K91" s="2"/>
      <c r="L91" s="2"/>
      <c r="M91" s="2"/>
    </row>
    <row r="92" spans="1:13" x14ac:dyDescent="0.3">
      <c r="A92" s="1"/>
      <c r="B92" s="2"/>
      <c r="C92" s="2"/>
      <c r="D92" s="2"/>
      <c r="E92" s="2"/>
      <c r="F92" s="4"/>
      <c r="G92" s="2"/>
      <c r="H92" s="2"/>
      <c r="I92" s="1">
        <f>IF(tblAssets[[#This Row],[Asset ID]]="","",tblAssets[[#This Row],[Current Value]]-tblAssets[[#This Row],[Purchase Value]])</f>
        <v>0</v>
      </c>
      <c r="J92" s="11">
        <f>IF(OR(tblAssets[[#This Row],[Asset ID]]="",tblAssets[[#This Row],[Purchase Value]]=0),"",tblAssets[[#This Row],[Appreciation Amount]]/tblAssets[[#This Row],[Purchase Value]])</f>
        <v>0</v>
      </c>
      <c r="K92" s="2"/>
      <c r="L92" s="2"/>
      <c r="M92" s="2"/>
    </row>
    <row r="93" spans="1:13" x14ac:dyDescent="0.3">
      <c r="A93" s="1"/>
      <c r="B93" s="2"/>
      <c r="C93" s="2"/>
      <c r="D93" s="2"/>
      <c r="E93" s="2"/>
      <c r="F93" s="4"/>
      <c r="G93" s="2"/>
      <c r="H93" s="2"/>
      <c r="I93" s="1">
        <f>IF(tblAssets[[#This Row],[Asset ID]]="","",tblAssets[[#This Row],[Current Value]]-tblAssets[[#This Row],[Purchase Value]])</f>
        <v>0</v>
      </c>
      <c r="J93" s="11">
        <f>IF(OR(tblAssets[[#This Row],[Asset ID]]="",tblAssets[[#This Row],[Purchase Value]]=0),"",tblAssets[[#This Row],[Appreciation Amount]]/tblAssets[[#This Row],[Purchase Value]])</f>
        <v>0</v>
      </c>
      <c r="K93" s="2"/>
      <c r="L93" s="2"/>
      <c r="M93" s="2"/>
    </row>
    <row r="94" spans="1:13" x14ac:dyDescent="0.3">
      <c r="A94" s="1"/>
      <c r="B94" s="2"/>
      <c r="C94" s="2"/>
      <c r="D94" s="2"/>
      <c r="E94" s="2"/>
      <c r="F94" s="4"/>
      <c r="G94" s="2"/>
      <c r="H94" s="2"/>
      <c r="I94" s="1">
        <f>IF(tblAssets[[#This Row],[Asset ID]]="","",tblAssets[[#This Row],[Current Value]]-tblAssets[[#This Row],[Purchase Value]])</f>
        <v>0</v>
      </c>
      <c r="J94" s="11">
        <f>IF(OR(tblAssets[[#This Row],[Asset ID]]="",tblAssets[[#This Row],[Purchase Value]]=0),"",tblAssets[[#This Row],[Appreciation Amount]]/tblAssets[[#This Row],[Purchase Value]])</f>
        <v>0</v>
      </c>
      <c r="K94" s="2"/>
      <c r="L94" s="2"/>
      <c r="M94" s="2"/>
    </row>
    <row r="95" spans="1:13" x14ac:dyDescent="0.3">
      <c r="A95" s="1"/>
      <c r="B95" s="2"/>
      <c r="C95" s="2"/>
      <c r="D95" s="2"/>
      <c r="E95" s="2"/>
      <c r="F95" s="4"/>
      <c r="G95" s="2"/>
      <c r="H95" s="2"/>
      <c r="I95" s="1">
        <f>IF(tblAssets[[#This Row],[Asset ID]]="","",tblAssets[[#This Row],[Current Value]]-tblAssets[[#This Row],[Purchase Value]])</f>
        <v>0</v>
      </c>
      <c r="J95" s="11">
        <f>IF(OR(tblAssets[[#This Row],[Asset ID]]="",tblAssets[[#This Row],[Purchase Value]]=0),"",tblAssets[[#This Row],[Appreciation Amount]]/tblAssets[[#This Row],[Purchase Value]])</f>
        <v>0</v>
      </c>
      <c r="K95" s="2"/>
      <c r="L95" s="2"/>
      <c r="M95" s="2"/>
    </row>
    <row r="96" spans="1:13" x14ac:dyDescent="0.3">
      <c r="A96" s="1"/>
      <c r="B96" s="2"/>
      <c r="C96" s="2"/>
      <c r="D96" s="2"/>
      <c r="E96" s="2"/>
      <c r="F96" s="4"/>
      <c r="G96" s="2"/>
      <c r="H96" s="2"/>
      <c r="I96" s="1">
        <f>IF(tblAssets[[#This Row],[Asset ID]]="","",tblAssets[[#This Row],[Current Value]]-tblAssets[[#This Row],[Purchase Value]])</f>
        <v>0</v>
      </c>
      <c r="J96" s="11">
        <f>IF(OR(tblAssets[[#This Row],[Asset ID]]="",tblAssets[[#This Row],[Purchase Value]]=0),"",tblAssets[[#This Row],[Appreciation Amount]]/tblAssets[[#This Row],[Purchase Value]])</f>
        <v>0</v>
      </c>
      <c r="K96" s="2"/>
      <c r="L96" s="2"/>
      <c r="M96" s="2"/>
    </row>
    <row r="97" spans="1:13" x14ac:dyDescent="0.3">
      <c r="A97" s="1"/>
      <c r="B97" s="2"/>
      <c r="C97" s="2"/>
      <c r="D97" s="2"/>
      <c r="E97" s="2"/>
      <c r="F97" s="4"/>
      <c r="G97" s="2"/>
      <c r="H97" s="2"/>
      <c r="I97" s="1">
        <f>IF(tblAssets[[#This Row],[Asset ID]]="","",tblAssets[[#This Row],[Current Value]]-tblAssets[[#This Row],[Purchase Value]])</f>
        <v>0</v>
      </c>
      <c r="J97" s="11">
        <f>IF(OR(tblAssets[[#This Row],[Asset ID]]="",tblAssets[[#This Row],[Purchase Value]]=0),"",tblAssets[[#This Row],[Appreciation Amount]]/tblAssets[[#This Row],[Purchase Value]])</f>
        <v>0</v>
      </c>
      <c r="K97" s="2"/>
      <c r="L97" s="2"/>
      <c r="M97" s="2"/>
    </row>
    <row r="98" spans="1:13" x14ac:dyDescent="0.3">
      <c r="A98" s="1"/>
      <c r="B98" s="2"/>
      <c r="C98" s="2"/>
      <c r="D98" s="2"/>
      <c r="E98" s="2"/>
      <c r="F98" s="4"/>
      <c r="G98" s="2"/>
      <c r="H98" s="2"/>
      <c r="I98" s="1">
        <f>IF(tblAssets[[#This Row],[Asset ID]]="","",tblAssets[[#This Row],[Current Value]]-tblAssets[[#This Row],[Purchase Value]])</f>
        <v>0</v>
      </c>
      <c r="J98" s="11">
        <f>IF(OR(tblAssets[[#This Row],[Asset ID]]="",tblAssets[[#This Row],[Purchase Value]]=0),"",tblAssets[[#This Row],[Appreciation Amount]]/tblAssets[[#This Row],[Purchase Value]])</f>
        <v>0</v>
      </c>
      <c r="K98" s="2"/>
      <c r="L98" s="2"/>
      <c r="M98" s="2"/>
    </row>
    <row r="99" spans="1:13" x14ac:dyDescent="0.3">
      <c r="A99" s="1"/>
      <c r="B99" s="2"/>
      <c r="C99" s="2"/>
      <c r="D99" s="2"/>
      <c r="E99" s="2"/>
      <c r="F99" s="4"/>
      <c r="G99" s="2"/>
      <c r="H99" s="2"/>
      <c r="I99" s="1">
        <f>IF(tblAssets[[#This Row],[Asset ID]]="","",tblAssets[[#This Row],[Current Value]]-tblAssets[[#This Row],[Purchase Value]])</f>
        <v>0</v>
      </c>
      <c r="J99" s="11">
        <f>IF(OR(tblAssets[[#This Row],[Asset ID]]="",tblAssets[[#This Row],[Purchase Value]]=0),"",tblAssets[[#This Row],[Appreciation Amount]]/tblAssets[[#This Row],[Purchase Value]])</f>
        <v>0</v>
      </c>
      <c r="K99" s="2"/>
      <c r="L99" s="2"/>
      <c r="M99" s="2"/>
    </row>
    <row r="100" spans="1:13" x14ac:dyDescent="0.3">
      <c r="A100" s="1"/>
      <c r="B100" s="2"/>
      <c r="C100" s="2"/>
      <c r="D100" s="2"/>
      <c r="E100" s="2"/>
      <c r="F100" s="4"/>
      <c r="G100" s="2"/>
      <c r="H100" s="2"/>
      <c r="I100" s="1">
        <f>IF(tblAssets[[#This Row],[Asset ID]]="","",tblAssets[[#This Row],[Current Value]]-tblAssets[[#This Row],[Purchase Value]])</f>
        <v>0</v>
      </c>
      <c r="J100" s="11">
        <f>IF(OR(tblAssets[[#This Row],[Asset ID]]="",tblAssets[[#This Row],[Purchase Value]]=0),"",tblAssets[[#This Row],[Appreciation Amount]]/tblAssets[[#This Row],[Purchase Value]])</f>
        <v>0</v>
      </c>
      <c r="K100" s="2"/>
      <c r="L100" s="2"/>
      <c r="M100" s="2"/>
    </row>
    <row r="101" spans="1:13" x14ac:dyDescent="0.3">
      <c r="A101" s="1"/>
      <c r="B101" s="2"/>
      <c r="C101" s="2"/>
      <c r="D101" s="2"/>
      <c r="E101" s="2"/>
      <c r="F101" s="4"/>
      <c r="G101" s="2"/>
      <c r="H101" s="2"/>
      <c r="I101" s="1">
        <f>IF(tblAssets[[#This Row],[Asset ID]]="","",tblAssets[[#This Row],[Current Value]]-tblAssets[[#This Row],[Purchase Value]])</f>
        <v>0</v>
      </c>
      <c r="J101" s="11">
        <f>IF(OR(tblAssets[[#This Row],[Asset ID]]="",tblAssets[[#This Row],[Purchase Value]]=0),"",tblAssets[[#This Row],[Appreciation Amount]]/tblAssets[[#This Row],[Purchase Value]])</f>
        <v>0</v>
      </c>
      <c r="K101" s="2"/>
      <c r="L101" s="2"/>
      <c r="M101" s="2"/>
    </row>
    <row r="102" spans="1:13" x14ac:dyDescent="0.3">
      <c r="A102" s="1"/>
      <c r="B102" s="2"/>
      <c r="C102" s="2"/>
      <c r="D102" s="2"/>
      <c r="E102" s="2"/>
      <c r="F102" s="4"/>
      <c r="G102" s="2"/>
      <c r="H102" s="2"/>
      <c r="I102" s="1">
        <f>IF(tblAssets[[#This Row],[Asset ID]]="","",tblAssets[[#This Row],[Current Value]]-tblAssets[[#This Row],[Purchase Value]])</f>
        <v>0</v>
      </c>
      <c r="J102" s="11">
        <f>IF(OR(tblAssets[[#This Row],[Asset ID]]="",tblAssets[[#This Row],[Purchase Value]]=0),"",tblAssets[[#This Row],[Appreciation Amount]]/tblAssets[[#This Row],[Purchase Value]])</f>
        <v>0</v>
      </c>
      <c r="K102" s="2"/>
      <c r="L102" s="2"/>
      <c r="M102" s="2"/>
    </row>
    <row r="103" spans="1:13" x14ac:dyDescent="0.3">
      <c r="A103" s="1"/>
      <c r="B103" s="2"/>
      <c r="C103" s="2"/>
      <c r="D103" s="2"/>
      <c r="E103" s="2"/>
      <c r="F103" s="4"/>
      <c r="G103" s="2"/>
      <c r="H103" s="2"/>
      <c r="I103" s="1">
        <f>IF(tblAssets[[#This Row],[Asset ID]]="","",tblAssets[[#This Row],[Current Value]]-tblAssets[[#This Row],[Purchase Value]])</f>
        <v>0</v>
      </c>
      <c r="J103" s="11">
        <f>IF(OR(tblAssets[[#This Row],[Asset ID]]="",tblAssets[[#This Row],[Purchase Value]]=0),"",tblAssets[[#This Row],[Appreciation Amount]]/tblAssets[[#This Row],[Purchase Value]])</f>
        <v>0</v>
      </c>
      <c r="K103" s="2"/>
      <c r="L103" s="2"/>
      <c r="M103" s="2"/>
    </row>
    <row r="104" spans="1:13" x14ac:dyDescent="0.3">
      <c r="A104" s="1"/>
      <c r="B104" s="2"/>
      <c r="C104" s="2"/>
      <c r="D104" s="2"/>
      <c r="E104" s="2"/>
      <c r="F104" s="4"/>
      <c r="G104" s="2"/>
      <c r="H104" s="2"/>
      <c r="I104" s="1">
        <f>IF(tblAssets[[#This Row],[Asset ID]]="","",tblAssets[[#This Row],[Current Value]]-tblAssets[[#This Row],[Purchase Value]])</f>
        <v>0</v>
      </c>
      <c r="J104" s="11">
        <f>IF(OR(tblAssets[[#This Row],[Asset ID]]="",tblAssets[[#This Row],[Purchase Value]]=0),"",tblAssets[[#This Row],[Appreciation Amount]]/tblAssets[[#This Row],[Purchase Value]])</f>
        <v>0</v>
      </c>
      <c r="K104" s="2"/>
      <c r="L104" s="2"/>
      <c r="M104" s="2"/>
    </row>
    <row r="105" spans="1:13" x14ac:dyDescent="0.3">
      <c r="A105" s="1"/>
      <c r="B105" s="2"/>
      <c r="C105" s="2"/>
      <c r="D105" s="2"/>
      <c r="E105" s="2"/>
      <c r="F105" s="4"/>
      <c r="G105" s="2"/>
      <c r="H105" s="2"/>
      <c r="I105" s="1">
        <f>IF(tblAssets[[#This Row],[Asset ID]]="","",tblAssets[[#This Row],[Current Value]]-tblAssets[[#This Row],[Purchase Value]])</f>
        <v>0</v>
      </c>
      <c r="J105" s="11">
        <f>IF(OR(tblAssets[[#This Row],[Asset ID]]="",tblAssets[[#This Row],[Purchase Value]]=0),"",tblAssets[[#This Row],[Appreciation Amount]]/tblAssets[[#This Row],[Purchase Value]])</f>
        <v>0</v>
      </c>
      <c r="K105" s="2"/>
      <c r="L105" s="2"/>
      <c r="M105" s="2"/>
    </row>
    <row r="106" spans="1:13" x14ac:dyDescent="0.3">
      <c r="A106" s="1"/>
      <c r="B106" s="2"/>
      <c r="C106" s="2"/>
      <c r="D106" s="2"/>
      <c r="E106" s="2"/>
      <c r="F106" s="4"/>
      <c r="G106" s="2"/>
      <c r="H106" s="2"/>
      <c r="I106" s="1">
        <f>IF(tblAssets[[#This Row],[Asset ID]]="","",tblAssets[[#This Row],[Current Value]]-tblAssets[[#This Row],[Purchase Value]])</f>
        <v>0</v>
      </c>
      <c r="J106" s="11">
        <f>IF(OR(tblAssets[[#This Row],[Asset ID]]="",tblAssets[[#This Row],[Purchase Value]]=0),"",tblAssets[[#This Row],[Appreciation Amount]]/tblAssets[[#This Row],[Purchase Value]])</f>
        <v>0</v>
      </c>
      <c r="K106" s="2"/>
      <c r="L106" s="2"/>
      <c r="M106" s="2"/>
    </row>
    <row r="107" spans="1:13" x14ac:dyDescent="0.3">
      <c r="A107" s="1"/>
      <c r="B107" s="2"/>
      <c r="C107" s="2"/>
      <c r="D107" s="2"/>
      <c r="E107" s="2"/>
      <c r="F107" s="4"/>
      <c r="G107" s="2"/>
      <c r="H107" s="2"/>
      <c r="I107" s="1">
        <f>IF(tblAssets[[#This Row],[Asset ID]]="","",tblAssets[[#This Row],[Current Value]]-tblAssets[[#This Row],[Purchase Value]])</f>
        <v>0</v>
      </c>
      <c r="J107" s="11">
        <f>IF(OR(tblAssets[[#This Row],[Asset ID]]="",tblAssets[[#This Row],[Purchase Value]]=0),"",tblAssets[[#This Row],[Appreciation Amount]]/tblAssets[[#This Row],[Purchase Value]])</f>
        <v>0</v>
      </c>
      <c r="K107" s="2"/>
      <c r="L107" s="2"/>
      <c r="M107" s="2"/>
    </row>
    <row r="108" spans="1:13" x14ac:dyDescent="0.3">
      <c r="A108" s="1"/>
      <c r="B108" s="2"/>
      <c r="C108" s="2"/>
      <c r="D108" s="2"/>
      <c r="E108" s="2"/>
      <c r="F108" s="4"/>
      <c r="G108" s="2"/>
      <c r="H108" s="2"/>
      <c r="I108" s="1">
        <f>IF(tblAssets[[#This Row],[Asset ID]]="","",tblAssets[[#This Row],[Current Value]]-tblAssets[[#This Row],[Purchase Value]])</f>
        <v>0</v>
      </c>
      <c r="J108" s="11">
        <f>IF(OR(tblAssets[[#This Row],[Asset ID]]="",tblAssets[[#This Row],[Purchase Value]]=0),"",tblAssets[[#This Row],[Appreciation Amount]]/tblAssets[[#This Row],[Purchase Value]])</f>
        <v>0</v>
      </c>
      <c r="K108" s="2"/>
      <c r="L108" s="2"/>
      <c r="M108" s="2"/>
    </row>
    <row r="109" spans="1:13" x14ac:dyDescent="0.3">
      <c r="A109" s="1"/>
      <c r="B109" s="2"/>
      <c r="C109" s="2"/>
      <c r="D109" s="2"/>
      <c r="E109" s="2"/>
      <c r="F109" s="4"/>
      <c r="G109" s="2"/>
      <c r="H109" s="2"/>
      <c r="I109" s="1">
        <f>IF(tblAssets[[#This Row],[Asset ID]]="","",tblAssets[[#This Row],[Current Value]]-tblAssets[[#This Row],[Purchase Value]])</f>
        <v>0</v>
      </c>
      <c r="J109" s="11">
        <f>IF(OR(tblAssets[[#This Row],[Asset ID]]="",tblAssets[[#This Row],[Purchase Value]]=0),"",tblAssets[[#This Row],[Appreciation Amount]]/tblAssets[[#This Row],[Purchase Value]])</f>
        <v>0</v>
      </c>
      <c r="K109" s="2"/>
      <c r="L109" s="2"/>
      <c r="M109" s="2"/>
    </row>
    <row r="110" spans="1:13" x14ac:dyDescent="0.3">
      <c r="A110" s="1"/>
      <c r="B110" s="2"/>
      <c r="C110" s="2"/>
      <c r="D110" s="2"/>
      <c r="E110" s="2"/>
      <c r="F110" s="4"/>
      <c r="G110" s="2"/>
      <c r="H110" s="2"/>
      <c r="I110" s="1">
        <f>IF(tblAssets[[#This Row],[Asset ID]]="","",tblAssets[[#This Row],[Current Value]]-tblAssets[[#This Row],[Purchase Value]])</f>
        <v>0</v>
      </c>
      <c r="J110" s="11">
        <f>IF(OR(tblAssets[[#This Row],[Asset ID]]="",tblAssets[[#This Row],[Purchase Value]]=0),"",tblAssets[[#This Row],[Appreciation Amount]]/tblAssets[[#This Row],[Purchase Value]])</f>
        <v>0</v>
      </c>
      <c r="K110" s="2"/>
      <c r="L110" s="2"/>
      <c r="M110" s="2"/>
    </row>
    <row r="111" spans="1:13" x14ac:dyDescent="0.3">
      <c r="A111" s="1"/>
      <c r="B111" s="2"/>
      <c r="C111" s="2"/>
      <c r="D111" s="2"/>
      <c r="E111" s="2"/>
      <c r="F111" s="4"/>
      <c r="G111" s="2"/>
      <c r="H111" s="2"/>
      <c r="I111" s="1">
        <f>IF(tblAssets[[#This Row],[Asset ID]]="","",tblAssets[[#This Row],[Current Value]]-tblAssets[[#This Row],[Purchase Value]])</f>
        <v>0</v>
      </c>
      <c r="J111" s="11">
        <f>IF(OR(tblAssets[[#This Row],[Asset ID]]="",tblAssets[[#This Row],[Purchase Value]]=0),"",tblAssets[[#This Row],[Appreciation Amount]]/tblAssets[[#This Row],[Purchase Value]])</f>
        <v>0</v>
      </c>
      <c r="K111" s="2"/>
      <c r="L111" s="2"/>
      <c r="M111" s="2"/>
    </row>
    <row r="112" spans="1:13" x14ac:dyDescent="0.3">
      <c r="A112" s="1"/>
      <c r="B112" s="2"/>
      <c r="C112" s="2"/>
      <c r="D112" s="2"/>
      <c r="E112" s="2"/>
      <c r="F112" s="4"/>
      <c r="G112" s="2"/>
      <c r="H112" s="2"/>
      <c r="I112" s="1">
        <f>IF(tblAssets[[#This Row],[Asset ID]]="","",tblAssets[[#This Row],[Current Value]]-tblAssets[[#This Row],[Purchase Value]])</f>
        <v>0</v>
      </c>
      <c r="J112" s="11">
        <f>IF(OR(tblAssets[[#This Row],[Asset ID]]="",tblAssets[[#This Row],[Purchase Value]]=0),"",tblAssets[[#This Row],[Appreciation Amount]]/tblAssets[[#This Row],[Purchase Value]])</f>
        <v>0</v>
      </c>
      <c r="K112" s="2"/>
      <c r="L112" s="2"/>
      <c r="M112" s="2"/>
    </row>
    <row r="113" spans="1:13" x14ac:dyDescent="0.3">
      <c r="A113" s="1"/>
      <c r="B113" s="2"/>
      <c r="C113" s="2"/>
      <c r="D113" s="2"/>
      <c r="E113" s="2"/>
      <c r="F113" s="4"/>
      <c r="G113" s="2"/>
      <c r="H113" s="2"/>
      <c r="I113" s="1">
        <f>IF(tblAssets[[#This Row],[Asset ID]]="","",tblAssets[[#This Row],[Current Value]]-tblAssets[[#This Row],[Purchase Value]])</f>
        <v>0</v>
      </c>
      <c r="J113" s="11">
        <f>IF(OR(tblAssets[[#This Row],[Asset ID]]="",tblAssets[[#This Row],[Purchase Value]]=0),"",tblAssets[[#This Row],[Appreciation Amount]]/tblAssets[[#This Row],[Purchase Value]])</f>
        <v>0</v>
      </c>
      <c r="K113" s="2"/>
      <c r="L113" s="2"/>
      <c r="M113" s="2"/>
    </row>
    <row r="114" spans="1:13" x14ac:dyDescent="0.3">
      <c r="A114" s="1"/>
      <c r="B114" s="2"/>
      <c r="C114" s="2"/>
      <c r="D114" s="2"/>
      <c r="E114" s="2"/>
      <c r="F114" s="4"/>
      <c r="G114" s="2"/>
      <c r="H114" s="2"/>
      <c r="I114" s="1">
        <f>IF(tblAssets[[#This Row],[Asset ID]]="","",tblAssets[[#This Row],[Current Value]]-tblAssets[[#This Row],[Purchase Value]])</f>
        <v>0</v>
      </c>
      <c r="J114" s="11">
        <f>IF(OR(tblAssets[[#This Row],[Asset ID]]="",tblAssets[[#This Row],[Purchase Value]]=0),"",tblAssets[[#This Row],[Appreciation Amount]]/tblAssets[[#This Row],[Purchase Value]])</f>
        <v>0</v>
      </c>
      <c r="K114" s="2"/>
      <c r="L114" s="2"/>
      <c r="M114" s="2"/>
    </row>
    <row r="115" spans="1:13" x14ac:dyDescent="0.3">
      <c r="A115" s="1"/>
      <c r="B115" s="2"/>
      <c r="C115" s="2"/>
      <c r="D115" s="2"/>
      <c r="E115" s="2"/>
      <c r="F115" s="4"/>
      <c r="G115" s="2"/>
      <c r="H115" s="2"/>
      <c r="I115" s="1">
        <f>IF(tblAssets[[#This Row],[Asset ID]]="","",tblAssets[[#This Row],[Current Value]]-tblAssets[[#This Row],[Purchase Value]])</f>
        <v>0</v>
      </c>
      <c r="J115" s="11">
        <f>IF(OR(tblAssets[[#This Row],[Asset ID]]="",tblAssets[[#This Row],[Purchase Value]]=0),"",tblAssets[[#This Row],[Appreciation Amount]]/tblAssets[[#This Row],[Purchase Value]])</f>
        <v>0</v>
      </c>
      <c r="K115" s="2"/>
      <c r="L115" s="2"/>
      <c r="M115" s="2"/>
    </row>
    <row r="116" spans="1:13" x14ac:dyDescent="0.3">
      <c r="A116" s="1"/>
      <c r="B116" s="2"/>
      <c r="C116" s="2"/>
      <c r="D116" s="2"/>
      <c r="E116" s="2"/>
      <c r="F116" s="4"/>
      <c r="G116" s="2"/>
      <c r="H116" s="2"/>
      <c r="I116" s="1">
        <f>IF(tblAssets[[#This Row],[Asset ID]]="","",tblAssets[[#This Row],[Current Value]]-tblAssets[[#This Row],[Purchase Value]])</f>
        <v>0</v>
      </c>
      <c r="J116" s="11">
        <f>IF(OR(tblAssets[[#This Row],[Asset ID]]="",tblAssets[[#This Row],[Purchase Value]]=0),"",tblAssets[[#This Row],[Appreciation Amount]]/tblAssets[[#This Row],[Purchase Value]])</f>
        <v>0</v>
      </c>
      <c r="K116" s="2"/>
      <c r="L116" s="2"/>
      <c r="M116" s="2"/>
    </row>
    <row r="117" spans="1:13" x14ac:dyDescent="0.3">
      <c r="A117" s="1"/>
      <c r="B117" s="2"/>
      <c r="C117" s="2"/>
      <c r="D117" s="2"/>
      <c r="E117" s="2"/>
      <c r="F117" s="4"/>
      <c r="G117" s="2"/>
      <c r="H117" s="2"/>
      <c r="I117" s="1">
        <f>IF(tblAssets[[#This Row],[Asset ID]]="","",tblAssets[[#This Row],[Current Value]]-tblAssets[[#This Row],[Purchase Value]])</f>
        <v>0</v>
      </c>
      <c r="J117" s="11">
        <f>IF(OR(tblAssets[[#This Row],[Asset ID]]="",tblAssets[[#This Row],[Purchase Value]]=0),"",tblAssets[[#This Row],[Appreciation Amount]]/tblAssets[[#This Row],[Purchase Value]])</f>
        <v>0</v>
      </c>
      <c r="K117" s="2"/>
      <c r="L117" s="2"/>
      <c r="M117" s="2"/>
    </row>
    <row r="118" spans="1:13" x14ac:dyDescent="0.3">
      <c r="A118" s="1"/>
      <c r="B118" s="2"/>
      <c r="C118" s="2"/>
      <c r="D118" s="2"/>
      <c r="E118" s="2"/>
      <c r="F118" s="4"/>
      <c r="G118" s="2"/>
      <c r="H118" s="2"/>
      <c r="I118" s="1">
        <f>IF(tblAssets[[#This Row],[Asset ID]]="","",tblAssets[[#This Row],[Current Value]]-tblAssets[[#This Row],[Purchase Value]])</f>
        <v>0</v>
      </c>
      <c r="J118" s="11">
        <f>IF(OR(tblAssets[[#This Row],[Asset ID]]="",tblAssets[[#This Row],[Purchase Value]]=0),"",tblAssets[[#This Row],[Appreciation Amount]]/tblAssets[[#This Row],[Purchase Value]])</f>
        <v>0</v>
      </c>
      <c r="K118" s="2"/>
      <c r="L118" s="2"/>
      <c r="M118" s="2"/>
    </row>
    <row r="119" spans="1:13" x14ac:dyDescent="0.3">
      <c r="A119" s="1"/>
      <c r="B119" s="2"/>
      <c r="C119" s="2"/>
      <c r="D119" s="2"/>
      <c r="E119" s="2"/>
      <c r="F119" s="4"/>
      <c r="G119" s="2"/>
      <c r="H119" s="2"/>
      <c r="I119" s="1">
        <f>IF(tblAssets[[#This Row],[Asset ID]]="","",tblAssets[[#This Row],[Current Value]]-tblAssets[[#This Row],[Purchase Value]])</f>
        <v>0</v>
      </c>
      <c r="J119" s="11">
        <f>IF(OR(tblAssets[[#This Row],[Asset ID]]="",tblAssets[[#This Row],[Purchase Value]]=0),"",tblAssets[[#This Row],[Appreciation Amount]]/tblAssets[[#This Row],[Purchase Value]])</f>
        <v>0</v>
      </c>
      <c r="K119" s="2"/>
      <c r="L119" s="2"/>
      <c r="M119" s="2"/>
    </row>
    <row r="120" spans="1:13" x14ac:dyDescent="0.3">
      <c r="A120" s="1"/>
      <c r="B120" s="2"/>
      <c r="C120" s="2"/>
      <c r="D120" s="2"/>
      <c r="E120" s="2"/>
      <c r="F120" s="4"/>
      <c r="G120" s="2"/>
      <c r="H120" s="2"/>
      <c r="I120" s="1">
        <f>IF(tblAssets[[#This Row],[Asset ID]]="","",tblAssets[[#This Row],[Current Value]]-tblAssets[[#This Row],[Purchase Value]])</f>
        <v>0</v>
      </c>
      <c r="J120" s="11">
        <f>IF(OR(tblAssets[[#This Row],[Asset ID]]="",tblAssets[[#This Row],[Purchase Value]]=0),"",tblAssets[[#This Row],[Appreciation Amount]]/tblAssets[[#This Row],[Purchase Value]])</f>
        <v>0</v>
      </c>
      <c r="K120" s="2"/>
      <c r="L120" s="2"/>
      <c r="M120" s="2"/>
    </row>
    <row r="121" spans="1:13" x14ac:dyDescent="0.3">
      <c r="A121" s="1"/>
      <c r="B121" s="2"/>
      <c r="C121" s="2"/>
      <c r="D121" s="2"/>
      <c r="E121" s="2"/>
      <c r="F121" s="4"/>
      <c r="G121" s="2"/>
      <c r="H121" s="2"/>
      <c r="I121" s="1">
        <f>IF(tblAssets[[#This Row],[Asset ID]]="","",tblAssets[[#This Row],[Current Value]]-tblAssets[[#This Row],[Purchase Value]])</f>
        <v>0</v>
      </c>
      <c r="J121" s="11">
        <f>IF(OR(tblAssets[[#This Row],[Asset ID]]="",tblAssets[[#This Row],[Purchase Value]]=0),"",tblAssets[[#This Row],[Appreciation Amount]]/tblAssets[[#This Row],[Purchase Value]])</f>
        <v>0</v>
      </c>
      <c r="K121" s="2"/>
      <c r="L121" s="2"/>
      <c r="M121" s="2"/>
    </row>
    <row r="122" spans="1:13" x14ac:dyDescent="0.3">
      <c r="A122" s="1"/>
      <c r="B122" s="2"/>
      <c r="C122" s="2"/>
      <c r="D122" s="2"/>
      <c r="E122" s="2"/>
      <c r="F122" s="4"/>
      <c r="G122" s="2"/>
      <c r="H122" s="2"/>
      <c r="I122" s="1">
        <f>IF(tblAssets[[#This Row],[Asset ID]]="","",tblAssets[[#This Row],[Current Value]]-tblAssets[[#This Row],[Purchase Value]])</f>
        <v>0</v>
      </c>
      <c r="J122" s="11">
        <f>IF(OR(tblAssets[[#This Row],[Asset ID]]="",tblAssets[[#This Row],[Purchase Value]]=0),"",tblAssets[[#This Row],[Appreciation Amount]]/tblAssets[[#This Row],[Purchase Value]])</f>
        <v>0</v>
      </c>
      <c r="K122" s="2"/>
      <c r="L122" s="2"/>
      <c r="M122" s="2"/>
    </row>
    <row r="123" spans="1:13" x14ac:dyDescent="0.3">
      <c r="A123" s="1"/>
      <c r="B123" s="2"/>
      <c r="C123" s="2"/>
      <c r="D123" s="2"/>
      <c r="E123" s="2"/>
      <c r="F123" s="4"/>
      <c r="G123" s="2"/>
      <c r="H123" s="2"/>
      <c r="I123" s="1">
        <f>IF(tblAssets[[#This Row],[Asset ID]]="","",tblAssets[[#This Row],[Current Value]]-tblAssets[[#This Row],[Purchase Value]])</f>
        <v>0</v>
      </c>
      <c r="J123" s="11">
        <f>IF(OR(tblAssets[[#This Row],[Asset ID]]="",tblAssets[[#This Row],[Purchase Value]]=0),"",tblAssets[[#This Row],[Appreciation Amount]]/tblAssets[[#This Row],[Purchase Value]])</f>
        <v>0</v>
      </c>
      <c r="K123" s="2"/>
      <c r="L123" s="2"/>
      <c r="M123" s="2"/>
    </row>
    <row r="124" spans="1:13" x14ac:dyDescent="0.3">
      <c r="A124" s="1"/>
      <c r="B124" s="2"/>
      <c r="C124" s="2"/>
      <c r="D124" s="2"/>
      <c r="E124" s="2"/>
      <c r="F124" s="4"/>
      <c r="G124" s="2"/>
      <c r="H124" s="2"/>
      <c r="I124" s="1">
        <f>IF(tblAssets[[#This Row],[Asset ID]]="","",tblAssets[[#This Row],[Current Value]]-tblAssets[[#This Row],[Purchase Value]])</f>
        <v>0</v>
      </c>
      <c r="J124" s="11">
        <f>IF(OR(tblAssets[[#This Row],[Asset ID]]="",tblAssets[[#This Row],[Purchase Value]]=0),"",tblAssets[[#This Row],[Appreciation Amount]]/tblAssets[[#This Row],[Purchase Value]])</f>
        <v>0</v>
      </c>
      <c r="K124" s="2"/>
      <c r="L124" s="2"/>
      <c r="M124" s="2"/>
    </row>
    <row r="125" spans="1:13" x14ac:dyDescent="0.3">
      <c r="A125" s="1"/>
      <c r="B125" s="2"/>
      <c r="C125" s="2"/>
      <c r="D125" s="2"/>
      <c r="E125" s="2"/>
      <c r="F125" s="4"/>
      <c r="G125" s="2"/>
      <c r="H125" s="2"/>
      <c r="I125" s="1">
        <f>IF(tblAssets[[#This Row],[Asset ID]]="","",tblAssets[[#This Row],[Current Value]]-tblAssets[[#This Row],[Purchase Value]])</f>
        <v>0</v>
      </c>
      <c r="J125" s="11">
        <f>IF(OR(tblAssets[[#This Row],[Asset ID]]="",tblAssets[[#This Row],[Purchase Value]]=0),"",tblAssets[[#This Row],[Appreciation Amount]]/tblAssets[[#This Row],[Purchase Value]])</f>
        <v>0</v>
      </c>
      <c r="K125" s="2"/>
      <c r="L125" s="2"/>
      <c r="M125" s="2"/>
    </row>
    <row r="126" spans="1:13" x14ac:dyDescent="0.3">
      <c r="A126" s="1"/>
      <c r="B126" s="2"/>
      <c r="C126" s="2"/>
      <c r="D126" s="2"/>
      <c r="E126" s="2"/>
      <c r="F126" s="4"/>
      <c r="G126" s="2"/>
      <c r="H126" s="2"/>
      <c r="I126" s="1">
        <f>IF(tblAssets[[#This Row],[Asset ID]]="","",tblAssets[[#This Row],[Current Value]]-tblAssets[[#This Row],[Purchase Value]])</f>
        <v>0</v>
      </c>
      <c r="J126" s="11">
        <f>IF(OR(tblAssets[[#This Row],[Asset ID]]="",tblAssets[[#This Row],[Purchase Value]]=0),"",tblAssets[[#This Row],[Appreciation Amount]]/tblAssets[[#This Row],[Purchase Value]])</f>
        <v>0</v>
      </c>
      <c r="K126" s="2"/>
      <c r="L126" s="2"/>
      <c r="M126" s="2"/>
    </row>
    <row r="127" spans="1:13" x14ac:dyDescent="0.3">
      <c r="A127" s="1"/>
      <c r="B127" s="2"/>
      <c r="C127" s="2"/>
      <c r="D127" s="2"/>
      <c r="E127" s="2"/>
      <c r="F127" s="4"/>
      <c r="G127" s="2"/>
      <c r="H127" s="2"/>
      <c r="I127" s="1">
        <f>IF(tblAssets[[#This Row],[Asset ID]]="","",tblAssets[[#This Row],[Current Value]]-tblAssets[[#This Row],[Purchase Value]])</f>
        <v>0</v>
      </c>
      <c r="J127" s="11">
        <f>IF(OR(tblAssets[[#This Row],[Asset ID]]="",tblAssets[[#This Row],[Purchase Value]]=0),"",tblAssets[[#This Row],[Appreciation Amount]]/tblAssets[[#This Row],[Purchase Value]])</f>
        <v>0</v>
      </c>
      <c r="K127" s="2"/>
      <c r="L127" s="2"/>
      <c r="M127" s="2"/>
    </row>
    <row r="128" spans="1:13" x14ac:dyDescent="0.3">
      <c r="A128" s="1"/>
      <c r="B128" s="2"/>
      <c r="C128" s="2"/>
      <c r="D128" s="2"/>
      <c r="E128" s="2"/>
      <c r="F128" s="4"/>
      <c r="G128" s="2"/>
      <c r="H128" s="2"/>
      <c r="I128" s="1">
        <f>IF(tblAssets[[#This Row],[Asset ID]]="","",tblAssets[[#This Row],[Current Value]]-tblAssets[[#This Row],[Purchase Value]])</f>
        <v>0</v>
      </c>
      <c r="J128" s="11">
        <f>IF(OR(tblAssets[[#This Row],[Asset ID]]="",tblAssets[[#This Row],[Purchase Value]]=0),"",tblAssets[[#This Row],[Appreciation Amount]]/tblAssets[[#This Row],[Purchase Value]])</f>
        <v>0</v>
      </c>
      <c r="K128" s="2"/>
      <c r="L128" s="2"/>
      <c r="M128" s="2"/>
    </row>
    <row r="129" spans="1:13" x14ac:dyDescent="0.3">
      <c r="A129" s="1"/>
      <c r="B129" s="2"/>
      <c r="C129" s="2"/>
      <c r="D129" s="2"/>
      <c r="E129" s="2"/>
      <c r="F129" s="4"/>
      <c r="G129" s="2"/>
      <c r="H129" s="2"/>
      <c r="I129" s="1">
        <f>IF(tblAssets[[#This Row],[Asset ID]]="","",tblAssets[[#This Row],[Current Value]]-tblAssets[[#This Row],[Purchase Value]])</f>
        <v>0</v>
      </c>
      <c r="J129" s="11">
        <f>IF(OR(tblAssets[[#This Row],[Asset ID]]="",tblAssets[[#This Row],[Purchase Value]]=0),"",tblAssets[[#This Row],[Appreciation Amount]]/tblAssets[[#This Row],[Purchase Value]])</f>
        <v>0</v>
      </c>
      <c r="K129" s="2"/>
      <c r="L129" s="2"/>
      <c r="M129" s="2"/>
    </row>
    <row r="130" spans="1:13" x14ac:dyDescent="0.3">
      <c r="A130" s="1"/>
      <c r="B130" s="2"/>
      <c r="C130" s="2"/>
      <c r="D130" s="2"/>
      <c r="E130" s="2"/>
      <c r="F130" s="4"/>
      <c r="G130" s="2"/>
      <c r="H130" s="2"/>
      <c r="I130" s="1">
        <f>IF(tblAssets[[#This Row],[Asset ID]]="","",tblAssets[[#This Row],[Current Value]]-tblAssets[[#This Row],[Purchase Value]])</f>
        <v>0</v>
      </c>
      <c r="J130" s="11">
        <f>IF(OR(tblAssets[[#This Row],[Asset ID]]="",tblAssets[[#This Row],[Purchase Value]]=0),"",tblAssets[[#This Row],[Appreciation Amount]]/tblAssets[[#This Row],[Purchase Value]])</f>
        <v>0</v>
      </c>
      <c r="K130" s="2"/>
      <c r="L130" s="2"/>
      <c r="M130" s="2"/>
    </row>
    <row r="131" spans="1:13" x14ac:dyDescent="0.3">
      <c r="A131" s="1"/>
      <c r="B131" s="2"/>
      <c r="C131" s="2"/>
      <c r="D131" s="2"/>
      <c r="E131" s="2"/>
      <c r="F131" s="4"/>
      <c r="G131" s="2"/>
      <c r="H131" s="2"/>
      <c r="I131" s="1">
        <f>IF(tblAssets[[#This Row],[Asset ID]]="","",tblAssets[[#This Row],[Current Value]]-tblAssets[[#This Row],[Purchase Value]])</f>
        <v>0</v>
      </c>
      <c r="J131" s="11">
        <f>IF(OR(tblAssets[[#This Row],[Asset ID]]="",tblAssets[[#This Row],[Purchase Value]]=0),"",tblAssets[[#This Row],[Appreciation Amount]]/tblAssets[[#This Row],[Purchase Value]])</f>
        <v>0</v>
      </c>
      <c r="K131" s="2"/>
      <c r="L131" s="2"/>
      <c r="M131" s="2"/>
    </row>
    <row r="132" spans="1:13" x14ac:dyDescent="0.3">
      <c r="A132" s="1"/>
      <c r="B132" s="2"/>
      <c r="C132" s="2"/>
      <c r="D132" s="2"/>
      <c r="E132" s="2"/>
      <c r="F132" s="4"/>
      <c r="G132" s="2"/>
      <c r="H132" s="2"/>
      <c r="I132" s="1">
        <f>IF(tblAssets[[#This Row],[Asset ID]]="","",tblAssets[[#This Row],[Current Value]]-tblAssets[[#This Row],[Purchase Value]])</f>
        <v>0</v>
      </c>
      <c r="J132" s="11">
        <f>IF(OR(tblAssets[[#This Row],[Asset ID]]="",tblAssets[[#This Row],[Purchase Value]]=0),"",tblAssets[[#This Row],[Appreciation Amount]]/tblAssets[[#This Row],[Purchase Value]])</f>
        <v>0</v>
      </c>
      <c r="K132" s="2"/>
      <c r="L132" s="2"/>
      <c r="M132" s="2"/>
    </row>
    <row r="133" spans="1:13" x14ac:dyDescent="0.3">
      <c r="A133" s="1"/>
      <c r="B133" s="2"/>
      <c r="C133" s="2"/>
      <c r="D133" s="2"/>
      <c r="E133" s="2"/>
      <c r="F133" s="4"/>
      <c r="G133" s="2"/>
      <c r="H133" s="2"/>
      <c r="I133" s="1">
        <f>IF(tblAssets[[#This Row],[Asset ID]]="","",tblAssets[[#This Row],[Current Value]]-tblAssets[[#This Row],[Purchase Value]])</f>
        <v>0</v>
      </c>
      <c r="J133" s="11">
        <f>IF(OR(tblAssets[[#This Row],[Asset ID]]="",tblAssets[[#This Row],[Purchase Value]]=0),"",tblAssets[[#This Row],[Appreciation Amount]]/tblAssets[[#This Row],[Purchase Value]])</f>
        <v>0</v>
      </c>
      <c r="K133" s="2"/>
      <c r="L133" s="2"/>
      <c r="M133" s="2"/>
    </row>
    <row r="134" spans="1:13" x14ac:dyDescent="0.3">
      <c r="A134" s="1"/>
      <c r="B134" s="2"/>
      <c r="C134" s="2"/>
      <c r="D134" s="2"/>
      <c r="E134" s="2"/>
      <c r="F134" s="4"/>
      <c r="G134" s="2"/>
      <c r="H134" s="2"/>
      <c r="I134" s="1">
        <f>IF(tblAssets[[#This Row],[Asset ID]]="","",tblAssets[[#This Row],[Current Value]]-tblAssets[[#This Row],[Purchase Value]])</f>
        <v>0</v>
      </c>
      <c r="J134" s="11">
        <f>IF(OR(tblAssets[[#This Row],[Asset ID]]="",tblAssets[[#This Row],[Purchase Value]]=0),"",tblAssets[[#This Row],[Appreciation Amount]]/tblAssets[[#This Row],[Purchase Value]])</f>
        <v>0</v>
      </c>
      <c r="K134" s="2"/>
      <c r="L134" s="2"/>
      <c r="M134" s="2"/>
    </row>
    <row r="135" spans="1:13" x14ac:dyDescent="0.3">
      <c r="A135" s="1"/>
      <c r="B135" s="2"/>
      <c r="C135" s="2"/>
      <c r="D135" s="2"/>
      <c r="E135" s="2"/>
      <c r="F135" s="4"/>
      <c r="G135" s="2"/>
      <c r="H135" s="2"/>
      <c r="I135" s="1">
        <f>IF(tblAssets[[#This Row],[Asset ID]]="","",tblAssets[[#This Row],[Current Value]]-tblAssets[[#This Row],[Purchase Value]])</f>
        <v>0</v>
      </c>
      <c r="J135" s="11">
        <f>IF(OR(tblAssets[[#This Row],[Asset ID]]="",tblAssets[[#This Row],[Purchase Value]]=0),"",tblAssets[[#This Row],[Appreciation Amount]]/tblAssets[[#This Row],[Purchase Value]])</f>
        <v>0</v>
      </c>
      <c r="K135" s="2"/>
      <c r="L135" s="2"/>
      <c r="M135" s="2"/>
    </row>
    <row r="136" spans="1:13" x14ac:dyDescent="0.3">
      <c r="A136" s="1"/>
      <c r="B136" s="2"/>
      <c r="C136" s="2"/>
      <c r="D136" s="2"/>
      <c r="E136" s="2"/>
      <c r="F136" s="4"/>
      <c r="G136" s="2"/>
      <c r="H136" s="2"/>
      <c r="I136" s="1">
        <f>IF(tblAssets[[#This Row],[Asset ID]]="","",tblAssets[[#This Row],[Current Value]]-tblAssets[[#This Row],[Purchase Value]])</f>
        <v>0</v>
      </c>
      <c r="J136" s="11">
        <f>IF(OR(tblAssets[[#This Row],[Asset ID]]="",tblAssets[[#This Row],[Purchase Value]]=0),"",tblAssets[[#This Row],[Appreciation Amount]]/tblAssets[[#This Row],[Purchase Value]])</f>
        <v>0</v>
      </c>
      <c r="K136" s="2"/>
      <c r="L136" s="2"/>
      <c r="M136" s="2"/>
    </row>
    <row r="137" spans="1:13" x14ac:dyDescent="0.3">
      <c r="A137" s="1"/>
      <c r="B137" s="2"/>
      <c r="C137" s="2"/>
      <c r="D137" s="2"/>
      <c r="E137" s="2"/>
      <c r="F137" s="4"/>
      <c r="G137" s="2"/>
      <c r="H137" s="2"/>
      <c r="I137" s="1">
        <f>IF(tblAssets[[#This Row],[Asset ID]]="","",tblAssets[[#This Row],[Current Value]]-tblAssets[[#This Row],[Purchase Value]])</f>
        <v>0</v>
      </c>
      <c r="J137" s="11">
        <f>IF(OR(tblAssets[[#This Row],[Asset ID]]="",tblAssets[[#This Row],[Purchase Value]]=0),"",tblAssets[[#This Row],[Appreciation Amount]]/tblAssets[[#This Row],[Purchase Value]])</f>
        <v>0</v>
      </c>
      <c r="K137" s="2"/>
      <c r="L137" s="2"/>
      <c r="M137" s="2"/>
    </row>
    <row r="138" spans="1:13" x14ac:dyDescent="0.3">
      <c r="A138" s="1"/>
      <c r="B138" s="2"/>
      <c r="C138" s="2"/>
      <c r="D138" s="2"/>
      <c r="E138" s="2"/>
      <c r="F138" s="4"/>
      <c r="G138" s="2"/>
      <c r="H138" s="2"/>
      <c r="I138" s="1">
        <f>IF(tblAssets[[#This Row],[Asset ID]]="","",tblAssets[[#This Row],[Current Value]]-tblAssets[[#This Row],[Purchase Value]])</f>
        <v>0</v>
      </c>
      <c r="J138" s="11">
        <f>IF(OR(tblAssets[[#This Row],[Asset ID]]="",tblAssets[[#This Row],[Purchase Value]]=0),"",tblAssets[[#This Row],[Appreciation Amount]]/tblAssets[[#This Row],[Purchase Value]])</f>
        <v>0</v>
      </c>
      <c r="K138" s="2"/>
      <c r="L138" s="2"/>
      <c r="M138" s="2"/>
    </row>
    <row r="139" spans="1:13" x14ac:dyDescent="0.3">
      <c r="A139" s="1"/>
      <c r="B139" s="2"/>
      <c r="C139" s="2"/>
      <c r="D139" s="2"/>
      <c r="E139" s="2"/>
      <c r="F139" s="4"/>
      <c r="G139" s="2"/>
      <c r="H139" s="2"/>
      <c r="I139" s="1">
        <f>IF(tblAssets[[#This Row],[Asset ID]]="","",tblAssets[[#This Row],[Current Value]]-tblAssets[[#This Row],[Purchase Value]])</f>
        <v>0</v>
      </c>
      <c r="J139" s="11">
        <f>IF(OR(tblAssets[[#This Row],[Asset ID]]="",tblAssets[[#This Row],[Purchase Value]]=0),"",tblAssets[[#This Row],[Appreciation Amount]]/tblAssets[[#This Row],[Purchase Value]])</f>
        <v>0</v>
      </c>
      <c r="K139" s="2"/>
      <c r="L139" s="2"/>
      <c r="M139" s="2"/>
    </row>
    <row r="140" spans="1:13" x14ac:dyDescent="0.3">
      <c r="A140" s="1"/>
      <c r="B140" s="2"/>
      <c r="C140" s="2"/>
      <c r="D140" s="2"/>
      <c r="E140" s="2"/>
      <c r="F140" s="4"/>
      <c r="G140" s="2"/>
      <c r="H140" s="2"/>
      <c r="I140" s="1">
        <f>IF(tblAssets[[#This Row],[Asset ID]]="","",tblAssets[[#This Row],[Current Value]]-tblAssets[[#This Row],[Purchase Value]])</f>
        <v>0</v>
      </c>
      <c r="J140" s="11">
        <f>IF(OR(tblAssets[[#This Row],[Asset ID]]="",tblAssets[[#This Row],[Purchase Value]]=0),"",tblAssets[[#This Row],[Appreciation Amount]]/tblAssets[[#This Row],[Purchase Value]])</f>
        <v>0</v>
      </c>
      <c r="K140" s="2"/>
      <c r="L140" s="2"/>
      <c r="M140" s="2"/>
    </row>
    <row r="141" spans="1:13" x14ac:dyDescent="0.3">
      <c r="A141" s="1"/>
      <c r="B141" s="2"/>
      <c r="C141" s="2"/>
      <c r="D141" s="2"/>
      <c r="E141" s="2"/>
      <c r="F141" s="4"/>
      <c r="G141" s="2"/>
      <c r="H141" s="2"/>
      <c r="I141" s="1">
        <f>IF(tblAssets[[#This Row],[Asset ID]]="","",tblAssets[[#This Row],[Current Value]]-tblAssets[[#This Row],[Purchase Value]])</f>
        <v>0</v>
      </c>
      <c r="J141" s="11">
        <f>IF(OR(tblAssets[[#This Row],[Asset ID]]="",tblAssets[[#This Row],[Purchase Value]]=0),"",tblAssets[[#This Row],[Appreciation Amount]]/tblAssets[[#This Row],[Purchase Value]])</f>
        <v>0</v>
      </c>
      <c r="K141" s="2"/>
      <c r="L141" s="2"/>
      <c r="M141" s="2"/>
    </row>
    <row r="142" spans="1:13" x14ac:dyDescent="0.3">
      <c r="A142" s="1"/>
      <c r="B142" s="2"/>
      <c r="C142" s="2"/>
      <c r="D142" s="2"/>
      <c r="E142" s="2"/>
      <c r="F142" s="4"/>
      <c r="G142" s="2"/>
      <c r="H142" s="2"/>
      <c r="I142" s="1">
        <f>IF(tblAssets[[#This Row],[Asset ID]]="","",tblAssets[[#This Row],[Current Value]]-tblAssets[[#This Row],[Purchase Value]])</f>
        <v>0</v>
      </c>
      <c r="J142" s="11">
        <f>IF(OR(tblAssets[[#This Row],[Asset ID]]="",tblAssets[[#This Row],[Purchase Value]]=0),"",tblAssets[[#This Row],[Appreciation Amount]]/tblAssets[[#This Row],[Purchase Value]])</f>
        <v>0</v>
      </c>
      <c r="K142" s="2"/>
      <c r="L142" s="2"/>
      <c r="M142" s="2"/>
    </row>
    <row r="143" spans="1:13" x14ac:dyDescent="0.3">
      <c r="A143" s="1"/>
      <c r="B143" s="2"/>
      <c r="C143" s="2"/>
      <c r="D143" s="2"/>
      <c r="E143" s="2"/>
      <c r="F143" s="4"/>
      <c r="G143" s="2"/>
      <c r="H143" s="2"/>
      <c r="I143" s="1">
        <f>IF(tblAssets[[#This Row],[Asset ID]]="","",tblAssets[[#This Row],[Current Value]]-tblAssets[[#This Row],[Purchase Value]])</f>
        <v>0</v>
      </c>
      <c r="J143" s="11">
        <f>IF(OR(tblAssets[[#This Row],[Asset ID]]="",tblAssets[[#This Row],[Purchase Value]]=0),"",tblAssets[[#This Row],[Appreciation Amount]]/tblAssets[[#This Row],[Purchase Value]])</f>
        <v>0</v>
      </c>
      <c r="K143" s="2"/>
      <c r="L143" s="2"/>
      <c r="M143" s="2"/>
    </row>
    <row r="144" spans="1:13" x14ac:dyDescent="0.3">
      <c r="A144" s="1"/>
      <c r="B144" s="2"/>
      <c r="C144" s="2"/>
      <c r="D144" s="2"/>
      <c r="E144" s="2"/>
      <c r="F144" s="4"/>
      <c r="G144" s="2"/>
      <c r="H144" s="2"/>
      <c r="I144" s="1">
        <f>IF(tblAssets[[#This Row],[Asset ID]]="","",tblAssets[[#This Row],[Current Value]]-tblAssets[[#This Row],[Purchase Value]])</f>
        <v>0</v>
      </c>
      <c r="J144" s="11">
        <f>IF(OR(tblAssets[[#This Row],[Asset ID]]="",tblAssets[[#This Row],[Purchase Value]]=0),"",tblAssets[[#This Row],[Appreciation Amount]]/tblAssets[[#This Row],[Purchase Value]])</f>
        <v>0</v>
      </c>
      <c r="K144" s="2"/>
      <c r="L144" s="2"/>
      <c r="M144" s="2"/>
    </row>
    <row r="145" spans="1:13" x14ac:dyDescent="0.3">
      <c r="A145" s="1"/>
      <c r="B145" s="2"/>
      <c r="C145" s="2"/>
      <c r="D145" s="2"/>
      <c r="E145" s="2"/>
      <c r="F145" s="4"/>
      <c r="G145" s="2"/>
      <c r="H145" s="2"/>
      <c r="I145" s="1">
        <f>IF(tblAssets[[#This Row],[Asset ID]]="","",tblAssets[[#This Row],[Current Value]]-tblAssets[[#This Row],[Purchase Value]])</f>
        <v>0</v>
      </c>
      <c r="J145" s="11">
        <f>IF(OR(tblAssets[[#This Row],[Asset ID]]="",tblAssets[[#This Row],[Purchase Value]]=0),"",tblAssets[[#This Row],[Appreciation Amount]]/tblAssets[[#This Row],[Purchase Value]])</f>
        <v>0</v>
      </c>
      <c r="K145" s="2"/>
      <c r="L145" s="2"/>
      <c r="M145" s="2"/>
    </row>
    <row r="146" spans="1:13" x14ac:dyDescent="0.3">
      <c r="A146" s="1"/>
      <c r="B146" s="2"/>
      <c r="C146" s="2"/>
      <c r="D146" s="2"/>
      <c r="E146" s="2"/>
      <c r="F146" s="4"/>
      <c r="G146" s="2"/>
      <c r="H146" s="2"/>
      <c r="I146" s="1">
        <f>IF(tblAssets[[#This Row],[Asset ID]]="","",tblAssets[[#This Row],[Current Value]]-tblAssets[[#This Row],[Purchase Value]])</f>
        <v>0</v>
      </c>
      <c r="J146" s="11">
        <f>IF(OR(tblAssets[[#This Row],[Asset ID]]="",tblAssets[[#This Row],[Purchase Value]]=0),"",tblAssets[[#This Row],[Appreciation Amount]]/tblAssets[[#This Row],[Purchase Value]])</f>
        <v>0</v>
      </c>
      <c r="K146" s="2"/>
      <c r="L146" s="2"/>
      <c r="M146" s="2"/>
    </row>
    <row r="147" spans="1:13" x14ac:dyDescent="0.3">
      <c r="A147" s="1"/>
      <c r="B147" s="2"/>
      <c r="C147" s="2"/>
      <c r="D147" s="2"/>
      <c r="E147" s="2"/>
      <c r="F147" s="4"/>
      <c r="G147" s="2"/>
      <c r="H147" s="2"/>
      <c r="I147" s="1">
        <f>IF(tblAssets[[#This Row],[Asset ID]]="","",tblAssets[[#This Row],[Current Value]]-tblAssets[[#This Row],[Purchase Value]])</f>
        <v>0</v>
      </c>
      <c r="J147" s="11">
        <f>IF(OR(tblAssets[[#This Row],[Asset ID]]="",tblAssets[[#This Row],[Purchase Value]]=0),"",tblAssets[[#This Row],[Appreciation Amount]]/tblAssets[[#This Row],[Purchase Value]])</f>
        <v>0</v>
      </c>
      <c r="K147" s="2"/>
      <c r="L147" s="2"/>
      <c r="M147" s="2"/>
    </row>
    <row r="148" spans="1:13" x14ac:dyDescent="0.3">
      <c r="A148" s="1"/>
      <c r="B148" s="2"/>
      <c r="C148" s="2"/>
      <c r="D148" s="2"/>
      <c r="E148" s="2"/>
      <c r="F148" s="4"/>
      <c r="G148" s="2"/>
      <c r="H148" s="2"/>
      <c r="I148" s="1">
        <f>IF(tblAssets[[#This Row],[Asset ID]]="","",tblAssets[[#This Row],[Current Value]]-tblAssets[[#This Row],[Purchase Value]])</f>
        <v>0</v>
      </c>
      <c r="J148" s="11">
        <f>IF(OR(tblAssets[[#This Row],[Asset ID]]="",tblAssets[[#This Row],[Purchase Value]]=0),"",tblAssets[[#This Row],[Appreciation Amount]]/tblAssets[[#This Row],[Purchase Value]])</f>
        <v>0</v>
      </c>
      <c r="K148" s="2"/>
      <c r="L148" s="2"/>
      <c r="M148" s="2"/>
    </row>
    <row r="149" spans="1:13" x14ac:dyDescent="0.3">
      <c r="A149" s="1"/>
      <c r="B149" s="2"/>
      <c r="C149" s="2"/>
      <c r="D149" s="2"/>
      <c r="E149" s="2"/>
      <c r="F149" s="4"/>
      <c r="G149" s="2"/>
      <c r="H149" s="2"/>
      <c r="I149" s="1">
        <f>IF(tblAssets[[#This Row],[Asset ID]]="","",tblAssets[[#This Row],[Current Value]]-tblAssets[[#This Row],[Purchase Value]])</f>
        <v>0</v>
      </c>
      <c r="J149" s="11">
        <f>IF(OR(tblAssets[[#This Row],[Asset ID]]="",tblAssets[[#This Row],[Purchase Value]]=0),"",tblAssets[[#This Row],[Appreciation Amount]]/tblAssets[[#This Row],[Purchase Value]])</f>
        <v>0</v>
      </c>
      <c r="K149" s="2"/>
      <c r="L149" s="2"/>
      <c r="M149" s="2"/>
    </row>
    <row r="150" spans="1:13" x14ac:dyDescent="0.3">
      <c r="A150" s="1"/>
      <c r="B150" s="2"/>
      <c r="C150" s="2"/>
      <c r="D150" s="2"/>
      <c r="E150" s="2"/>
      <c r="F150" s="4"/>
      <c r="G150" s="2"/>
      <c r="H150" s="2"/>
      <c r="I150" s="1">
        <f>IF(tblAssets[[#This Row],[Asset ID]]="","",tblAssets[[#This Row],[Current Value]]-tblAssets[[#This Row],[Purchase Value]])</f>
        <v>0</v>
      </c>
      <c r="J150" s="11">
        <f>IF(OR(tblAssets[[#This Row],[Asset ID]]="",tblAssets[[#This Row],[Purchase Value]]=0),"",tblAssets[[#This Row],[Appreciation Amount]]/tblAssets[[#This Row],[Purchase Value]])</f>
        <v>0</v>
      </c>
      <c r="K150" s="2"/>
      <c r="L150" s="2"/>
      <c r="M150" s="2"/>
    </row>
    <row r="151" spans="1:13" x14ac:dyDescent="0.3">
      <c r="A151" s="1"/>
      <c r="B151" s="2"/>
      <c r="C151" s="2"/>
      <c r="D151" s="2"/>
      <c r="E151" s="2"/>
      <c r="F151" s="4"/>
      <c r="G151" s="2"/>
      <c r="H151" s="2"/>
      <c r="I151" s="1">
        <f>IF(tblAssets[[#This Row],[Asset ID]]="","",tblAssets[[#This Row],[Current Value]]-tblAssets[[#This Row],[Purchase Value]])</f>
        <v>0</v>
      </c>
      <c r="J151" s="11">
        <f>IF(OR(tblAssets[[#This Row],[Asset ID]]="",tblAssets[[#This Row],[Purchase Value]]=0),"",tblAssets[[#This Row],[Appreciation Amount]]/tblAssets[[#This Row],[Purchase Value]])</f>
        <v>0</v>
      </c>
      <c r="K151" s="2"/>
      <c r="L151" s="2"/>
      <c r="M151" s="2"/>
    </row>
    <row r="152" spans="1:13" x14ac:dyDescent="0.3">
      <c r="A152" s="1"/>
      <c r="B152" s="2"/>
      <c r="C152" s="2"/>
      <c r="D152" s="2"/>
      <c r="E152" s="2"/>
      <c r="F152" s="4"/>
      <c r="G152" s="2"/>
      <c r="H152" s="2"/>
      <c r="I152" s="1">
        <f>IF(tblAssets[[#This Row],[Asset ID]]="","",tblAssets[[#This Row],[Current Value]]-tblAssets[[#This Row],[Purchase Value]])</f>
        <v>0</v>
      </c>
      <c r="J152" s="11">
        <f>IF(OR(tblAssets[[#This Row],[Asset ID]]="",tblAssets[[#This Row],[Purchase Value]]=0),"",tblAssets[[#This Row],[Appreciation Amount]]/tblAssets[[#This Row],[Purchase Value]])</f>
        <v>0</v>
      </c>
      <c r="K152" s="2"/>
      <c r="L152" s="2"/>
      <c r="M152" s="2"/>
    </row>
    <row r="153" spans="1:13" x14ac:dyDescent="0.3">
      <c r="A153" s="1"/>
      <c r="B153" s="2"/>
      <c r="C153" s="2"/>
      <c r="D153" s="2"/>
      <c r="E153" s="2"/>
      <c r="F153" s="4"/>
      <c r="G153" s="2"/>
      <c r="H153" s="2"/>
      <c r="I153" s="1">
        <f>IF(tblAssets[[#This Row],[Asset ID]]="","",tblAssets[[#This Row],[Current Value]]-tblAssets[[#This Row],[Purchase Value]])</f>
        <v>0</v>
      </c>
      <c r="J153" s="11">
        <f>IF(OR(tblAssets[[#This Row],[Asset ID]]="",tblAssets[[#This Row],[Purchase Value]]=0),"",tblAssets[[#This Row],[Appreciation Amount]]/tblAssets[[#This Row],[Purchase Value]])</f>
        <v>0</v>
      </c>
      <c r="K153" s="2"/>
      <c r="L153" s="2"/>
      <c r="M153" s="2"/>
    </row>
    <row r="154" spans="1:13" x14ac:dyDescent="0.3">
      <c r="A154" s="1"/>
      <c r="B154" s="2"/>
      <c r="C154" s="2"/>
      <c r="D154" s="2"/>
      <c r="E154" s="2"/>
      <c r="F154" s="4"/>
      <c r="G154" s="2"/>
      <c r="H154" s="2"/>
      <c r="I154" s="1">
        <f>IF(tblAssets[[#This Row],[Asset ID]]="","",tblAssets[[#This Row],[Current Value]]-tblAssets[[#This Row],[Purchase Value]])</f>
        <v>0</v>
      </c>
      <c r="J154" s="11">
        <f>IF(OR(tblAssets[[#This Row],[Asset ID]]="",tblAssets[[#This Row],[Purchase Value]]=0),"",tblAssets[[#This Row],[Appreciation Amount]]/tblAssets[[#This Row],[Purchase Value]])</f>
        <v>0</v>
      </c>
      <c r="K154" s="2"/>
      <c r="L154" s="2"/>
      <c r="M154" s="2"/>
    </row>
    <row r="155" spans="1:13" x14ac:dyDescent="0.3">
      <c r="A155" s="1"/>
      <c r="B155" s="2"/>
      <c r="C155" s="2"/>
      <c r="D155" s="2"/>
      <c r="E155" s="2"/>
      <c r="F155" s="4"/>
      <c r="G155" s="2"/>
      <c r="H155" s="2"/>
      <c r="I155" s="1">
        <f>IF(tblAssets[[#This Row],[Asset ID]]="","",tblAssets[[#This Row],[Current Value]]-tblAssets[[#This Row],[Purchase Value]])</f>
        <v>0</v>
      </c>
      <c r="J155" s="11">
        <f>IF(OR(tblAssets[[#This Row],[Asset ID]]="",tblAssets[[#This Row],[Purchase Value]]=0),"",tblAssets[[#This Row],[Appreciation Amount]]/tblAssets[[#This Row],[Purchase Value]])</f>
        <v>0</v>
      </c>
      <c r="K155" s="2"/>
      <c r="L155" s="2"/>
      <c r="M155" s="2"/>
    </row>
    <row r="156" spans="1:13" x14ac:dyDescent="0.3">
      <c r="A156" s="1"/>
      <c r="B156" s="2"/>
      <c r="C156" s="2"/>
      <c r="D156" s="2"/>
      <c r="E156" s="2"/>
      <c r="F156" s="4"/>
      <c r="G156" s="2"/>
      <c r="H156" s="2"/>
      <c r="I156" s="1">
        <f>IF(tblAssets[[#This Row],[Asset ID]]="","",tblAssets[[#This Row],[Current Value]]-tblAssets[[#This Row],[Purchase Value]])</f>
        <v>0</v>
      </c>
      <c r="J156" s="11">
        <f>IF(OR(tblAssets[[#This Row],[Asset ID]]="",tblAssets[[#This Row],[Purchase Value]]=0),"",tblAssets[[#This Row],[Appreciation Amount]]/tblAssets[[#This Row],[Purchase Value]])</f>
        <v>0</v>
      </c>
      <c r="K156" s="2"/>
      <c r="L156" s="2"/>
      <c r="M156" s="2"/>
    </row>
    <row r="157" spans="1:13" x14ac:dyDescent="0.3">
      <c r="A157" s="1"/>
      <c r="B157" s="2"/>
      <c r="C157" s="2"/>
      <c r="D157" s="2"/>
      <c r="E157" s="2"/>
      <c r="F157" s="4"/>
      <c r="G157" s="2"/>
      <c r="H157" s="2"/>
      <c r="I157" s="1">
        <f>IF(tblAssets[[#This Row],[Asset ID]]="","",tblAssets[[#This Row],[Current Value]]-tblAssets[[#This Row],[Purchase Value]])</f>
        <v>0</v>
      </c>
      <c r="J157" s="11">
        <f>IF(OR(tblAssets[[#This Row],[Asset ID]]="",tblAssets[[#This Row],[Purchase Value]]=0),"",tblAssets[[#This Row],[Appreciation Amount]]/tblAssets[[#This Row],[Purchase Value]])</f>
        <v>0</v>
      </c>
      <c r="K157" s="2"/>
      <c r="L157" s="2"/>
      <c r="M157" s="2"/>
    </row>
    <row r="158" spans="1:13" x14ac:dyDescent="0.3">
      <c r="A158" s="1"/>
      <c r="B158" s="2"/>
      <c r="C158" s="2"/>
      <c r="D158" s="2"/>
      <c r="E158" s="2"/>
      <c r="F158" s="4"/>
      <c r="G158" s="2"/>
      <c r="H158" s="2"/>
      <c r="I158" s="1">
        <f>IF(tblAssets[[#This Row],[Asset ID]]="","",tblAssets[[#This Row],[Current Value]]-tblAssets[[#This Row],[Purchase Value]])</f>
        <v>0</v>
      </c>
      <c r="J158" s="11">
        <f>IF(OR(tblAssets[[#This Row],[Asset ID]]="",tblAssets[[#This Row],[Purchase Value]]=0),"",tblAssets[[#This Row],[Appreciation Amount]]/tblAssets[[#This Row],[Purchase Value]])</f>
        <v>0</v>
      </c>
      <c r="K158" s="2"/>
      <c r="L158" s="2"/>
      <c r="M158" s="2"/>
    </row>
    <row r="159" spans="1:13" x14ac:dyDescent="0.3">
      <c r="A159" s="1"/>
      <c r="B159" s="2"/>
      <c r="C159" s="2"/>
      <c r="D159" s="2"/>
      <c r="E159" s="2"/>
      <c r="F159" s="4"/>
      <c r="G159" s="2"/>
      <c r="H159" s="2"/>
      <c r="I159" s="1">
        <f>IF(tblAssets[[#This Row],[Asset ID]]="","",tblAssets[[#This Row],[Current Value]]-tblAssets[[#This Row],[Purchase Value]])</f>
        <v>0</v>
      </c>
      <c r="J159" s="11">
        <f>IF(OR(tblAssets[[#This Row],[Asset ID]]="",tblAssets[[#This Row],[Purchase Value]]=0),"",tblAssets[[#This Row],[Appreciation Amount]]/tblAssets[[#This Row],[Purchase Value]])</f>
        <v>0</v>
      </c>
      <c r="K159" s="2"/>
      <c r="L159" s="2"/>
      <c r="M159" s="2"/>
    </row>
    <row r="160" spans="1:13" x14ac:dyDescent="0.3">
      <c r="A160" s="1"/>
      <c r="B160" s="2"/>
      <c r="C160" s="2"/>
      <c r="D160" s="2"/>
      <c r="E160" s="2"/>
      <c r="F160" s="4"/>
      <c r="G160" s="2"/>
      <c r="H160" s="2"/>
      <c r="I160" s="1">
        <f>IF(tblAssets[[#This Row],[Asset ID]]="","",tblAssets[[#This Row],[Current Value]]-tblAssets[[#This Row],[Purchase Value]])</f>
        <v>0</v>
      </c>
      <c r="J160" s="11">
        <f>IF(OR(tblAssets[[#This Row],[Asset ID]]="",tblAssets[[#This Row],[Purchase Value]]=0),"",tblAssets[[#This Row],[Appreciation Amount]]/tblAssets[[#This Row],[Purchase Value]])</f>
        <v>0</v>
      </c>
      <c r="K160" s="2"/>
      <c r="L160" s="2"/>
      <c r="M160" s="2"/>
    </row>
    <row r="161" spans="1:13" x14ac:dyDescent="0.3">
      <c r="A161" s="1"/>
      <c r="B161" s="2"/>
      <c r="C161" s="2"/>
      <c r="D161" s="2"/>
      <c r="E161" s="2"/>
      <c r="F161" s="4"/>
      <c r="G161" s="2"/>
      <c r="H161" s="2"/>
      <c r="I161" s="1">
        <f>IF(tblAssets[[#This Row],[Asset ID]]="","",tblAssets[[#This Row],[Current Value]]-tblAssets[[#This Row],[Purchase Value]])</f>
        <v>0</v>
      </c>
      <c r="J161" s="11">
        <f>IF(OR(tblAssets[[#This Row],[Asset ID]]="",tblAssets[[#This Row],[Purchase Value]]=0),"",tblAssets[[#This Row],[Appreciation Amount]]/tblAssets[[#This Row],[Purchase Value]])</f>
        <v>0</v>
      </c>
      <c r="K161" s="2"/>
      <c r="L161" s="2"/>
      <c r="M161" s="2"/>
    </row>
    <row r="162" spans="1:13" x14ac:dyDescent="0.3">
      <c r="A162" s="1"/>
      <c r="B162" s="2"/>
      <c r="C162" s="2"/>
      <c r="D162" s="2"/>
      <c r="E162" s="2"/>
      <c r="F162" s="4"/>
      <c r="G162" s="2"/>
      <c r="H162" s="2"/>
      <c r="I162" s="1">
        <f>IF(tblAssets[[#This Row],[Asset ID]]="","",tblAssets[[#This Row],[Current Value]]-tblAssets[[#This Row],[Purchase Value]])</f>
        <v>0</v>
      </c>
      <c r="J162" s="11">
        <f>IF(OR(tblAssets[[#This Row],[Asset ID]]="",tblAssets[[#This Row],[Purchase Value]]=0),"",tblAssets[[#This Row],[Appreciation Amount]]/tblAssets[[#This Row],[Purchase Value]])</f>
        <v>0</v>
      </c>
      <c r="K162" s="2"/>
      <c r="L162" s="2"/>
      <c r="M162" s="2"/>
    </row>
    <row r="163" spans="1:13" x14ac:dyDescent="0.3">
      <c r="A163" s="1"/>
      <c r="B163" s="2"/>
      <c r="C163" s="2"/>
      <c r="D163" s="2"/>
      <c r="E163" s="2"/>
      <c r="F163" s="4"/>
      <c r="G163" s="2"/>
      <c r="H163" s="2"/>
      <c r="I163" s="1">
        <f>IF(tblAssets[[#This Row],[Asset ID]]="","",tblAssets[[#This Row],[Current Value]]-tblAssets[[#This Row],[Purchase Value]])</f>
        <v>0</v>
      </c>
      <c r="J163" s="11">
        <f>IF(OR(tblAssets[[#This Row],[Asset ID]]="",tblAssets[[#This Row],[Purchase Value]]=0),"",tblAssets[[#This Row],[Appreciation Amount]]/tblAssets[[#This Row],[Purchase Value]])</f>
        <v>0</v>
      </c>
      <c r="K163" s="2"/>
      <c r="L163" s="2"/>
      <c r="M163" s="2"/>
    </row>
    <row r="164" spans="1:13" x14ac:dyDescent="0.3">
      <c r="A164" s="1"/>
      <c r="B164" s="2"/>
      <c r="C164" s="2"/>
      <c r="D164" s="2"/>
      <c r="E164" s="2"/>
      <c r="F164" s="4"/>
      <c r="G164" s="2"/>
      <c r="H164" s="2"/>
      <c r="I164" s="1">
        <f>IF(tblAssets[[#This Row],[Asset ID]]="","",tblAssets[[#This Row],[Current Value]]-tblAssets[[#This Row],[Purchase Value]])</f>
        <v>0</v>
      </c>
      <c r="J164" s="11">
        <f>IF(OR(tblAssets[[#This Row],[Asset ID]]="",tblAssets[[#This Row],[Purchase Value]]=0),"",tblAssets[[#This Row],[Appreciation Amount]]/tblAssets[[#This Row],[Purchase Value]])</f>
        <v>0</v>
      </c>
      <c r="K164" s="2"/>
      <c r="L164" s="2"/>
      <c r="M164" s="2"/>
    </row>
    <row r="165" spans="1:13" x14ac:dyDescent="0.3">
      <c r="A165" s="1"/>
      <c r="B165" s="2"/>
      <c r="C165" s="2"/>
      <c r="D165" s="2"/>
      <c r="E165" s="2"/>
      <c r="F165" s="4"/>
      <c r="G165" s="2"/>
      <c r="H165" s="2"/>
      <c r="I165" s="1">
        <f>IF(tblAssets[[#This Row],[Asset ID]]="","",tblAssets[[#This Row],[Current Value]]-tblAssets[[#This Row],[Purchase Value]])</f>
        <v>0</v>
      </c>
      <c r="J165" s="11">
        <f>IF(OR(tblAssets[[#This Row],[Asset ID]]="",tblAssets[[#This Row],[Purchase Value]]=0),"",tblAssets[[#This Row],[Appreciation Amount]]/tblAssets[[#This Row],[Purchase Value]])</f>
        <v>0</v>
      </c>
      <c r="K165" s="2"/>
      <c r="L165" s="2"/>
      <c r="M165" s="2"/>
    </row>
    <row r="166" spans="1:13" x14ac:dyDescent="0.3">
      <c r="A166" s="1"/>
      <c r="B166" s="2"/>
      <c r="C166" s="2"/>
      <c r="D166" s="2"/>
      <c r="E166" s="2"/>
      <c r="F166" s="4"/>
      <c r="G166" s="2"/>
      <c r="H166" s="2"/>
      <c r="I166" s="1">
        <f>IF(tblAssets[[#This Row],[Asset ID]]="","",tblAssets[[#This Row],[Current Value]]-tblAssets[[#This Row],[Purchase Value]])</f>
        <v>0</v>
      </c>
      <c r="J166" s="11">
        <f>IF(OR(tblAssets[[#This Row],[Asset ID]]="",tblAssets[[#This Row],[Purchase Value]]=0),"",tblAssets[[#This Row],[Appreciation Amount]]/tblAssets[[#This Row],[Purchase Value]])</f>
        <v>0</v>
      </c>
      <c r="K166" s="2"/>
      <c r="L166" s="2"/>
      <c r="M166" s="2"/>
    </row>
    <row r="167" spans="1:13" x14ac:dyDescent="0.3">
      <c r="A167" s="1"/>
      <c r="B167" s="2"/>
      <c r="C167" s="2"/>
      <c r="D167" s="2"/>
      <c r="E167" s="2"/>
      <c r="F167" s="4"/>
      <c r="G167" s="2"/>
      <c r="H167" s="2"/>
      <c r="I167" s="1">
        <f>IF(tblAssets[[#This Row],[Asset ID]]="","",tblAssets[[#This Row],[Current Value]]-tblAssets[[#This Row],[Purchase Value]])</f>
        <v>0</v>
      </c>
      <c r="J167" s="11">
        <f>IF(OR(tblAssets[[#This Row],[Asset ID]]="",tblAssets[[#This Row],[Purchase Value]]=0),"",tblAssets[[#This Row],[Appreciation Amount]]/tblAssets[[#This Row],[Purchase Value]])</f>
        <v>0</v>
      </c>
      <c r="K167" s="2"/>
      <c r="L167" s="2"/>
      <c r="M167" s="2"/>
    </row>
    <row r="168" spans="1:13" x14ac:dyDescent="0.3">
      <c r="A168" s="1"/>
      <c r="B168" s="2"/>
      <c r="C168" s="2"/>
      <c r="D168" s="2"/>
      <c r="E168" s="2"/>
      <c r="F168" s="4"/>
      <c r="G168" s="2"/>
      <c r="H168" s="2"/>
      <c r="I168" s="1">
        <f>IF(tblAssets[[#This Row],[Asset ID]]="","",tblAssets[[#This Row],[Current Value]]-tblAssets[[#This Row],[Purchase Value]])</f>
        <v>0</v>
      </c>
      <c r="J168" s="11">
        <f>IF(OR(tblAssets[[#This Row],[Asset ID]]="",tblAssets[[#This Row],[Purchase Value]]=0),"",tblAssets[[#This Row],[Appreciation Amount]]/tblAssets[[#This Row],[Purchase Value]])</f>
        <v>0</v>
      </c>
      <c r="K168" s="2"/>
      <c r="L168" s="2"/>
      <c r="M168" s="2"/>
    </row>
    <row r="169" spans="1:13" x14ac:dyDescent="0.3">
      <c r="A169" s="1"/>
      <c r="B169" s="2"/>
      <c r="C169" s="2"/>
      <c r="D169" s="2"/>
      <c r="E169" s="2"/>
      <c r="F169" s="4"/>
      <c r="G169" s="2"/>
      <c r="H169" s="2"/>
      <c r="I169" s="1">
        <f>IF(tblAssets[[#This Row],[Asset ID]]="","",tblAssets[[#This Row],[Current Value]]-tblAssets[[#This Row],[Purchase Value]])</f>
        <v>0</v>
      </c>
      <c r="J169" s="11">
        <f>IF(OR(tblAssets[[#This Row],[Asset ID]]="",tblAssets[[#This Row],[Purchase Value]]=0),"",tblAssets[[#This Row],[Appreciation Amount]]/tblAssets[[#This Row],[Purchase Value]])</f>
        <v>0</v>
      </c>
      <c r="K169" s="2"/>
      <c r="L169" s="2"/>
      <c r="M169" s="2"/>
    </row>
    <row r="170" spans="1:13" x14ac:dyDescent="0.3">
      <c r="A170" s="1"/>
      <c r="B170" s="2"/>
      <c r="C170" s="2"/>
      <c r="D170" s="2"/>
      <c r="E170" s="2"/>
      <c r="F170" s="4"/>
      <c r="G170" s="2"/>
      <c r="H170" s="2"/>
      <c r="I170" s="1">
        <f>IF(tblAssets[[#This Row],[Asset ID]]="","",tblAssets[[#This Row],[Current Value]]-tblAssets[[#This Row],[Purchase Value]])</f>
        <v>0</v>
      </c>
      <c r="J170" s="11">
        <f>IF(OR(tblAssets[[#This Row],[Asset ID]]="",tblAssets[[#This Row],[Purchase Value]]=0),"",tblAssets[[#This Row],[Appreciation Amount]]/tblAssets[[#This Row],[Purchase Value]])</f>
        <v>0</v>
      </c>
      <c r="K170" s="2"/>
      <c r="L170" s="2"/>
      <c r="M170" s="2"/>
    </row>
    <row r="171" spans="1:13" x14ac:dyDescent="0.3">
      <c r="A171" s="1"/>
      <c r="B171" s="2"/>
      <c r="C171" s="2"/>
      <c r="D171" s="2"/>
      <c r="E171" s="2"/>
      <c r="F171" s="4"/>
      <c r="G171" s="2"/>
      <c r="H171" s="2"/>
      <c r="I171" s="1">
        <f>IF(tblAssets[[#This Row],[Asset ID]]="","",tblAssets[[#This Row],[Current Value]]-tblAssets[[#This Row],[Purchase Value]])</f>
        <v>0</v>
      </c>
      <c r="J171" s="11">
        <f>IF(OR(tblAssets[[#This Row],[Asset ID]]="",tblAssets[[#This Row],[Purchase Value]]=0),"",tblAssets[[#This Row],[Appreciation Amount]]/tblAssets[[#This Row],[Purchase Value]])</f>
        <v>0</v>
      </c>
      <c r="K171" s="2"/>
      <c r="L171" s="2"/>
      <c r="M171" s="2"/>
    </row>
    <row r="172" spans="1:13" x14ac:dyDescent="0.3">
      <c r="A172" s="1"/>
      <c r="B172" s="2"/>
      <c r="C172" s="2"/>
      <c r="D172" s="2"/>
      <c r="E172" s="2"/>
      <c r="F172" s="4"/>
      <c r="G172" s="2"/>
      <c r="H172" s="2"/>
      <c r="I172" s="1">
        <f>IF(tblAssets[[#This Row],[Asset ID]]="","",tblAssets[[#This Row],[Current Value]]-tblAssets[[#This Row],[Purchase Value]])</f>
        <v>0</v>
      </c>
      <c r="J172" s="11">
        <f>IF(OR(tblAssets[[#This Row],[Asset ID]]="",tblAssets[[#This Row],[Purchase Value]]=0),"",tblAssets[[#This Row],[Appreciation Amount]]/tblAssets[[#This Row],[Purchase Value]])</f>
        <v>0</v>
      </c>
      <c r="K172" s="2"/>
      <c r="L172" s="2"/>
      <c r="M172" s="2"/>
    </row>
    <row r="173" spans="1:13" x14ac:dyDescent="0.3">
      <c r="A173" s="1"/>
      <c r="B173" s="2"/>
      <c r="C173" s="2"/>
      <c r="D173" s="2"/>
      <c r="E173" s="2"/>
      <c r="F173" s="4"/>
      <c r="G173" s="2"/>
      <c r="H173" s="2"/>
      <c r="I173" s="1">
        <f>IF(tblAssets[[#This Row],[Asset ID]]="","",tblAssets[[#This Row],[Current Value]]-tblAssets[[#This Row],[Purchase Value]])</f>
        <v>0</v>
      </c>
      <c r="J173" s="11">
        <f>IF(OR(tblAssets[[#This Row],[Asset ID]]="",tblAssets[[#This Row],[Purchase Value]]=0),"",tblAssets[[#This Row],[Appreciation Amount]]/tblAssets[[#This Row],[Purchase Value]])</f>
        <v>0</v>
      </c>
      <c r="K173" s="2"/>
      <c r="L173" s="2"/>
      <c r="M173" s="2"/>
    </row>
    <row r="174" spans="1:13" x14ac:dyDescent="0.3">
      <c r="A174" s="1"/>
      <c r="B174" s="2"/>
      <c r="C174" s="2"/>
      <c r="D174" s="2"/>
      <c r="E174" s="2"/>
      <c r="F174" s="4"/>
      <c r="G174" s="2"/>
      <c r="H174" s="2"/>
      <c r="I174" s="1">
        <f>IF(tblAssets[[#This Row],[Asset ID]]="","",tblAssets[[#This Row],[Current Value]]-tblAssets[[#This Row],[Purchase Value]])</f>
        <v>0</v>
      </c>
      <c r="J174" s="11">
        <f>IF(OR(tblAssets[[#This Row],[Asset ID]]="",tblAssets[[#This Row],[Purchase Value]]=0),"",tblAssets[[#This Row],[Appreciation Amount]]/tblAssets[[#This Row],[Purchase Value]])</f>
        <v>0</v>
      </c>
      <c r="K174" s="2"/>
      <c r="L174" s="2"/>
      <c r="M174" s="2"/>
    </row>
    <row r="175" spans="1:13" x14ac:dyDescent="0.3">
      <c r="A175" s="1"/>
      <c r="B175" s="2"/>
      <c r="C175" s="2"/>
      <c r="D175" s="2"/>
      <c r="E175" s="2"/>
      <c r="F175" s="4"/>
      <c r="G175" s="2"/>
      <c r="H175" s="2"/>
      <c r="I175" s="1">
        <f>IF(tblAssets[[#This Row],[Asset ID]]="","",tblAssets[[#This Row],[Current Value]]-tblAssets[[#This Row],[Purchase Value]])</f>
        <v>0</v>
      </c>
      <c r="J175" s="11">
        <f>IF(OR(tblAssets[[#This Row],[Asset ID]]="",tblAssets[[#This Row],[Purchase Value]]=0),"",tblAssets[[#This Row],[Appreciation Amount]]/tblAssets[[#This Row],[Purchase Value]])</f>
        <v>0</v>
      </c>
      <c r="K175" s="2"/>
      <c r="L175" s="2"/>
      <c r="M175" s="2"/>
    </row>
    <row r="176" spans="1:13" x14ac:dyDescent="0.3">
      <c r="A176" s="1"/>
      <c r="B176" s="2"/>
      <c r="C176" s="2"/>
      <c r="D176" s="2"/>
      <c r="E176" s="2"/>
      <c r="F176" s="4"/>
      <c r="G176" s="2"/>
      <c r="H176" s="2"/>
      <c r="I176" s="1">
        <f>IF(tblAssets[[#This Row],[Asset ID]]="","",tblAssets[[#This Row],[Current Value]]-tblAssets[[#This Row],[Purchase Value]])</f>
        <v>0</v>
      </c>
      <c r="J176" s="11">
        <f>IF(OR(tblAssets[[#This Row],[Asset ID]]="",tblAssets[[#This Row],[Purchase Value]]=0),"",tblAssets[[#This Row],[Appreciation Amount]]/tblAssets[[#This Row],[Purchase Value]])</f>
        <v>0</v>
      </c>
      <c r="K176" s="2"/>
      <c r="L176" s="2"/>
      <c r="M176" s="2"/>
    </row>
    <row r="177" spans="1:13" x14ac:dyDescent="0.3">
      <c r="A177" s="1"/>
      <c r="B177" s="2"/>
      <c r="C177" s="2"/>
      <c r="D177" s="2"/>
      <c r="E177" s="2"/>
      <c r="F177" s="4"/>
      <c r="G177" s="2"/>
      <c r="H177" s="2"/>
      <c r="I177" s="1">
        <f>IF(tblAssets[[#This Row],[Asset ID]]="","",tblAssets[[#This Row],[Current Value]]-tblAssets[[#This Row],[Purchase Value]])</f>
        <v>0</v>
      </c>
      <c r="J177" s="11">
        <f>IF(OR(tblAssets[[#This Row],[Asset ID]]="",tblAssets[[#This Row],[Purchase Value]]=0),"",tblAssets[[#This Row],[Appreciation Amount]]/tblAssets[[#This Row],[Purchase Value]])</f>
        <v>0</v>
      </c>
      <c r="K177" s="2"/>
      <c r="L177" s="2"/>
      <c r="M177" s="2"/>
    </row>
    <row r="178" spans="1:13" x14ac:dyDescent="0.3">
      <c r="A178" s="1"/>
      <c r="B178" s="2"/>
      <c r="C178" s="2"/>
      <c r="D178" s="2"/>
      <c r="E178" s="2"/>
      <c r="F178" s="4"/>
      <c r="G178" s="2"/>
      <c r="H178" s="2"/>
      <c r="I178" s="1">
        <f>IF(tblAssets[[#This Row],[Asset ID]]="","",tblAssets[[#This Row],[Current Value]]-tblAssets[[#This Row],[Purchase Value]])</f>
        <v>0</v>
      </c>
      <c r="J178" s="11">
        <f>IF(OR(tblAssets[[#This Row],[Asset ID]]="",tblAssets[[#This Row],[Purchase Value]]=0),"",tblAssets[[#This Row],[Appreciation Amount]]/tblAssets[[#This Row],[Purchase Value]])</f>
        <v>0</v>
      </c>
      <c r="K178" s="2"/>
      <c r="L178" s="2"/>
      <c r="M178" s="2"/>
    </row>
    <row r="179" spans="1:13" x14ac:dyDescent="0.3">
      <c r="A179" s="1"/>
      <c r="B179" s="2"/>
      <c r="C179" s="2"/>
      <c r="D179" s="2"/>
      <c r="E179" s="2"/>
      <c r="F179" s="4"/>
      <c r="G179" s="2"/>
      <c r="H179" s="2"/>
      <c r="I179" s="1">
        <f>IF(tblAssets[[#This Row],[Asset ID]]="","",tblAssets[[#This Row],[Current Value]]-tblAssets[[#This Row],[Purchase Value]])</f>
        <v>0</v>
      </c>
      <c r="J179" s="11">
        <f>IF(OR(tblAssets[[#This Row],[Asset ID]]="",tblAssets[[#This Row],[Purchase Value]]=0),"",tblAssets[[#This Row],[Appreciation Amount]]/tblAssets[[#This Row],[Purchase Value]])</f>
        <v>0</v>
      </c>
      <c r="K179" s="2"/>
      <c r="L179" s="2"/>
      <c r="M179" s="2"/>
    </row>
    <row r="180" spans="1:13" x14ac:dyDescent="0.3">
      <c r="A180" s="1"/>
      <c r="B180" s="2"/>
      <c r="C180" s="2"/>
      <c r="D180" s="2"/>
      <c r="E180" s="2"/>
      <c r="F180" s="4"/>
      <c r="G180" s="2"/>
      <c r="H180" s="2"/>
      <c r="I180" s="1">
        <f>IF(tblAssets[[#This Row],[Asset ID]]="","",tblAssets[[#This Row],[Current Value]]-tblAssets[[#This Row],[Purchase Value]])</f>
        <v>0</v>
      </c>
      <c r="J180" s="11">
        <f>IF(OR(tblAssets[[#This Row],[Asset ID]]="",tblAssets[[#This Row],[Purchase Value]]=0),"",tblAssets[[#This Row],[Appreciation Amount]]/tblAssets[[#This Row],[Purchase Value]])</f>
        <v>0</v>
      </c>
      <c r="K180" s="2"/>
      <c r="L180" s="2"/>
      <c r="M180" s="2"/>
    </row>
    <row r="181" spans="1:13" x14ac:dyDescent="0.3">
      <c r="A181" s="1"/>
      <c r="B181" s="2"/>
      <c r="C181" s="2"/>
      <c r="D181" s="2"/>
      <c r="E181" s="2"/>
      <c r="F181" s="4"/>
      <c r="G181" s="2"/>
      <c r="H181" s="2"/>
      <c r="I181" s="1">
        <f>IF(tblAssets[[#This Row],[Asset ID]]="","",tblAssets[[#This Row],[Current Value]]-tblAssets[[#This Row],[Purchase Value]])</f>
        <v>0</v>
      </c>
      <c r="J181" s="11">
        <f>IF(OR(tblAssets[[#This Row],[Asset ID]]="",tblAssets[[#This Row],[Purchase Value]]=0),"",tblAssets[[#This Row],[Appreciation Amount]]/tblAssets[[#This Row],[Purchase Value]])</f>
        <v>0</v>
      </c>
      <c r="K181" s="2"/>
      <c r="L181" s="2"/>
      <c r="M181" s="2"/>
    </row>
    <row r="182" spans="1:13" x14ac:dyDescent="0.3">
      <c r="A182" s="1"/>
      <c r="B182" s="2"/>
      <c r="C182" s="2"/>
      <c r="D182" s="2"/>
      <c r="E182" s="2"/>
      <c r="F182" s="4"/>
      <c r="G182" s="2"/>
      <c r="H182" s="2"/>
      <c r="I182" s="1">
        <f>IF(tblAssets[[#This Row],[Asset ID]]="","",tblAssets[[#This Row],[Current Value]]-tblAssets[[#This Row],[Purchase Value]])</f>
        <v>0</v>
      </c>
      <c r="J182" s="11">
        <f>IF(OR(tblAssets[[#This Row],[Asset ID]]="",tblAssets[[#This Row],[Purchase Value]]=0),"",tblAssets[[#This Row],[Appreciation Amount]]/tblAssets[[#This Row],[Purchase Value]])</f>
        <v>0</v>
      </c>
      <c r="K182" s="2"/>
      <c r="L182" s="2"/>
      <c r="M182" s="2"/>
    </row>
    <row r="183" spans="1:13" x14ac:dyDescent="0.3">
      <c r="A183" s="1"/>
      <c r="B183" s="2"/>
      <c r="C183" s="2"/>
      <c r="D183" s="2"/>
      <c r="E183" s="2"/>
      <c r="F183" s="4"/>
      <c r="G183" s="2"/>
      <c r="H183" s="2"/>
      <c r="I183" s="1">
        <f>IF(tblAssets[[#This Row],[Asset ID]]="","",tblAssets[[#This Row],[Current Value]]-tblAssets[[#This Row],[Purchase Value]])</f>
        <v>0</v>
      </c>
      <c r="J183" s="11">
        <f>IF(OR(tblAssets[[#This Row],[Asset ID]]="",tblAssets[[#This Row],[Purchase Value]]=0),"",tblAssets[[#This Row],[Appreciation Amount]]/tblAssets[[#This Row],[Purchase Value]])</f>
        <v>0</v>
      </c>
      <c r="K183" s="2"/>
      <c r="L183" s="2"/>
      <c r="M183" s="2"/>
    </row>
    <row r="184" spans="1:13" x14ac:dyDescent="0.3">
      <c r="A184" s="1"/>
      <c r="B184" s="2"/>
      <c r="C184" s="2"/>
      <c r="D184" s="2"/>
      <c r="E184" s="2"/>
      <c r="F184" s="4"/>
      <c r="G184" s="2"/>
      <c r="H184" s="2"/>
      <c r="I184" s="1">
        <f>IF(tblAssets[[#This Row],[Asset ID]]="","",tblAssets[[#This Row],[Current Value]]-tblAssets[[#This Row],[Purchase Value]])</f>
        <v>0</v>
      </c>
      <c r="J184" s="11">
        <f>IF(OR(tblAssets[[#This Row],[Asset ID]]="",tblAssets[[#This Row],[Purchase Value]]=0),"",tblAssets[[#This Row],[Appreciation Amount]]/tblAssets[[#This Row],[Purchase Value]])</f>
        <v>0</v>
      </c>
      <c r="K184" s="2"/>
      <c r="L184" s="2"/>
      <c r="M184" s="2"/>
    </row>
    <row r="185" spans="1:13" x14ac:dyDescent="0.3">
      <c r="A185" s="1"/>
      <c r="B185" s="2"/>
      <c r="C185" s="2"/>
      <c r="D185" s="2"/>
      <c r="E185" s="2"/>
      <c r="F185" s="4"/>
      <c r="G185" s="2"/>
      <c r="H185" s="2"/>
      <c r="I185" s="1">
        <f>IF(tblAssets[[#This Row],[Asset ID]]="","",tblAssets[[#This Row],[Current Value]]-tblAssets[[#This Row],[Purchase Value]])</f>
        <v>0</v>
      </c>
      <c r="J185" s="11">
        <f>IF(OR(tblAssets[[#This Row],[Asset ID]]="",tblAssets[[#This Row],[Purchase Value]]=0),"",tblAssets[[#This Row],[Appreciation Amount]]/tblAssets[[#This Row],[Purchase Value]])</f>
        <v>0</v>
      </c>
      <c r="K185" s="2"/>
      <c r="L185" s="2"/>
      <c r="M185" s="2"/>
    </row>
    <row r="186" spans="1:13" x14ac:dyDescent="0.3">
      <c r="A186" s="1"/>
      <c r="B186" s="2"/>
      <c r="C186" s="2"/>
      <c r="D186" s="2"/>
      <c r="E186" s="2"/>
      <c r="F186" s="4"/>
      <c r="G186" s="2"/>
      <c r="H186" s="2"/>
      <c r="I186" s="1">
        <f>IF(tblAssets[[#This Row],[Asset ID]]="","",tblAssets[[#This Row],[Current Value]]-tblAssets[[#This Row],[Purchase Value]])</f>
        <v>0</v>
      </c>
      <c r="J186" s="11">
        <f>IF(OR(tblAssets[[#This Row],[Asset ID]]="",tblAssets[[#This Row],[Purchase Value]]=0),"",tblAssets[[#This Row],[Appreciation Amount]]/tblAssets[[#This Row],[Purchase Value]])</f>
        <v>0</v>
      </c>
      <c r="K186" s="2"/>
      <c r="L186" s="2"/>
      <c r="M186" s="2"/>
    </row>
    <row r="187" spans="1:13" x14ac:dyDescent="0.3">
      <c r="A187" s="1"/>
      <c r="B187" s="2"/>
      <c r="C187" s="2"/>
      <c r="D187" s="2"/>
      <c r="E187" s="2"/>
      <c r="F187" s="4"/>
      <c r="G187" s="2"/>
      <c r="H187" s="2"/>
      <c r="I187" s="1">
        <f>IF(tblAssets[[#This Row],[Asset ID]]="","",tblAssets[[#This Row],[Current Value]]-tblAssets[[#This Row],[Purchase Value]])</f>
        <v>0</v>
      </c>
      <c r="J187" s="11">
        <f>IF(OR(tblAssets[[#This Row],[Asset ID]]="",tblAssets[[#This Row],[Purchase Value]]=0),"",tblAssets[[#This Row],[Appreciation Amount]]/tblAssets[[#This Row],[Purchase Value]])</f>
        <v>0</v>
      </c>
      <c r="K187" s="2"/>
      <c r="L187" s="2"/>
      <c r="M187" s="2"/>
    </row>
    <row r="188" spans="1:13" x14ac:dyDescent="0.3">
      <c r="A188" s="1"/>
      <c r="B188" s="2"/>
      <c r="C188" s="2"/>
      <c r="D188" s="2"/>
      <c r="E188" s="2"/>
      <c r="F188" s="4"/>
      <c r="G188" s="2"/>
      <c r="H188" s="2"/>
      <c r="I188" s="1">
        <f>IF(tblAssets[[#This Row],[Asset ID]]="","",tblAssets[[#This Row],[Current Value]]-tblAssets[[#This Row],[Purchase Value]])</f>
        <v>0</v>
      </c>
      <c r="J188" s="11">
        <f>IF(OR(tblAssets[[#This Row],[Asset ID]]="",tblAssets[[#This Row],[Purchase Value]]=0),"",tblAssets[[#This Row],[Appreciation Amount]]/tblAssets[[#This Row],[Purchase Value]])</f>
        <v>0</v>
      </c>
      <c r="K188" s="2"/>
      <c r="L188" s="2"/>
      <c r="M188" s="2"/>
    </row>
    <row r="189" spans="1:13" x14ac:dyDescent="0.3">
      <c r="A189" s="1"/>
      <c r="B189" s="2"/>
      <c r="C189" s="2"/>
      <c r="D189" s="2"/>
      <c r="E189" s="2"/>
      <c r="F189" s="4"/>
      <c r="G189" s="2"/>
      <c r="H189" s="2"/>
      <c r="I189" s="1">
        <f>IF(tblAssets[[#This Row],[Asset ID]]="","",tblAssets[[#This Row],[Current Value]]-tblAssets[[#This Row],[Purchase Value]])</f>
        <v>0</v>
      </c>
      <c r="J189" s="11">
        <f>IF(OR(tblAssets[[#This Row],[Asset ID]]="",tblAssets[[#This Row],[Purchase Value]]=0),"",tblAssets[[#This Row],[Appreciation Amount]]/tblAssets[[#This Row],[Purchase Value]])</f>
        <v>0</v>
      </c>
      <c r="K189" s="2"/>
      <c r="L189" s="2"/>
      <c r="M189" s="2"/>
    </row>
    <row r="190" spans="1:13" x14ac:dyDescent="0.3">
      <c r="A190" s="1"/>
      <c r="B190" s="2"/>
      <c r="C190" s="2"/>
      <c r="D190" s="2"/>
      <c r="E190" s="2"/>
      <c r="F190" s="4"/>
      <c r="G190" s="2"/>
      <c r="H190" s="2"/>
      <c r="I190" s="1">
        <f>IF(tblAssets[[#This Row],[Asset ID]]="","",tblAssets[[#This Row],[Current Value]]-tblAssets[[#This Row],[Purchase Value]])</f>
        <v>0</v>
      </c>
      <c r="J190" s="11">
        <f>IF(OR(tblAssets[[#This Row],[Asset ID]]="",tblAssets[[#This Row],[Purchase Value]]=0),"",tblAssets[[#This Row],[Appreciation Amount]]/tblAssets[[#This Row],[Purchase Value]])</f>
        <v>0</v>
      </c>
      <c r="K190" s="2"/>
      <c r="L190" s="2"/>
      <c r="M190" s="2"/>
    </row>
    <row r="191" spans="1:13" x14ac:dyDescent="0.3">
      <c r="A191" s="1"/>
      <c r="B191" s="2"/>
      <c r="C191" s="2"/>
      <c r="D191" s="2"/>
      <c r="E191" s="2"/>
      <c r="F191" s="4"/>
      <c r="G191" s="2"/>
      <c r="H191" s="2"/>
      <c r="I191" s="1">
        <f>IF(tblAssets[[#This Row],[Asset ID]]="","",tblAssets[[#This Row],[Current Value]]-tblAssets[[#This Row],[Purchase Value]])</f>
        <v>0</v>
      </c>
      <c r="J191" s="11">
        <f>IF(OR(tblAssets[[#This Row],[Asset ID]]="",tblAssets[[#This Row],[Purchase Value]]=0),"",tblAssets[[#This Row],[Appreciation Amount]]/tblAssets[[#This Row],[Purchase Value]])</f>
        <v>0</v>
      </c>
      <c r="K191" s="2"/>
      <c r="L191" s="2"/>
      <c r="M191" s="2"/>
    </row>
    <row r="192" spans="1:13" x14ac:dyDescent="0.3">
      <c r="A192" s="1"/>
      <c r="B192" s="2"/>
      <c r="C192" s="2"/>
      <c r="D192" s="2"/>
      <c r="E192" s="2"/>
      <c r="F192" s="4"/>
      <c r="G192" s="2"/>
      <c r="H192" s="2"/>
      <c r="I192" s="1">
        <f>IF(tblAssets[[#This Row],[Asset ID]]="","",tblAssets[[#This Row],[Current Value]]-tblAssets[[#This Row],[Purchase Value]])</f>
        <v>0</v>
      </c>
      <c r="J192" s="11">
        <f>IF(OR(tblAssets[[#This Row],[Asset ID]]="",tblAssets[[#This Row],[Purchase Value]]=0),"",tblAssets[[#This Row],[Appreciation Amount]]/tblAssets[[#This Row],[Purchase Value]])</f>
        <v>0</v>
      </c>
      <c r="K192" s="2"/>
      <c r="L192" s="2"/>
      <c r="M192" s="2"/>
    </row>
    <row r="193" spans="1:13" x14ac:dyDescent="0.3">
      <c r="A193" s="1"/>
      <c r="B193" s="2"/>
      <c r="C193" s="2"/>
      <c r="D193" s="2"/>
      <c r="E193" s="2"/>
      <c r="F193" s="4"/>
      <c r="G193" s="2"/>
      <c r="H193" s="2"/>
      <c r="I193" s="1">
        <f>IF(tblAssets[[#This Row],[Asset ID]]="","",tblAssets[[#This Row],[Current Value]]-tblAssets[[#This Row],[Purchase Value]])</f>
        <v>0</v>
      </c>
      <c r="J193" s="11">
        <f>IF(OR(tblAssets[[#This Row],[Asset ID]]="",tblAssets[[#This Row],[Purchase Value]]=0),"",tblAssets[[#This Row],[Appreciation Amount]]/tblAssets[[#This Row],[Purchase Value]])</f>
        <v>0</v>
      </c>
      <c r="K193" s="2"/>
      <c r="L193" s="2"/>
      <c r="M193" s="2"/>
    </row>
    <row r="194" spans="1:13" x14ac:dyDescent="0.3">
      <c r="A194" s="1"/>
      <c r="B194" s="2"/>
      <c r="C194" s="2"/>
      <c r="D194" s="2"/>
      <c r="E194" s="2"/>
      <c r="F194" s="4"/>
      <c r="G194" s="2"/>
      <c r="H194" s="2"/>
      <c r="I194" s="1">
        <f>IF(tblAssets[[#This Row],[Asset ID]]="","",tblAssets[[#This Row],[Current Value]]-tblAssets[[#This Row],[Purchase Value]])</f>
        <v>0</v>
      </c>
      <c r="J194" s="11">
        <f>IF(OR(tblAssets[[#This Row],[Asset ID]]="",tblAssets[[#This Row],[Purchase Value]]=0),"",tblAssets[[#This Row],[Appreciation Amount]]/tblAssets[[#This Row],[Purchase Value]])</f>
        <v>0</v>
      </c>
      <c r="K194" s="2"/>
      <c r="L194" s="2"/>
      <c r="M194" s="2"/>
    </row>
    <row r="195" spans="1:13" x14ac:dyDescent="0.3">
      <c r="A195" s="1"/>
      <c r="B195" s="2"/>
      <c r="C195" s="2"/>
      <c r="D195" s="2"/>
      <c r="E195" s="2"/>
      <c r="F195" s="4"/>
      <c r="G195" s="2"/>
      <c r="H195" s="2"/>
      <c r="I195" s="1">
        <f>IF(tblAssets[[#This Row],[Asset ID]]="","",tblAssets[[#This Row],[Current Value]]-tblAssets[[#This Row],[Purchase Value]])</f>
        <v>0</v>
      </c>
      <c r="J195" s="11">
        <f>IF(OR(tblAssets[[#This Row],[Asset ID]]="",tblAssets[[#This Row],[Purchase Value]]=0),"",tblAssets[[#This Row],[Appreciation Amount]]/tblAssets[[#This Row],[Purchase Value]])</f>
        <v>0</v>
      </c>
      <c r="K195" s="2"/>
      <c r="L195" s="2"/>
      <c r="M195" s="2"/>
    </row>
    <row r="196" spans="1:13" x14ac:dyDescent="0.3">
      <c r="A196" s="1"/>
      <c r="B196" s="2"/>
      <c r="C196" s="2"/>
      <c r="D196" s="2"/>
      <c r="E196" s="2"/>
      <c r="F196" s="4"/>
      <c r="G196" s="2"/>
      <c r="H196" s="2"/>
      <c r="I196" s="1">
        <f>IF(tblAssets[[#This Row],[Asset ID]]="","",tblAssets[[#This Row],[Current Value]]-tblAssets[[#This Row],[Purchase Value]])</f>
        <v>0</v>
      </c>
      <c r="J196" s="11">
        <f>IF(OR(tblAssets[[#This Row],[Asset ID]]="",tblAssets[[#This Row],[Purchase Value]]=0),"",tblAssets[[#This Row],[Appreciation Amount]]/tblAssets[[#This Row],[Purchase Value]])</f>
        <v>0</v>
      </c>
      <c r="K196" s="2"/>
      <c r="L196" s="2"/>
      <c r="M196" s="2"/>
    </row>
    <row r="197" spans="1:13" x14ac:dyDescent="0.3">
      <c r="A197" s="1"/>
      <c r="B197" s="2"/>
      <c r="C197" s="2"/>
      <c r="D197" s="2"/>
      <c r="E197" s="2"/>
      <c r="F197" s="4"/>
      <c r="G197" s="2"/>
      <c r="H197" s="2"/>
      <c r="I197" s="1">
        <f>IF(tblAssets[[#This Row],[Asset ID]]="","",tblAssets[[#This Row],[Current Value]]-tblAssets[[#This Row],[Purchase Value]])</f>
        <v>0</v>
      </c>
      <c r="J197" s="11">
        <f>IF(OR(tblAssets[[#This Row],[Asset ID]]="",tblAssets[[#This Row],[Purchase Value]]=0),"",tblAssets[[#This Row],[Appreciation Amount]]/tblAssets[[#This Row],[Purchase Value]])</f>
        <v>0</v>
      </c>
      <c r="K197" s="2"/>
      <c r="L197" s="2"/>
      <c r="M197" s="2"/>
    </row>
    <row r="198" spans="1:13" x14ac:dyDescent="0.3">
      <c r="A198" s="1"/>
      <c r="B198" s="2"/>
      <c r="C198" s="2"/>
      <c r="D198" s="2"/>
      <c r="E198" s="2"/>
      <c r="F198" s="4"/>
      <c r="G198" s="2"/>
      <c r="H198" s="2"/>
      <c r="I198" s="1">
        <f>IF(tblAssets[[#This Row],[Asset ID]]="","",tblAssets[[#This Row],[Current Value]]-tblAssets[[#This Row],[Purchase Value]])</f>
        <v>0</v>
      </c>
      <c r="J198" s="11">
        <f>IF(OR(tblAssets[[#This Row],[Asset ID]]="",tblAssets[[#This Row],[Purchase Value]]=0),"",tblAssets[[#This Row],[Appreciation Amount]]/tblAssets[[#This Row],[Purchase Value]])</f>
        <v>0</v>
      </c>
      <c r="K198" s="2"/>
      <c r="L198" s="2"/>
      <c r="M198" s="2"/>
    </row>
    <row r="199" spans="1:13" x14ac:dyDescent="0.3">
      <c r="A199" s="1"/>
      <c r="B199" s="2"/>
      <c r="C199" s="2"/>
      <c r="D199" s="2"/>
      <c r="E199" s="2"/>
      <c r="F199" s="4"/>
      <c r="G199" s="2"/>
      <c r="H199" s="2"/>
      <c r="I199" s="1">
        <f>IF(tblAssets[[#This Row],[Asset ID]]="","",tblAssets[[#This Row],[Current Value]]-tblAssets[[#This Row],[Purchase Value]])</f>
        <v>0</v>
      </c>
      <c r="J199" s="11">
        <f>IF(OR(tblAssets[[#This Row],[Asset ID]]="",tblAssets[[#This Row],[Purchase Value]]=0),"",tblAssets[[#This Row],[Appreciation Amount]]/tblAssets[[#This Row],[Purchase Value]])</f>
        <v>0</v>
      </c>
      <c r="K199" s="2"/>
      <c r="L199" s="2"/>
      <c r="M199" s="2"/>
    </row>
    <row r="200" spans="1:13" x14ac:dyDescent="0.3">
      <c r="A200" s="1"/>
      <c r="B200" s="2"/>
      <c r="C200" s="2"/>
      <c r="D200" s="2"/>
      <c r="E200" s="2"/>
      <c r="F200" s="4"/>
      <c r="G200" s="2"/>
      <c r="H200" s="2"/>
      <c r="I200" s="1">
        <f>IF(tblAssets[[#This Row],[Asset ID]]="","",tblAssets[[#This Row],[Current Value]]-tblAssets[[#This Row],[Purchase Value]])</f>
        <v>0</v>
      </c>
      <c r="J200" s="11">
        <f>IF(OR(tblAssets[[#This Row],[Asset ID]]="",tblAssets[[#This Row],[Purchase Value]]=0),"",tblAssets[[#This Row],[Appreciation Amount]]/tblAssets[[#This Row],[Purchase Value]])</f>
        <v>0</v>
      </c>
      <c r="K200" s="2"/>
      <c r="L200" s="2"/>
      <c r="M200" s="2"/>
    </row>
  </sheetData>
  <sheetProtection sheet="1" objects="1" scenarios="1" insertRows="0" deleteRows="0" sort="0" autoFilter="0"/>
  <dataValidations count="5">
    <dataValidation type="list" allowBlank="1" showInputMessage="1" showErrorMessage="1" errorTitle="Invalid value" error="Select a value from the list." promptTitle="Select a value" prompt="Choose from the list." sqref="D2:D200" xr:uid="{00000000-0002-0000-0400-000000000000}">
      <formula1>rngAssetType</formula1>
    </dataValidation>
    <dataValidation type="list" allowBlank="1" showInputMessage="1" showErrorMessage="1" errorTitle="Invalid value" error="Select a value from the list." promptTitle="Select a value" prompt="Choose from the list." sqref="E2:E200" xr:uid="{00000000-0002-0000-0400-000001000000}">
      <formula1>rngAccounts</formula1>
    </dataValidation>
    <dataValidation type="list" allowBlank="1" showInputMessage="1" showErrorMessage="1" errorTitle="Invalid value" error="Select a value from the list." promptTitle="Select a value" prompt="Choose from the list." sqref="K2:K200" xr:uid="{00000000-0002-0000-0400-000002000000}">
      <formula1>rngOwnershipType</formula1>
    </dataValidation>
    <dataValidation type="list" allowBlank="1" showInputMessage="1" showErrorMessage="1" errorTitle="Invalid value" error="Select a value from the list." promptTitle="Select a value" prompt="Choose from the list." sqref="L2:L200" xr:uid="{00000000-0002-0000-0400-000003000000}">
      <formula1>"Active,Sold"</formula1>
    </dataValidation>
    <dataValidation type="decimal" operator="greaterThanOrEqual" allowBlank="1" showInputMessage="1" showErrorMessage="1" errorTitle="Invalid Current Value" error="Current Value must be greater than or equal to 0." promptTitle="Current Value" prompt="Enter a value of 0 or greater." sqref="H2:H200">
      <formula1>0</formula1>
    </dataValidation>
  </dataValidations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00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4" customWidth="1"/>
    <col min="2" max="2" width="22" customWidth="1"/>
    <col min="3" max="3" width="16" customWidth="1"/>
    <col min="4" max="4" width="14" customWidth="1"/>
    <col min="5" max="5" width="16" customWidth="1"/>
    <col min="6" max="6" width="18" customWidth="1"/>
    <col min="7" max="8" width="14" customWidth="1"/>
    <col min="9" max="9" width="16" customWidth="1"/>
    <col min="10" max="10" width="12" customWidth="1"/>
    <col min="11" max="12" width="14" customWidth="1"/>
    <col min="13" max="13" width="24" customWidth="1"/>
    <col min="14" max="15" width="12" customWidth="1"/>
    <col min="16" max="16" width="18" customWidth="1"/>
  </cols>
  <sheetData>
    <row r="1" spans="1:16" x14ac:dyDescent="0.3">
      <c r="A1" s="1" t="s">
        <v>34</v>
      </c>
      <c r="B1" s="1" t="s">
        <v>35</v>
      </c>
      <c r="C1" s="1" t="s">
        <v>36</v>
      </c>
      <c r="D1" s="1" t="s">
        <v>15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9</v>
      </c>
      <c r="P1" s="1" t="s">
        <v>11</v>
      </c>
    </row>
    <row r="2" spans="1:16" x14ac:dyDescent="0.3">
      <c r="A2" s="1"/>
      <c r="B2" s="2"/>
      <c r="C2" s="2"/>
      <c r="D2" s="2"/>
      <c r="E2" s="2"/>
      <c r="F2" s="2"/>
      <c r="G2" s="2"/>
      <c r="H2" s="2"/>
      <c r="I2" s="2"/>
      <c r="J2" s="2"/>
      <c r="K2" s="4"/>
      <c r="L2" s="4"/>
      <c r="M2" s="2"/>
      <c r="N2" s="2"/>
      <c r="O2" s="2"/>
      <c r="P2" s="2"/>
    </row>
    <row r="3" spans="1:16" x14ac:dyDescent="0.3">
      <c r="A3" s="1"/>
      <c r="B3" s="2"/>
      <c r="C3" s="2"/>
      <c r="D3" s="2"/>
      <c r="E3" s="2"/>
      <c r="F3" s="2"/>
      <c r="G3" s="2"/>
      <c r="H3" s="2"/>
      <c r="I3" s="2"/>
      <c r="J3" s="2"/>
      <c r="K3" s="4"/>
      <c r="L3" s="4"/>
      <c r="M3" s="2"/>
      <c r="N3" s="2"/>
      <c r="O3" s="2"/>
      <c r="P3" s="2"/>
    </row>
    <row r="4" spans="1:16" x14ac:dyDescent="0.3">
      <c r="A4" s="1"/>
      <c r="B4" s="2"/>
      <c r="C4" s="2"/>
      <c r="D4" s="2"/>
      <c r="E4" s="2"/>
      <c r="F4" s="2"/>
      <c r="G4" s="2"/>
      <c r="H4" s="2"/>
      <c r="I4" s="2"/>
      <c r="J4" s="2"/>
      <c r="K4" s="4"/>
      <c r="L4" s="4"/>
      <c r="M4" s="2"/>
      <c r="N4" s="2"/>
      <c r="O4" s="2"/>
      <c r="P4" s="2"/>
    </row>
    <row r="5" spans="1:16" x14ac:dyDescent="0.3">
      <c r="A5" s="1"/>
      <c r="B5" s="2"/>
      <c r="C5" s="2"/>
      <c r="D5" s="2"/>
      <c r="E5" s="2"/>
      <c r="F5" s="2"/>
      <c r="G5" s="2"/>
      <c r="H5" s="2"/>
      <c r="I5" s="2"/>
      <c r="J5" s="2"/>
      <c r="K5" s="4"/>
      <c r="L5" s="4"/>
      <c r="M5" s="2"/>
      <c r="N5" s="2"/>
      <c r="O5" s="2"/>
      <c r="P5" s="2"/>
    </row>
    <row r="6" spans="1:16" x14ac:dyDescent="0.3">
      <c r="A6" s="1"/>
      <c r="B6" s="2"/>
      <c r="C6" s="2"/>
      <c r="D6" s="2"/>
      <c r="E6" s="2"/>
      <c r="F6" s="2"/>
      <c r="G6" s="2"/>
      <c r="H6" s="2"/>
      <c r="I6" s="2"/>
      <c r="J6" s="2"/>
      <c r="K6" s="4"/>
      <c r="L6" s="4"/>
      <c r="M6" s="2"/>
      <c r="N6" s="2"/>
      <c r="O6" s="2"/>
      <c r="P6" s="2"/>
    </row>
    <row r="7" spans="1:16" x14ac:dyDescent="0.3">
      <c r="A7" s="1"/>
      <c r="B7" s="2"/>
      <c r="C7" s="2"/>
      <c r="D7" s="2"/>
      <c r="E7" s="2"/>
      <c r="F7" s="2"/>
      <c r="G7" s="2"/>
      <c r="H7" s="2"/>
      <c r="I7" s="2"/>
      <c r="J7" s="2"/>
      <c r="K7" s="4"/>
      <c r="L7" s="4"/>
      <c r="M7" s="2"/>
      <c r="N7" s="2"/>
      <c r="O7" s="2"/>
      <c r="P7" s="2"/>
    </row>
    <row r="8" spans="1:16" x14ac:dyDescent="0.3">
      <c r="A8" s="1"/>
      <c r="B8" s="2"/>
      <c r="C8" s="2"/>
      <c r="D8" s="2"/>
      <c r="E8" s="2"/>
      <c r="F8" s="2"/>
      <c r="G8" s="2"/>
      <c r="H8" s="2"/>
      <c r="I8" s="2"/>
      <c r="J8" s="2"/>
      <c r="K8" s="4"/>
      <c r="L8" s="4"/>
      <c r="M8" s="2"/>
      <c r="N8" s="2"/>
      <c r="O8" s="2"/>
      <c r="P8" s="2"/>
    </row>
    <row r="9" spans="1:16" x14ac:dyDescent="0.3">
      <c r="A9" s="1"/>
      <c r="B9" s="2"/>
      <c r="C9" s="2"/>
      <c r="D9" s="2"/>
      <c r="E9" s="2"/>
      <c r="F9" s="2"/>
      <c r="G9" s="2"/>
      <c r="H9" s="2"/>
      <c r="I9" s="2"/>
      <c r="J9" s="2"/>
      <c r="K9" s="4"/>
      <c r="L9" s="4"/>
      <c r="M9" s="2"/>
      <c r="N9" s="2"/>
      <c r="O9" s="2"/>
      <c r="P9" s="2"/>
    </row>
    <row r="10" spans="1:16" x14ac:dyDescent="0.3">
      <c r="A10" s="1"/>
      <c r="B10" s="2"/>
      <c r="C10" s="2"/>
      <c r="D10" s="2"/>
      <c r="E10" s="2"/>
      <c r="F10" s="2"/>
      <c r="G10" s="2"/>
      <c r="H10" s="2"/>
      <c r="I10" s="2"/>
      <c r="J10" s="2"/>
      <c r="K10" s="4"/>
      <c r="L10" s="4"/>
      <c r="M10" s="2"/>
      <c r="N10" s="2"/>
      <c r="O10" s="2"/>
      <c r="P10" s="2"/>
    </row>
    <row r="11" spans="1:16" x14ac:dyDescent="0.3">
      <c r="A11" s="1"/>
      <c r="B11" s="2"/>
      <c r="C11" s="2"/>
      <c r="D11" s="2"/>
      <c r="E11" s="2"/>
      <c r="F11" s="2"/>
      <c r="G11" s="2"/>
      <c r="H11" s="2"/>
      <c r="I11" s="2"/>
      <c r="J11" s="2"/>
      <c r="K11" s="4"/>
      <c r="L11" s="4"/>
      <c r="M11" s="2"/>
      <c r="N11" s="2"/>
      <c r="O11" s="2"/>
      <c r="P11" s="2"/>
    </row>
    <row r="12" spans="1:16" x14ac:dyDescent="0.3">
      <c r="A12" s="1"/>
      <c r="B12" s="2"/>
      <c r="C12" s="2"/>
      <c r="D12" s="2"/>
      <c r="E12" s="2"/>
      <c r="F12" s="2"/>
      <c r="G12" s="2"/>
      <c r="H12" s="2"/>
      <c r="I12" s="2"/>
      <c r="J12" s="2"/>
      <c r="K12" s="4"/>
      <c r="L12" s="4"/>
      <c r="M12" s="2"/>
      <c r="N12" s="2"/>
      <c r="O12" s="2"/>
      <c r="P12" s="2"/>
    </row>
    <row r="13" spans="1:16" x14ac:dyDescent="0.3">
      <c r="A13" s="1"/>
      <c r="B13" s="2"/>
      <c r="C13" s="2"/>
      <c r="D13" s="2"/>
      <c r="E13" s="2"/>
      <c r="F13" s="2"/>
      <c r="G13" s="2"/>
      <c r="H13" s="2"/>
      <c r="I13" s="2"/>
      <c r="J13" s="2"/>
      <c r="K13" s="4"/>
      <c r="L13" s="4"/>
      <c r="M13" s="2"/>
      <c r="N13" s="2"/>
      <c r="O13" s="2"/>
      <c r="P13" s="2"/>
    </row>
    <row r="14" spans="1:16" x14ac:dyDescent="0.3">
      <c r="A14" s="1"/>
      <c r="B14" s="2"/>
      <c r="C14" s="2"/>
      <c r="D14" s="2"/>
      <c r="E14" s="2"/>
      <c r="F14" s="2"/>
      <c r="G14" s="2"/>
      <c r="H14" s="2"/>
      <c r="I14" s="2"/>
      <c r="J14" s="2"/>
      <c r="K14" s="4"/>
      <c r="L14" s="4"/>
      <c r="M14" s="2"/>
      <c r="N14" s="2"/>
      <c r="O14" s="2"/>
      <c r="P14" s="2"/>
    </row>
    <row r="15" spans="1:16" x14ac:dyDescent="0.3">
      <c r="A15" s="1"/>
      <c r="B15" s="2"/>
      <c r="C15" s="2"/>
      <c r="D15" s="2"/>
      <c r="E15" s="2"/>
      <c r="F15" s="2"/>
      <c r="G15" s="2"/>
      <c r="H15" s="2"/>
      <c r="I15" s="2"/>
      <c r="J15" s="2"/>
      <c r="K15" s="4"/>
      <c r="L15" s="4"/>
      <c r="M15" s="2"/>
      <c r="N15" s="2"/>
      <c r="O15" s="2"/>
      <c r="P15" s="2"/>
    </row>
    <row r="16" spans="1:16" x14ac:dyDescent="0.3">
      <c r="A16" s="1"/>
      <c r="B16" s="2"/>
      <c r="C16" s="2"/>
      <c r="D16" s="2"/>
      <c r="E16" s="2"/>
      <c r="F16" s="2"/>
      <c r="G16" s="2"/>
      <c r="H16" s="2"/>
      <c r="I16" s="2"/>
      <c r="J16" s="2"/>
      <c r="K16" s="4"/>
      <c r="L16" s="4"/>
      <c r="M16" s="2"/>
      <c r="N16" s="2"/>
      <c r="O16" s="2"/>
      <c r="P16" s="2"/>
    </row>
    <row r="17" spans="1:16" x14ac:dyDescent="0.3">
      <c r="A17" s="1"/>
      <c r="B17" s="2"/>
      <c r="C17" s="2"/>
      <c r="D17" s="2"/>
      <c r="E17" s="2"/>
      <c r="F17" s="2"/>
      <c r="G17" s="2"/>
      <c r="H17" s="2"/>
      <c r="I17" s="2"/>
      <c r="J17" s="2"/>
      <c r="K17" s="4"/>
      <c r="L17" s="4"/>
      <c r="M17" s="2"/>
      <c r="N17" s="2"/>
      <c r="O17" s="2"/>
      <c r="P17" s="2"/>
    </row>
    <row r="18" spans="1:16" x14ac:dyDescent="0.3">
      <c r="A18" s="1"/>
      <c r="B18" s="2"/>
      <c r="C18" s="2"/>
      <c r="D18" s="2"/>
      <c r="E18" s="2"/>
      <c r="F18" s="2"/>
      <c r="G18" s="2"/>
      <c r="H18" s="2"/>
      <c r="I18" s="2"/>
      <c r="J18" s="2"/>
      <c r="K18" s="4"/>
      <c r="L18" s="4"/>
      <c r="M18" s="2"/>
      <c r="N18" s="2"/>
      <c r="O18" s="2"/>
      <c r="P18" s="2"/>
    </row>
    <row r="19" spans="1:16" x14ac:dyDescent="0.3">
      <c r="A19" s="1"/>
      <c r="B19" s="2"/>
      <c r="C19" s="2"/>
      <c r="D19" s="2"/>
      <c r="E19" s="2"/>
      <c r="F19" s="2"/>
      <c r="G19" s="2"/>
      <c r="H19" s="2"/>
      <c r="I19" s="2"/>
      <c r="J19" s="2"/>
      <c r="K19" s="4"/>
      <c r="L19" s="4"/>
      <c r="M19" s="2"/>
      <c r="N19" s="2"/>
      <c r="O19" s="2"/>
      <c r="P19" s="2"/>
    </row>
    <row r="20" spans="1:16" x14ac:dyDescent="0.3">
      <c r="A20" s="1"/>
      <c r="B20" s="2"/>
      <c r="C20" s="2"/>
      <c r="D20" s="2"/>
      <c r="E20" s="2"/>
      <c r="F20" s="2"/>
      <c r="G20" s="2"/>
      <c r="H20" s="2"/>
      <c r="I20" s="2"/>
      <c r="J20" s="2"/>
      <c r="K20" s="4"/>
      <c r="L20" s="4"/>
      <c r="M20" s="2"/>
      <c r="N20" s="2"/>
      <c r="O20" s="2"/>
      <c r="P20" s="2"/>
    </row>
    <row r="21" spans="1:16" x14ac:dyDescent="0.3">
      <c r="A21" s="1"/>
      <c r="B21" s="2"/>
      <c r="C21" s="2"/>
      <c r="D21" s="2"/>
      <c r="E21" s="2"/>
      <c r="F21" s="2"/>
      <c r="G21" s="2"/>
      <c r="H21" s="2"/>
      <c r="I21" s="2"/>
      <c r="J21" s="2"/>
      <c r="K21" s="4"/>
      <c r="L21" s="4"/>
      <c r="M21" s="2"/>
      <c r="N21" s="2"/>
      <c r="O21" s="2"/>
      <c r="P21" s="2"/>
    </row>
    <row r="22" spans="1:16" x14ac:dyDescent="0.3">
      <c r="A22" s="1"/>
      <c r="B22" s="2"/>
      <c r="C22" s="2"/>
      <c r="D22" s="2"/>
      <c r="E22" s="2"/>
      <c r="F22" s="2"/>
      <c r="G22" s="2"/>
      <c r="H22" s="2"/>
      <c r="I22" s="2"/>
      <c r="J22" s="2"/>
      <c r="K22" s="4"/>
      <c r="L22" s="4"/>
      <c r="M22" s="2"/>
      <c r="N22" s="2"/>
      <c r="O22" s="2"/>
      <c r="P22" s="2"/>
    </row>
    <row r="23" spans="1:16" x14ac:dyDescent="0.3">
      <c r="A23" s="1"/>
      <c r="B23" s="2"/>
      <c r="C23" s="2"/>
      <c r="D23" s="2"/>
      <c r="E23" s="2"/>
      <c r="F23" s="2"/>
      <c r="G23" s="2"/>
      <c r="H23" s="2"/>
      <c r="I23" s="2"/>
      <c r="J23" s="2"/>
      <c r="K23" s="4"/>
      <c r="L23" s="4"/>
      <c r="M23" s="2"/>
      <c r="N23" s="2"/>
      <c r="O23" s="2"/>
      <c r="P23" s="2"/>
    </row>
    <row r="24" spans="1:16" x14ac:dyDescent="0.3">
      <c r="A24" s="1"/>
      <c r="B24" s="2"/>
      <c r="C24" s="2"/>
      <c r="D24" s="2"/>
      <c r="E24" s="2"/>
      <c r="F24" s="2"/>
      <c r="G24" s="2"/>
      <c r="H24" s="2"/>
      <c r="I24" s="2"/>
      <c r="J24" s="2"/>
      <c r="K24" s="4"/>
      <c r="L24" s="4"/>
      <c r="M24" s="2"/>
      <c r="N24" s="2"/>
      <c r="O24" s="2"/>
      <c r="P24" s="2"/>
    </row>
    <row r="25" spans="1:16" x14ac:dyDescent="0.3">
      <c r="A25" s="1"/>
      <c r="B25" s="2"/>
      <c r="C25" s="2"/>
      <c r="D25" s="2"/>
      <c r="E25" s="2"/>
      <c r="F25" s="2"/>
      <c r="G25" s="2"/>
      <c r="H25" s="2"/>
      <c r="I25" s="2"/>
      <c r="J25" s="2"/>
      <c r="K25" s="4"/>
      <c r="L25" s="4"/>
      <c r="M25" s="2"/>
      <c r="N25" s="2"/>
      <c r="O25" s="2"/>
      <c r="P25" s="2"/>
    </row>
    <row r="26" spans="1:16" x14ac:dyDescent="0.3">
      <c r="A26" s="1"/>
      <c r="B26" s="2"/>
      <c r="C26" s="2"/>
      <c r="D26" s="2"/>
      <c r="E26" s="2"/>
      <c r="F26" s="2"/>
      <c r="G26" s="2"/>
      <c r="H26" s="2"/>
      <c r="I26" s="2"/>
      <c r="J26" s="2"/>
      <c r="K26" s="4"/>
      <c r="L26" s="4"/>
      <c r="M26" s="2"/>
      <c r="N26" s="2"/>
      <c r="O26" s="2"/>
      <c r="P26" s="2"/>
    </row>
    <row r="27" spans="1:16" x14ac:dyDescent="0.3">
      <c r="A27" s="1"/>
      <c r="B27" s="2"/>
      <c r="C27" s="2"/>
      <c r="D27" s="2"/>
      <c r="E27" s="2"/>
      <c r="F27" s="2"/>
      <c r="G27" s="2"/>
      <c r="H27" s="2"/>
      <c r="I27" s="2"/>
      <c r="J27" s="2"/>
      <c r="K27" s="4"/>
      <c r="L27" s="4"/>
      <c r="M27" s="2"/>
      <c r="N27" s="2"/>
      <c r="O27" s="2"/>
      <c r="P27" s="2"/>
    </row>
    <row r="28" spans="1:16" x14ac:dyDescent="0.3">
      <c r="A28" s="1"/>
      <c r="B28" s="2"/>
      <c r="C28" s="2"/>
      <c r="D28" s="2"/>
      <c r="E28" s="2"/>
      <c r="F28" s="2"/>
      <c r="G28" s="2"/>
      <c r="H28" s="2"/>
      <c r="I28" s="2"/>
      <c r="J28" s="2"/>
      <c r="K28" s="4"/>
      <c r="L28" s="4"/>
      <c r="M28" s="2"/>
      <c r="N28" s="2"/>
      <c r="O28" s="2"/>
      <c r="P28" s="2"/>
    </row>
    <row r="29" spans="1:16" x14ac:dyDescent="0.3">
      <c r="A29" s="1"/>
      <c r="B29" s="2"/>
      <c r="C29" s="2"/>
      <c r="D29" s="2"/>
      <c r="E29" s="2"/>
      <c r="F29" s="2"/>
      <c r="G29" s="2"/>
      <c r="H29" s="2"/>
      <c r="I29" s="2"/>
      <c r="J29" s="2"/>
      <c r="K29" s="4"/>
      <c r="L29" s="4"/>
      <c r="M29" s="2"/>
      <c r="N29" s="2"/>
      <c r="O29" s="2"/>
      <c r="P29" s="2"/>
    </row>
    <row r="30" spans="1:16" x14ac:dyDescent="0.3">
      <c r="A30" s="1"/>
      <c r="B30" s="2"/>
      <c r="C30" s="2"/>
      <c r="D30" s="2"/>
      <c r="E30" s="2"/>
      <c r="F30" s="2"/>
      <c r="G30" s="2"/>
      <c r="H30" s="2"/>
      <c r="I30" s="2"/>
      <c r="J30" s="2"/>
      <c r="K30" s="4"/>
      <c r="L30" s="4"/>
      <c r="M30" s="2"/>
      <c r="N30" s="2"/>
      <c r="O30" s="2"/>
      <c r="P30" s="2"/>
    </row>
    <row r="31" spans="1:16" x14ac:dyDescent="0.3">
      <c r="A31" s="1"/>
      <c r="B31" s="2"/>
      <c r="C31" s="2"/>
      <c r="D31" s="2"/>
      <c r="E31" s="2"/>
      <c r="F31" s="2"/>
      <c r="G31" s="2"/>
      <c r="H31" s="2"/>
      <c r="I31" s="2"/>
      <c r="J31" s="2"/>
      <c r="K31" s="4"/>
      <c r="L31" s="4"/>
      <c r="M31" s="2"/>
      <c r="N31" s="2"/>
      <c r="O31" s="2"/>
      <c r="P31" s="2"/>
    </row>
    <row r="32" spans="1:16" x14ac:dyDescent="0.3">
      <c r="A32" s="1"/>
      <c r="B32" s="2"/>
      <c r="C32" s="2"/>
      <c r="D32" s="2"/>
      <c r="E32" s="2"/>
      <c r="F32" s="2"/>
      <c r="G32" s="2"/>
      <c r="H32" s="2"/>
      <c r="I32" s="2"/>
      <c r="J32" s="2"/>
      <c r="K32" s="4"/>
      <c r="L32" s="4"/>
      <c r="M32" s="2"/>
      <c r="N32" s="2"/>
      <c r="O32" s="2"/>
      <c r="P32" s="2"/>
    </row>
    <row r="33" spans="1:16" x14ac:dyDescent="0.3">
      <c r="A33" s="1"/>
      <c r="B33" s="2"/>
      <c r="C33" s="2"/>
      <c r="D33" s="2"/>
      <c r="E33" s="2"/>
      <c r="F33" s="2"/>
      <c r="G33" s="2"/>
      <c r="H33" s="2"/>
      <c r="I33" s="2"/>
      <c r="J33" s="2"/>
      <c r="K33" s="4"/>
      <c r="L33" s="4"/>
      <c r="M33" s="2"/>
      <c r="N33" s="2"/>
      <c r="O33" s="2"/>
      <c r="P33" s="2"/>
    </row>
    <row r="34" spans="1:16" x14ac:dyDescent="0.3">
      <c r="A34" s="1"/>
      <c r="B34" s="2"/>
      <c r="C34" s="2"/>
      <c r="D34" s="2"/>
      <c r="E34" s="2"/>
      <c r="F34" s="2"/>
      <c r="G34" s="2"/>
      <c r="H34" s="2"/>
      <c r="I34" s="2"/>
      <c r="J34" s="2"/>
      <c r="K34" s="4"/>
      <c r="L34" s="4"/>
      <c r="M34" s="2"/>
      <c r="N34" s="2"/>
      <c r="O34" s="2"/>
      <c r="P34" s="2"/>
    </row>
    <row r="35" spans="1:16" x14ac:dyDescent="0.3">
      <c r="A35" s="1"/>
      <c r="B35" s="2"/>
      <c r="C35" s="2"/>
      <c r="D35" s="2"/>
      <c r="E35" s="2"/>
      <c r="F35" s="2"/>
      <c r="G35" s="2"/>
      <c r="H35" s="2"/>
      <c r="I35" s="2"/>
      <c r="J35" s="2"/>
      <c r="K35" s="4"/>
      <c r="L35" s="4"/>
      <c r="M35" s="2"/>
      <c r="N35" s="2"/>
      <c r="O35" s="2"/>
      <c r="P35" s="2"/>
    </row>
    <row r="36" spans="1:16" x14ac:dyDescent="0.3">
      <c r="A36" s="1"/>
      <c r="B36" s="2"/>
      <c r="C36" s="2"/>
      <c r="D36" s="2"/>
      <c r="E36" s="2"/>
      <c r="F36" s="2"/>
      <c r="G36" s="2"/>
      <c r="H36" s="2"/>
      <c r="I36" s="2"/>
      <c r="J36" s="2"/>
      <c r="K36" s="4"/>
      <c r="L36" s="4"/>
      <c r="M36" s="2"/>
      <c r="N36" s="2"/>
      <c r="O36" s="2"/>
      <c r="P36" s="2"/>
    </row>
    <row r="37" spans="1:16" x14ac:dyDescent="0.3">
      <c r="A37" s="1"/>
      <c r="B37" s="2"/>
      <c r="C37" s="2"/>
      <c r="D37" s="2"/>
      <c r="E37" s="2"/>
      <c r="F37" s="2"/>
      <c r="G37" s="2"/>
      <c r="H37" s="2"/>
      <c r="I37" s="2"/>
      <c r="J37" s="2"/>
      <c r="K37" s="4"/>
      <c r="L37" s="4"/>
      <c r="M37" s="2"/>
      <c r="N37" s="2"/>
      <c r="O37" s="2"/>
      <c r="P37" s="2"/>
    </row>
    <row r="38" spans="1:16" x14ac:dyDescent="0.3">
      <c r="A38" s="1"/>
      <c r="B38" s="2"/>
      <c r="C38" s="2"/>
      <c r="D38" s="2"/>
      <c r="E38" s="2"/>
      <c r="F38" s="2"/>
      <c r="G38" s="2"/>
      <c r="H38" s="2"/>
      <c r="I38" s="2"/>
      <c r="J38" s="2"/>
      <c r="K38" s="4"/>
      <c r="L38" s="4"/>
      <c r="M38" s="2"/>
      <c r="N38" s="2"/>
      <c r="O38" s="2"/>
      <c r="P38" s="2"/>
    </row>
    <row r="39" spans="1:16" x14ac:dyDescent="0.3">
      <c r="A39" s="1"/>
      <c r="B39" s="2"/>
      <c r="C39" s="2"/>
      <c r="D39" s="2"/>
      <c r="E39" s="2"/>
      <c r="F39" s="2"/>
      <c r="G39" s="2"/>
      <c r="H39" s="2"/>
      <c r="I39" s="2"/>
      <c r="J39" s="2"/>
      <c r="K39" s="4"/>
      <c r="L39" s="4"/>
      <c r="M39" s="2"/>
      <c r="N39" s="2"/>
      <c r="O39" s="2"/>
      <c r="P39" s="2"/>
    </row>
    <row r="40" spans="1:16" x14ac:dyDescent="0.3">
      <c r="A40" s="1"/>
      <c r="B40" s="2"/>
      <c r="C40" s="2"/>
      <c r="D40" s="2"/>
      <c r="E40" s="2"/>
      <c r="F40" s="2"/>
      <c r="G40" s="2"/>
      <c r="H40" s="2"/>
      <c r="I40" s="2"/>
      <c r="J40" s="2"/>
      <c r="K40" s="4"/>
      <c r="L40" s="4"/>
      <c r="M40" s="2"/>
      <c r="N40" s="2"/>
      <c r="O40" s="2"/>
      <c r="P40" s="2"/>
    </row>
    <row r="41" spans="1:16" x14ac:dyDescent="0.3">
      <c r="A41" s="1"/>
      <c r="B41" s="2"/>
      <c r="C41" s="2"/>
      <c r="D41" s="2"/>
      <c r="E41" s="2"/>
      <c r="F41" s="2"/>
      <c r="G41" s="2"/>
      <c r="H41" s="2"/>
      <c r="I41" s="2"/>
      <c r="J41" s="2"/>
      <c r="K41" s="4"/>
      <c r="L41" s="4"/>
      <c r="M41" s="2"/>
      <c r="N41" s="2"/>
      <c r="O41" s="2"/>
      <c r="P41" s="2"/>
    </row>
    <row r="42" spans="1:16" x14ac:dyDescent="0.3">
      <c r="A42" s="1"/>
      <c r="B42" s="2"/>
      <c r="C42" s="2"/>
      <c r="D42" s="2"/>
      <c r="E42" s="2"/>
      <c r="F42" s="2"/>
      <c r="G42" s="2"/>
      <c r="H42" s="2"/>
      <c r="I42" s="2"/>
      <c r="J42" s="2"/>
      <c r="K42" s="4"/>
      <c r="L42" s="4"/>
      <c r="M42" s="2"/>
      <c r="N42" s="2"/>
      <c r="O42" s="2"/>
      <c r="P42" s="2"/>
    </row>
    <row r="43" spans="1:16" x14ac:dyDescent="0.3">
      <c r="A43" s="1"/>
      <c r="B43" s="2"/>
      <c r="C43" s="2"/>
      <c r="D43" s="2"/>
      <c r="E43" s="2"/>
      <c r="F43" s="2"/>
      <c r="G43" s="2"/>
      <c r="H43" s="2"/>
      <c r="I43" s="2"/>
      <c r="J43" s="2"/>
      <c r="K43" s="4"/>
      <c r="L43" s="4"/>
      <c r="M43" s="2"/>
      <c r="N43" s="2"/>
      <c r="O43" s="2"/>
      <c r="P43" s="2"/>
    </row>
    <row r="44" spans="1:16" x14ac:dyDescent="0.3">
      <c r="A44" s="1"/>
      <c r="B44" s="2"/>
      <c r="C44" s="2"/>
      <c r="D44" s="2"/>
      <c r="E44" s="2"/>
      <c r="F44" s="2"/>
      <c r="G44" s="2"/>
      <c r="H44" s="2"/>
      <c r="I44" s="2"/>
      <c r="J44" s="2"/>
      <c r="K44" s="4"/>
      <c r="L44" s="4"/>
      <c r="M44" s="2"/>
      <c r="N44" s="2"/>
      <c r="O44" s="2"/>
      <c r="P44" s="2"/>
    </row>
    <row r="45" spans="1:16" x14ac:dyDescent="0.3">
      <c r="A45" s="1"/>
      <c r="B45" s="2"/>
      <c r="C45" s="2"/>
      <c r="D45" s="2"/>
      <c r="E45" s="2"/>
      <c r="F45" s="2"/>
      <c r="G45" s="2"/>
      <c r="H45" s="2"/>
      <c r="I45" s="2"/>
      <c r="J45" s="2"/>
      <c r="K45" s="4"/>
      <c r="L45" s="4"/>
      <c r="M45" s="2"/>
      <c r="N45" s="2"/>
      <c r="O45" s="2"/>
      <c r="P45" s="2"/>
    </row>
    <row r="46" spans="1:16" x14ac:dyDescent="0.3">
      <c r="A46" s="1"/>
      <c r="B46" s="2"/>
      <c r="C46" s="2"/>
      <c r="D46" s="2"/>
      <c r="E46" s="2"/>
      <c r="F46" s="2"/>
      <c r="G46" s="2"/>
      <c r="H46" s="2"/>
      <c r="I46" s="2"/>
      <c r="J46" s="2"/>
      <c r="K46" s="4"/>
      <c r="L46" s="4"/>
      <c r="M46" s="2"/>
      <c r="N46" s="2"/>
      <c r="O46" s="2"/>
      <c r="P46" s="2"/>
    </row>
    <row r="47" spans="1:16" x14ac:dyDescent="0.3">
      <c r="A47" s="1"/>
      <c r="B47" s="2"/>
      <c r="C47" s="2"/>
      <c r="D47" s="2"/>
      <c r="E47" s="2"/>
      <c r="F47" s="2"/>
      <c r="G47" s="2"/>
      <c r="H47" s="2"/>
      <c r="I47" s="2"/>
      <c r="J47" s="2"/>
      <c r="K47" s="4"/>
      <c r="L47" s="4"/>
      <c r="M47" s="2"/>
      <c r="N47" s="2"/>
      <c r="O47" s="2"/>
      <c r="P47" s="2"/>
    </row>
    <row r="48" spans="1:16" x14ac:dyDescent="0.3">
      <c r="A48" s="1"/>
      <c r="B48" s="2"/>
      <c r="C48" s="2"/>
      <c r="D48" s="2"/>
      <c r="E48" s="2"/>
      <c r="F48" s="2"/>
      <c r="G48" s="2"/>
      <c r="H48" s="2"/>
      <c r="I48" s="2"/>
      <c r="J48" s="2"/>
      <c r="K48" s="4"/>
      <c r="L48" s="4"/>
      <c r="M48" s="2"/>
      <c r="N48" s="2"/>
      <c r="O48" s="2"/>
      <c r="P48" s="2"/>
    </row>
    <row r="49" spans="1:16" x14ac:dyDescent="0.3">
      <c r="A49" s="1"/>
      <c r="B49" s="2"/>
      <c r="C49" s="2"/>
      <c r="D49" s="2"/>
      <c r="E49" s="2"/>
      <c r="F49" s="2"/>
      <c r="G49" s="2"/>
      <c r="H49" s="2"/>
      <c r="I49" s="2"/>
      <c r="J49" s="2"/>
      <c r="K49" s="4"/>
      <c r="L49" s="4"/>
      <c r="M49" s="2"/>
      <c r="N49" s="2"/>
      <c r="O49" s="2"/>
      <c r="P49" s="2"/>
    </row>
    <row r="50" spans="1:16" x14ac:dyDescent="0.3">
      <c r="A50" s="1"/>
      <c r="B50" s="2"/>
      <c r="C50" s="2"/>
      <c r="D50" s="2"/>
      <c r="E50" s="2"/>
      <c r="F50" s="2"/>
      <c r="G50" s="2"/>
      <c r="H50" s="2"/>
      <c r="I50" s="2"/>
      <c r="J50" s="2"/>
      <c r="K50" s="4"/>
      <c r="L50" s="4"/>
      <c r="M50" s="2"/>
      <c r="N50" s="2"/>
      <c r="O50" s="2"/>
      <c r="P50" s="2"/>
    </row>
    <row r="51" spans="1:16" x14ac:dyDescent="0.3">
      <c r="A51" s="1"/>
      <c r="B51" s="2"/>
      <c r="C51" s="2"/>
      <c r="D51" s="2"/>
      <c r="E51" s="2"/>
      <c r="F51" s="2"/>
      <c r="G51" s="2"/>
      <c r="H51" s="2"/>
      <c r="I51" s="2"/>
      <c r="J51" s="2"/>
      <c r="K51" s="4"/>
      <c r="L51" s="4"/>
      <c r="M51" s="2"/>
      <c r="N51" s="2"/>
      <c r="O51" s="2"/>
      <c r="P51" s="2"/>
    </row>
    <row r="52" spans="1:16" x14ac:dyDescent="0.3">
      <c r="A52" s="1"/>
      <c r="B52" s="2"/>
      <c r="C52" s="2"/>
      <c r="D52" s="2"/>
      <c r="E52" s="2"/>
      <c r="F52" s="2"/>
      <c r="G52" s="2"/>
      <c r="H52" s="2"/>
      <c r="I52" s="2"/>
      <c r="J52" s="2"/>
      <c r="K52" s="4"/>
      <c r="L52" s="4"/>
      <c r="M52" s="2"/>
      <c r="N52" s="2"/>
      <c r="O52" s="2"/>
      <c r="P52" s="2"/>
    </row>
    <row r="53" spans="1:16" x14ac:dyDescent="0.3">
      <c r="A53" s="1"/>
      <c r="B53" s="2"/>
      <c r="C53" s="2"/>
      <c r="D53" s="2"/>
      <c r="E53" s="2"/>
      <c r="F53" s="2"/>
      <c r="G53" s="2"/>
      <c r="H53" s="2"/>
      <c r="I53" s="2"/>
      <c r="J53" s="2"/>
      <c r="K53" s="4"/>
      <c r="L53" s="4"/>
      <c r="M53" s="2"/>
      <c r="N53" s="2"/>
      <c r="O53" s="2"/>
      <c r="P53" s="2"/>
    </row>
    <row r="54" spans="1:16" x14ac:dyDescent="0.3">
      <c r="A54" s="1"/>
      <c r="B54" s="2"/>
      <c r="C54" s="2"/>
      <c r="D54" s="2"/>
      <c r="E54" s="2"/>
      <c r="F54" s="2"/>
      <c r="G54" s="2"/>
      <c r="H54" s="2"/>
      <c r="I54" s="2"/>
      <c r="J54" s="2"/>
      <c r="K54" s="4"/>
      <c r="L54" s="4"/>
      <c r="M54" s="2"/>
      <c r="N54" s="2"/>
      <c r="O54" s="2"/>
      <c r="P54" s="2"/>
    </row>
    <row r="55" spans="1:16" x14ac:dyDescent="0.3">
      <c r="A55" s="1"/>
      <c r="B55" s="2"/>
      <c r="C55" s="2"/>
      <c r="D55" s="2"/>
      <c r="E55" s="2"/>
      <c r="F55" s="2"/>
      <c r="G55" s="2"/>
      <c r="H55" s="2"/>
      <c r="I55" s="2"/>
      <c r="J55" s="2"/>
      <c r="K55" s="4"/>
      <c r="L55" s="4"/>
      <c r="M55" s="2"/>
      <c r="N55" s="2"/>
      <c r="O55" s="2"/>
      <c r="P55" s="2"/>
    </row>
    <row r="56" spans="1:16" x14ac:dyDescent="0.3">
      <c r="A56" s="1"/>
      <c r="B56" s="2"/>
      <c r="C56" s="2"/>
      <c r="D56" s="2"/>
      <c r="E56" s="2"/>
      <c r="F56" s="2"/>
      <c r="G56" s="2"/>
      <c r="H56" s="2"/>
      <c r="I56" s="2"/>
      <c r="J56" s="2"/>
      <c r="K56" s="4"/>
      <c r="L56" s="4"/>
      <c r="M56" s="2"/>
      <c r="N56" s="2"/>
      <c r="O56" s="2"/>
      <c r="P56" s="2"/>
    </row>
    <row r="57" spans="1:16" x14ac:dyDescent="0.3">
      <c r="A57" s="1"/>
      <c r="B57" s="2"/>
      <c r="C57" s="2"/>
      <c r="D57" s="2"/>
      <c r="E57" s="2"/>
      <c r="F57" s="2"/>
      <c r="G57" s="2"/>
      <c r="H57" s="2"/>
      <c r="I57" s="2"/>
      <c r="J57" s="2"/>
      <c r="K57" s="4"/>
      <c r="L57" s="4"/>
      <c r="M57" s="2"/>
      <c r="N57" s="2"/>
      <c r="O57" s="2"/>
      <c r="P57" s="2"/>
    </row>
    <row r="58" spans="1:16" x14ac:dyDescent="0.3">
      <c r="A58" s="1"/>
      <c r="B58" s="2"/>
      <c r="C58" s="2"/>
      <c r="D58" s="2"/>
      <c r="E58" s="2"/>
      <c r="F58" s="2"/>
      <c r="G58" s="2"/>
      <c r="H58" s="2"/>
      <c r="I58" s="2"/>
      <c r="J58" s="2"/>
      <c r="K58" s="4"/>
      <c r="L58" s="4"/>
      <c r="M58" s="2"/>
      <c r="N58" s="2"/>
      <c r="O58" s="2"/>
      <c r="P58" s="2"/>
    </row>
    <row r="59" spans="1:16" x14ac:dyDescent="0.3">
      <c r="A59" s="1"/>
      <c r="B59" s="2"/>
      <c r="C59" s="2"/>
      <c r="D59" s="2"/>
      <c r="E59" s="2"/>
      <c r="F59" s="2"/>
      <c r="G59" s="2"/>
      <c r="H59" s="2"/>
      <c r="I59" s="2"/>
      <c r="J59" s="2"/>
      <c r="K59" s="4"/>
      <c r="L59" s="4"/>
      <c r="M59" s="2"/>
      <c r="N59" s="2"/>
      <c r="O59" s="2"/>
      <c r="P59" s="2"/>
    </row>
    <row r="60" spans="1:16" x14ac:dyDescent="0.3">
      <c r="A60" s="1"/>
      <c r="B60" s="2"/>
      <c r="C60" s="2"/>
      <c r="D60" s="2"/>
      <c r="E60" s="2"/>
      <c r="F60" s="2"/>
      <c r="G60" s="2"/>
      <c r="H60" s="2"/>
      <c r="I60" s="2"/>
      <c r="J60" s="2"/>
      <c r="K60" s="4"/>
      <c r="L60" s="4"/>
      <c r="M60" s="2"/>
      <c r="N60" s="2"/>
      <c r="O60" s="2"/>
      <c r="P60" s="2"/>
    </row>
    <row r="61" spans="1:16" x14ac:dyDescent="0.3">
      <c r="A61" s="1"/>
      <c r="B61" s="2"/>
      <c r="C61" s="2"/>
      <c r="D61" s="2"/>
      <c r="E61" s="2"/>
      <c r="F61" s="2"/>
      <c r="G61" s="2"/>
      <c r="H61" s="2"/>
      <c r="I61" s="2"/>
      <c r="J61" s="2"/>
      <c r="K61" s="4"/>
      <c r="L61" s="4"/>
      <c r="M61" s="2"/>
      <c r="N61" s="2"/>
      <c r="O61" s="2"/>
      <c r="P61" s="2"/>
    </row>
    <row r="62" spans="1:16" x14ac:dyDescent="0.3">
      <c r="A62" s="1"/>
      <c r="B62" s="2"/>
      <c r="C62" s="2"/>
      <c r="D62" s="2"/>
      <c r="E62" s="2"/>
      <c r="F62" s="2"/>
      <c r="G62" s="2"/>
      <c r="H62" s="2"/>
      <c r="I62" s="2"/>
      <c r="J62" s="2"/>
      <c r="K62" s="4"/>
      <c r="L62" s="4"/>
      <c r="M62" s="2"/>
      <c r="N62" s="2"/>
      <c r="O62" s="2"/>
      <c r="P62" s="2"/>
    </row>
    <row r="63" spans="1:16" x14ac:dyDescent="0.3">
      <c r="A63" s="1"/>
      <c r="B63" s="2"/>
      <c r="C63" s="2"/>
      <c r="D63" s="2"/>
      <c r="E63" s="2"/>
      <c r="F63" s="2"/>
      <c r="G63" s="2"/>
      <c r="H63" s="2"/>
      <c r="I63" s="2"/>
      <c r="J63" s="2"/>
      <c r="K63" s="4"/>
      <c r="L63" s="4"/>
      <c r="M63" s="2"/>
      <c r="N63" s="2"/>
      <c r="O63" s="2"/>
      <c r="P63" s="2"/>
    </row>
    <row r="64" spans="1:16" x14ac:dyDescent="0.3">
      <c r="A64" s="1"/>
      <c r="B64" s="2"/>
      <c r="C64" s="2"/>
      <c r="D64" s="2"/>
      <c r="E64" s="2"/>
      <c r="F64" s="2"/>
      <c r="G64" s="2"/>
      <c r="H64" s="2"/>
      <c r="I64" s="2"/>
      <c r="J64" s="2"/>
      <c r="K64" s="4"/>
      <c r="L64" s="4"/>
      <c r="M64" s="2"/>
      <c r="N64" s="2"/>
      <c r="O64" s="2"/>
      <c r="P64" s="2"/>
    </row>
    <row r="65" spans="1:16" x14ac:dyDescent="0.3">
      <c r="A65" s="1"/>
      <c r="B65" s="2"/>
      <c r="C65" s="2"/>
      <c r="D65" s="2"/>
      <c r="E65" s="2"/>
      <c r="F65" s="2"/>
      <c r="G65" s="2"/>
      <c r="H65" s="2"/>
      <c r="I65" s="2"/>
      <c r="J65" s="2"/>
      <c r="K65" s="4"/>
      <c r="L65" s="4"/>
      <c r="M65" s="2"/>
      <c r="N65" s="2"/>
      <c r="O65" s="2"/>
      <c r="P65" s="2"/>
    </row>
    <row r="66" spans="1:16" x14ac:dyDescent="0.3">
      <c r="A66" s="1"/>
      <c r="B66" s="2"/>
      <c r="C66" s="2"/>
      <c r="D66" s="2"/>
      <c r="E66" s="2"/>
      <c r="F66" s="2"/>
      <c r="G66" s="2"/>
      <c r="H66" s="2"/>
      <c r="I66" s="2"/>
      <c r="J66" s="2"/>
      <c r="K66" s="4"/>
      <c r="L66" s="4"/>
      <c r="M66" s="2"/>
      <c r="N66" s="2"/>
      <c r="O66" s="2"/>
      <c r="P66" s="2"/>
    </row>
    <row r="67" spans="1:16" x14ac:dyDescent="0.3">
      <c r="A67" s="1"/>
      <c r="B67" s="2"/>
      <c r="C67" s="2"/>
      <c r="D67" s="2"/>
      <c r="E67" s="2"/>
      <c r="F67" s="2"/>
      <c r="G67" s="2"/>
      <c r="H67" s="2"/>
      <c r="I67" s="2"/>
      <c r="J67" s="2"/>
      <c r="K67" s="4"/>
      <c r="L67" s="4"/>
      <c r="M67" s="2"/>
      <c r="N67" s="2"/>
      <c r="O67" s="2"/>
      <c r="P67" s="2"/>
    </row>
    <row r="68" spans="1:16" x14ac:dyDescent="0.3">
      <c r="A68" s="1"/>
      <c r="B68" s="2"/>
      <c r="C68" s="2"/>
      <c r="D68" s="2"/>
      <c r="E68" s="2"/>
      <c r="F68" s="2"/>
      <c r="G68" s="2"/>
      <c r="H68" s="2"/>
      <c r="I68" s="2"/>
      <c r="J68" s="2"/>
      <c r="K68" s="4"/>
      <c r="L68" s="4"/>
      <c r="M68" s="2"/>
      <c r="N68" s="2"/>
      <c r="O68" s="2"/>
      <c r="P68" s="2"/>
    </row>
    <row r="69" spans="1:16" x14ac:dyDescent="0.3">
      <c r="A69" s="1"/>
      <c r="B69" s="2"/>
      <c r="C69" s="2"/>
      <c r="D69" s="2"/>
      <c r="E69" s="2"/>
      <c r="F69" s="2"/>
      <c r="G69" s="2"/>
      <c r="H69" s="2"/>
      <c r="I69" s="2"/>
      <c r="J69" s="2"/>
      <c r="K69" s="4"/>
      <c r="L69" s="4"/>
      <c r="M69" s="2"/>
      <c r="N69" s="2"/>
      <c r="O69" s="2"/>
      <c r="P69" s="2"/>
    </row>
    <row r="70" spans="1:16" x14ac:dyDescent="0.3">
      <c r="A70" s="1"/>
      <c r="B70" s="2"/>
      <c r="C70" s="2"/>
      <c r="D70" s="2"/>
      <c r="E70" s="2"/>
      <c r="F70" s="2"/>
      <c r="G70" s="2"/>
      <c r="H70" s="2"/>
      <c r="I70" s="2"/>
      <c r="J70" s="2"/>
      <c r="K70" s="4"/>
      <c r="L70" s="4"/>
      <c r="M70" s="2"/>
      <c r="N70" s="2"/>
      <c r="O70" s="2"/>
      <c r="P70" s="2"/>
    </row>
    <row r="71" spans="1:16" x14ac:dyDescent="0.3">
      <c r="A71" s="1"/>
      <c r="B71" s="2"/>
      <c r="C71" s="2"/>
      <c r="D71" s="2"/>
      <c r="E71" s="2"/>
      <c r="F71" s="2"/>
      <c r="G71" s="2"/>
      <c r="H71" s="2"/>
      <c r="I71" s="2"/>
      <c r="J71" s="2"/>
      <c r="K71" s="4"/>
      <c r="L71" s="4"/>
      <c r="M71" s="2"/>
      <c r="N71" s="2"/>
      <c r="O71" s="2"/>
      <c r="P71" s="2"/>
    </row>
    <row r="72" spans="1:16" x14ac:dyDescent="0.3">
      <c r="A72" s="1"/>
      <c r="B72" s="2"/>
      <c r="C72" s="2"/>
      <c r="D72" s="2"/>
      <c r="E72" s="2"/>
      <c r="F72" s="2"/>
      <c r="G72" s="2"/>
      <c r="H72" s="2"/>
      <c r="I72" s="2"/>
      <c r="J72" s="2"/>
      <c r="K72" s="4"/>
      <c r="L72" s="4"/>
      <c r="M72" s="2"/>
      <c r="N72" s="2"/>
      <c r="O72" s="2"/>
      <c r="P72" s="2"/>
    </row>
    <row r="73" spans="1:16" x14ac:dyDescent="0.3">
      <c r="A73" s="1"/>
      <c r="B73" s="2"/>
      <c r="C73" s="2"/>
      <c r="D73" s="2"/>
      <c r="E73" s="2"/>
      <c r="F73" s="2"/>
      <c r="G73" s="2"/>
      <c r="H73" s="2"/>
      <c r="I73" s="2"/>
      <c r="J73" s="2"/>
      <c r="K73" s="4"/>
      <c r="L73" s="4"/>
      <c r="M73" s="2"/>
      <c r="N73" s="2"/>
      <c r="O73" s="2"/>
      <c r="P73" s="2"/>
    </row>
    <row r="74" spans="1:16" x14ac:dyDescent="0.3">
      <c r="A74" s="1"/>
      <c r="B74" s="2"/>
      <c r="C74" s="2"/>
      <c r="D74" s="2"/>
      <c r="E74" s="2"/>
      <c r="F74" s="2"/>
      <c r="G74" s="2"/>
      <c r="H74" s="2"/>
      <c r="I74" s="2"/>
      <c r="J74" s="2"/>
      <c r="K74" s="4"/>
      <c r="L74" s="4"/>
      <c r="M74" s="2"/>
      <c r="N74" s="2"/>
      <c r="O74" s="2"/>
      <c r="P74" s="2"/>
    </row>
    <row r="75" spans="1:16" x14ac:dyDescent="0.3">
      <c r="A75" s="1"/>
      <c r="B75" s="2"/>
      <c r="C75" s="2"/>
      <c r="D75" s="2"/>
      <c r="E75" s="2"/>
      <c r="F75" s="2"/>
      <c r="G75" s="2"/>
      <c r="H75" s="2"/>
      <c r="I75" s="2"/>
      <c r="J75" s="2"/>
      <c r="K75" s="4"/>
      <c r="L75" s="4"/>
      <c r="M75" s="2"/>
      <c r="N75" s="2"/>
      <c r="O75" s="2"/>
      <c r="P75" s="2"/>
    </row>
    <row r="76" spans="1:16" x14ac:dyDescent="0.3">
      <c r="A76" s="1"/>
      <c r="B76" s="2"/>
      <c r="C76" s="2"/>
      <c r="D76" s="2"/>
      <c r="E76" s="2"/>
      <c r="F76" s="2"/>
      <c r="G76" s="2"/>
      <c r="H76" s="2"/>
      <c r="I76" s="2"/>
      <c r="J76" s="2"/>
      <c r="K76" s="4"/>
      <c r="L76" s="4"/>
      <c r="M76" s="2"/>
      <c r="N76" s="2"/>
      <c r="O76" s="2"/>
      <c r="P76" s="2"/>
    </row>
    <row r="77" spans="1:16" x14ac:dyDescent="0.3">
      <c r="A77" s="1"/>
      <c r="B77" s="2"/>
      <c r="C77" s="2"/>
      <c r="D77" s="2"/>
      <c r="E77" s="2"/>
      <c r="F77" s="2"/>
      <c r="G77" s="2"/>
      <c r="H77" s="2"/>
      <c r="I77" s="2"/>
      <c r="J77" s="2"/>
      <c r="K77" s="4"/>
      <c r="L77" s="4"/>
      <c r="M77" s="2"/>
      <c r="N77" s="2"/>
      <c r="O77" s="2"/>
      <c r="P77" s="2"/>
    </row>
    <row r="78" spans="1:16" x14ac:dyDescent="0.3">
      <c r="A78" s="1"/>
      <c r="B78" s="2"/>
      <c r="C78" s="2"/>
      <c r="D78" s="2"/>
      <c r="E78" s="2"/>
      <c r="F78" s="2"/>
      <c r="G78" s="2"/>
      <c r="H78" s="2"/>
      <c r="I78" s="2"/>
      <c r="J78" s="2"/>
      <c r="K78" s="4"/>
      <c r="L78" s="4"/>
      <c r="M78" s="2"/>
      <c r="N78" s="2"/>
      <c r="O78" s="2"/>
      <c r="P78" s="2"/>
    </row>
    <row r="79" spans="1:16" x14ac:dyDescent="0.3">
      <c r="A79" s="1"/>
      <c r="B79" s="2"/>
      <c r="C79" s="2"/>
      <c r="D79" s="2"/>
      <c r="E79" s="2"/>
      <c r="F79" s="2"/>
      <c r="G79" s="2"/>
      <c r="H79" s="2"/>
      <c r="I79" s="2"/>
      <c r="J79" s="2"/>
      <c r="K79" s="4"/>
      <c r="L79" s="4"/>
      <c r="M79" s="2"/>
      <c r="N79" s="2"/>
      <c r="O79" s="2"/>
      <c r="P79" s="2"/>
    </row>
    <row r="80" spans="1:16" x14ac:dyDescent="0.3">
      <c r="A80" s="1"/>
      <c r="B80" s="2"/>
      <c r="C80" s="2"/>
      <c r="D80" s="2"/>
      <c r="E80" s="2"/>
      <c r="F80" s="2"/>
      <c r="G80" s="2"/>
      <c r="H80" s="2"/>
      <c r="I80" s="2"/>
      <c r="J80" s="2"/>
      <c r="K80" s="4"/>
      <c r="L80" s="4"/>
      <c r="M80" s="2"/>
      <c r="N80" s="2"/>
      <c r="O80" s="2"/>
      <c r="P80" s="2"/>
    </row>
    <row r="81" spans="1:16" x14ac:dyDescent="0.3">
      <c r="A81" s="1"/>
      <c r="B81" s="2"/>
      <c r="C81" s="2"/>
      <c r="D81" s="2"/>
      <c r="E81" s="2"/>
      <c r="F81" s="2"/>
      <c r="G81" s="2"/>
      <c r="H81" s="2"/>
      <c r="I81" s="2"/>
      <c r="J81" s="2"/>
      <c r="K81" s="4"/>
      <c r="L81" s="4"/>
      <c r="M81" s="2"/>
      <c r="N81" s="2"/>
      <c r="O81" s="2"/>
      <c r="P81" s="2"/>
    </row>
    <row r="82" spans="1:16" x14ac:dyDescent="0.3">
      <c r="A82" s="1"/>
      <c r="B82" s="2"/>
      <c r="C82" s="2"/>
      <c r="D82" s="2"/>
      <c r="E82" s="2"/>
      <c r="F82" s="2"/>
      <c r="G82" s="2"/>
      <c r="H82" s="2"/>
      <c r="I82" s="2"/>
      <c r="J82" s="2"/>
      <c r="K82" s="4"/>
      <c r="L82" s="4"/>
      <c r="M82" s="2"/>
      <c r="N82" s="2"/>
      <c r="O82" s="2"/>
      <c r="P82" s="2"/>
    </row>
    <row r="83" spans="1:16" x14ac:dyDescent="0.3">
      <c r="A83" s="1"/>
      <c r="B83" s="2"/>
      <c r="C83" s="2"/>
      <c r="D83" s="2"/>
      <c r="E83" s="2"/>
      <c r="F83" s="2"/>
      <c r="G83" s="2"/>
      <c r="H83" s="2"/>
      <c r="I83" s="2"/>
      <c r="J83" s="2"/>
      <c r="K83" s="4"/>
      <c r="L83" s="4"/>
      <c r="M83" s="2"/>
      <c r="N83" s="2"/>
      <c r="O83" s="2"/>
      <c r="P83" s="2"/>
    </row>
    <row r="84" spans="1:16" x14ac:dyDescent="0.3">
      <c r="A84" s="1"/>
      <c r="B84" s="2"/>
      <c r="C84" s="2"/>
      <c r="D84" s="2"/>
      <c r="E84" s="2"/>
      <c r="F84" s="2"/>
      <c r="G84" s="2"/>
      <c r="H84" s="2"/>
      <c r="I84" s="2"/>
      <c r="J84" s="2"/>
      <c r="K84" s="4"/>
      <c r="L84" s="4"/>
      <c r="M84" s="2"/>
      <c r="N84" s="2"/>
      <c r="O84" s="2"/>
      <c r="P84" s="2"/>
    </row>
    <row r="85" spans="1:16" x14ac:dyDescent="0.3">
      <c r="A85" s="1"/>
      <c r="B85" s="2"/>
      <c r="C85" s="2"/>
      <c r="D85" s="2"/>
      <c r="E85" s="2"/>
      <c r="F85" s="2"/>
      <c r="G85" s="2"/>
      <c r="H85" s="2"/>
      <c r="I85" s="2"/>
      <c r="J85" s="2"/>
      <c r="K85" s="4"/>
      <c r="L85" s="4"/>
      <c r="M85" s="2"/>
      <c r="N85" s="2"/>
      <c r="O85" s="2"/>
      <c r="P85" s="2"/>
    </row>
    <row r="86" spans="1:16" x14ac:dyDescent="0.3">
      <c r="A86" s="1"/>
      <c r="B86" s="2"/>
      <c r="C86" s="2"/>
      <c r="D86" s="2"/>
      <c r="E86" s="2"/>
      <c r="F86" s="2"/>
      <c r="G86" s="2"/>
      <c r="H86" s="2"/>
      <c r="I86" s="2"/>
      <c r="J86" s="2"/>
      <c r="K86" s="4"/>
      <c r="L86" s="4"/>
      <c r="M86" s="2"/>
      <c r="N86" s="2"/>
      <c r="O86" s="2"/>
      <c r="P86" s="2"/>
    </row>
    <row r="87" spans="1:16" x14ac:dyDescent="0.3">
      <c r="A87" s="1"/>
      <c r="B87" s="2"/>
      <c r="C87" s="2"/>
      <c r="D87" s="2"/>
      <c r="E87" s="2"/>
      <c r="F87" s="2"/>
      <c r="G87" s="2"/>
      <c r="H87" s="2"/>
      <c r="I87" s="2"/>
      <c r="J87" s="2"/>
      <c r="K87" s="4"/>
      <c r="L87" s="4"/>
      <c r="M87" s="2"/>
      <c r="N87" s="2"/>
      <c r="O87" s="2"/>
      <c r="P87" s="2"/>
    </row>
    <row r="88" spans="1:16" x14ac:dyDescent="0.3">
      <c r="A88" s="1"/>
      <c r="B88" s="2"/>
      <c r="C88" s="2"/>
      <c r="D88" s="2"/>
      <c r="E88" s="2"/>
      <c r="F88" s="2"/>
      <c r="G88" s="2"/>
      <c r="H88" s="2"/>
      <c r="I88" s="2"/>
      <c r="J88" s="2"/>
      <c r="K88" s="4"/>
      <c r="L88" s="4"/>
      <c r="M88" s="2"/>
      <c r="N88" s="2"/>
      <c r="O88" s="2"/>
      <c r="P88" s="2"/>
    </row>
    <row r="89" spans="1:16" x14ac:dyDescent="0.3">
      <c r="A89" s="1"/>
      <c r="B89" s="2"/>
      <c r="C89" s="2"/>
      <c r="D89" s="2"/>
      <c r="E89" s="2"/>
      <c r="F89" s="2"/>
      <c r="G89" s="2"/>
      <c r="H89" s="2"/>
      <c r="I89" s="2"/>
      <c r="J89" s="2"/>
      <c r="K89" s="4"/>
      <c r="L89" s="4"/>
      <c r="M89" s="2"/>
      <c r="N89" s="2"/>
      <c r="O89" s="2"/>
      <c r="P89" s="2"/>
    </row>
    <row r="90" spans="1:16" x14ac:dyDescent="0.3">
      <c r="A90" s="1"/>
      <c r="B90" s="2"/>
      <c r="C90" s="2"/>
      <c r="D90" s="2"/>
      <c r="E90" s="2"/>
      <c r="F90" s="2"/>
      <c r="G90" s="2"/>
      <c r="H90" s="2"/>
      <c r="I90" s="2"/>
      <c r="J90" s="2"/>
      <c r="K90" s="4"/>
      <c r="L90" s="4"/>
      <c r="M90" s="2"/>
      <c r="N90" s="2"/>
      <c r="O90" s="2"/>
      <c r="P90" s="2"/>
    </row>
    <row r="91" spans="1:16" x14ac:dyDescent="0.3">
      <c r="A91" s="1"/>
      <c r="B91" s="2"/>
      <c r="C91" s="2"/>
      <c r="D91" s="2"/>
      <c r="E91" s="2"/>
      <c r="F91" s="2"/>
      <c r="G91" s="2"/>
      <c r="H91" s="2"/>
      <c r="I91" s="2"/>
      <c r="J91" s="2"/>
      <c r="K91" s="4"/>
      <c r="L91" s="4"/>
      <c r="M91" s="2"/>
      <c r="N91" s="2"/>
      <c r="O91" s="2"/>
      <c r="P91" s="2"/>
    </row>
    <row r="92" spans="1:16" x14ac:dyDescent="0.3">
      <c r="A92" s="1"/>
      <c r="B92" s="2"/>
      <c r="C92" s="2"/>
      <c r="D92" s="2"/>
      <c r="E92" s="2"/>
      <c r="F92" s="2"/>
      <c r="G92" s="2"/>
      <c r="H92" s="2"/>
      <c r="I92" s="2"/>
      <c r="J92" s="2"/>
      <c r="K92" s="4"/>
      <c r="L92" s="4"/>
      <c r="M92" s="2"/>
      <c r="N92" s="2"/>
      <c r="O92" s="2"/>
      <c r="P92" s="2"/>
    </row>
    <row r="93" spans="1:16" x14ac:dyDescent="0.3">
      <c r="A93" s="1"/>
      <c r="B93" s="2"/>
      <c r="C93" s="2"/>
      <c r="D93" s="2"/>
      <c r="E93" s="2"/>
      <c r="F93" s="2"/>
      <c r="G93" s="2"/>
      <c r="H93" s="2"/>
      <c r="I93" s="2"/>
      <c r="J93" s="2"/>
      <c r="K93" s="4"/>
      <c r="L93" s="4"/>
      <c r="M93" s="2"/>
      <c r="N93" s="2"/>
      <c r="O93" s="2"/>
      <c r="P93" s="2"/>
    </row>
    <row r="94" spans="1:16" x14ac:dyDescent="0.3">
      <c r="A94" s="1"/>
      <c r="B94" s="2"/>
      <c r="C94" s="2"/>
      <c r="D94" s="2"/>
      <c r="E94" s="2"/>
      <c r="F94" s="2"/>
      <c r="G94" s="2"/>
      <c r="H94" s="2"/>
      <c r="I94" s="2"/>
      <c r="J94" s="2"/>
      <c r="K94" s="4"/>
      <c r="L94" s="4"/>
      <c r="M94" s="2"/>
      <c r="N94" s="2"/>
      <c r="O94" s="2"/>
      <c r="P94" s="2"/>
    </row>
    <row r="95" spans="1:16" x14ac:dyDescent="0.3">
      <c r="A95" s="1"/>
      <c r="B95" s="2"/>
      <c r="C95" s="2"/>
      <c r="D95" s="2"/>
      <c r="E95" s="2"/>
      <c r="F95" s="2"/>
      <c r="G95" s="2"/>
      <c r="H95" s="2"/>
      <c r="I95" s="2"/>
      <c r="J95" s="2"/>
      <c r="K95" s="4"/>
      <c r="L95" s="4"/>
      <c r="M95" s="2"/>
      <c r="N95" s="2"/>
      <c r="O95" s="2"/>
      <c r="P95" s="2"/>
    </row>
    <row r="96" spans="1:16" x14ac:dyDescent="0.3">
      <c r="A96" s="1"/>
      <c r="B96" s="2"/>
      <c r="C96" s="2"/>
      <c r="D96" s="2"/>
      <c r="E96" s="2"/>
      <c r="F96" s="2"/>
      <c r="G96" s="2"/>
      <c r="H96" s="2"/>
      <c r="I96" s="2"/>
      <c r="J96" s="2"/>
      <c r="K96" s="4"/>
      <c r="L96" s="4"/>
      <c r="M96" s="2"/>
      <c r="N96" s="2"/>
      <c r="O96" s="2"/>
      <c r="P96" s="2"/>
    </row>
    <row r="97" spans="1:16" x14ac:dyDescent="0.3">
      <c r="A97" s="1"/>
      <c r="B97" s="2"/>
      <c r="C97" s="2"/>
      <c r="D97" s="2"/>
      <c r="E97" s="2"/>
      <c r="F97" s="2"/>
      <c r="G97" s="2"/>
      <c r="H97" s="2"/>
      <c r="I97" s="2"/>
      <c r="J97" s="2"/>
      <c r="K97" s="4"/>
      <c r="L97" s="4"/>
      <c r="M97" s="2"/>
      <c r="N97" s="2"/>
      <c r="O97" s="2"/>
      <c r="P97" s="2"/>
    </row>
    <row r="98" spans="1:16" x14ac:dyDescent="0.3">
      <c r="A98" s="1"/>
      <c r="B98" s="2"/>
      <c r="C98" s="2"/>
      <c r="D98" s="2"/>
      <c r="E98" s="2"/>
      <c r="F98" s="2"/>
      <c r="G98" s="2"/>
      <c r="H98" s="2"/>
      <c r="I98" s="2"/>
      <c r="J98" s="2"/>
      <c r="K98" s="4"/>
      <c r="L98" s="4"/>
      <c r="M98" s="2"/>
      <c r="N98" s="2"/>
      <c r="O98" s="2"/>
      <c r="P98" s="2"/>
    </row>
    <row r="99" spans="1:16" x14ac:dyDescent="0.3">
      <c r="A99" s="1"/>
      <c r="B99" s="2"/>
      <c r="C99" s="2"/>
      <c r="D99" s="2"/>
      <c r="E99" s="2"/>
      <c r="F99" s="2"/>
      <c r="G99" s="2"/>
      <c r="H99" s="2"/>
      <c r="I99" s="2"/>
      <c r="J99" s="2"/>
      <c r="K99" s="4"/>
      <c r="L99" s="4"/>
      <c r="M99" s="2"/>
      <c r="N99" s="2"/>
      <c r="O99" s="2"/>
      <c r="P99" s="2"/>
    </row>
    <row r="100" spans="1:16" x14ac:dyDescent="0.3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4"/>
      <c r="L100" s="4"/>
      <c r="M100" s="2"/>
      <c r="N100" s="2"/>
      <c r="O100" s="2"/>
      <c r="P100" s="2"/>
    </row>
    <row r="101" spans="1:16" x14ac:dyDescent="0.3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4"/>
      <c r="L101" s="4"/>
      <c r="M101" s="2"/>
      <c r="N101" s="2"/>
      <c r="O101" s="2"/>
      <c r="P101" s="2"/>
    </row>
    <row r="102" spans="1:16" x14ac:dyDescent="0.3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4"/>
      <c r="L102" s="4"/>
      <c r="M102" s="2"/>
      <c r="N102" s="2"/>
      <c r="O102" s="2"/>
      <c r="P102" s="2"/>
    </row>
    <row r="103" spans="1:16" x14ac:dyDescent="0.3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4"/>
      <c r="L103" s="4"/>
      <c r="M103" s="2"/>
      <c r="N103" s="2"/>
      <c r="O103" s="2"/>
      <c r="P103" s="2"/>
    </row>
    <row r="104" spans="1:16" x14ac:dyDescent="0.3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4"/>
      <c r="L104" s="4"/>
      <c r="M104" s="2"/>
      <c r="N104" s="2"/>
      <c r="O104" s="2"/>
      <c r="P104" s="2"/>
    </row>
    <row r="105" spans="1:16" x14ac:dyDescent="0.3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4"/>
      <c r="L105" s="4"/>
      <c r="M105" s="2"/>
      <c r="N105" s="2"/>
      <c r="O105" s="2"/>
      <c r="P105" s="2"/>
    </row>
    <row r="106" spans="1:16" x14ac:dyDescent="0.3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4"/>
      <c r="L106" s="4"/>
      <c r="M106" s="2"/>
      <c r="N106" s="2"/>
      <c r="O106" s="2"/>
      <c r="P106" s="2"/>
    </row>
    <row r="107" spans="1:16" x14ac:dyDescent="0.3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4"/>
      <c r="L107" s="4"/>
      <c r="M107" s="2"/>
      <c r="N107" s="2"/>
      <c r="O107" s="2"/>
      <c r="P107" s="2"/>
    </row>
    <row r="108" spans="1:16" x14ac:dyDescent="0.3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4"/>
      <c r="L108" s="4"/>
      <c r="M108" s="2"/>
      <c r="N108" s="2"/>
      <c r="O108" s="2"/>
      <c r="P108" s="2"/>
    </row>
    <row r="109" spans="1:16" x14ac:dyDescent="0.3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4"/>
      <c r="L109" s="4"/>
      <c r="M109" s="2"/>
      <c r="N109" s="2"/>
      <c r="O109" s="2"/>
      <c r="P109" s="2"/>
    </row>
    <row r="110" spans="1:16" x14ac:dyDescent="0.3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4"/>
      <c r="L110" s="4"/>
      <c r="M110" s="2"/>
      <c r="N110" s="2"/>
      <c r="O110" s="2"/>
      <c r="P110" s="2"/>
    </row>
    <row r="111" spans="1:16" x14ac:dyDescent="0.3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4"/>
      <c r="L111" s="4"/>
      <c r="M111" s="2"/>
      <c r="N111" s="2"/>
      <c r="O111" s="2"/>
      <c r="P111" s="2"/>
    </row>
    <row r="112" spans="1:16" x14ac:dyDescent="0.3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4"/>
      <c r="L112" s="4"/>
      <c r="M112" s="2"/>
      <c r="N112" s="2"/>
      <c r="O112" s="2"/>
      <c r="P112" s="2"/>
    </row>
    <row r="113" spans="1:16" x14ac:dyDescent="0.3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4"/>
      <c r="L113" s="4"/>
      <c r="M113" s="2"/>
      <c r="N113" s="2"/>
      <c r="O113" s="2"/>
      <c r="P113" s="2"/>
    </row>
    <row r="114" spans="1:16" x14ac:dyDescent="0.3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4"/>
      <c r="L114" s="4"/>
      <c r="M114" s="2"/>
      <c r="N114" s="2"/>
      <c r="O114" s="2"/>
      <c r="P114" s="2"/>
    </row>
    <row r="115" spans="1:16" x14ac:dyDescent="0.3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4"/>
      <c r="L115" s="4"/>
      <c r="M115" s="2"/>
      <c r="N115" s="2"/>
      <c r="O115" s="2"/>
      <c r="P115" s="2"/>
    </row>
    <row r="116" spans="1:16" x14ac:dyDescent="0.3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4"/>
      <c r="L116" s="4"/>
      <c r="M116" s="2"/>
      <c r="N116" s="2"/>
      <c r="O116" s="2"/>
      <c r="P116" s="2"/>
    </row>
    <row r="117" spans="1:16" x14ac:dyDescent="0.3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4"/>
      <c r="L117" s="4"/>
      <c r="M117" s="2"/>
      <c r="N117" s="2"/>
      <c r="O117" s="2"/>
      <c r="P117" s="2"/>
    </row>
    <row r="118" spans="1:16" x14ac:dyDescent="0.3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4"/>
      <c r="L118" s="4"/>
      <c r="M118" s="2"/>
      <c r="N118" s="2"/>
      <c r="O118" s="2"/>
      <c r="P118" s="2"/>
    </row>
    <row r="119" spans="1:16" x14ac:dyDescent="0.3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4"/>
      <c r="L119" s="4"/>
      <c r="M119" s="2"/>
      <c r="N119" s="2"/>
      <c r="O119" s="2"/>
      <c r="P119" s="2"/>
    </row>
    <row r="120" spans="1:16" x14ac:dyDescent="0.3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4"/>
      <c r="L120" s="4"/>
      <c r="M120" s="2"/>
      <c r="N120" s="2"/>
      <c r="O120" s="2"/>
      <c r="P120" s="2"/>
    </row>
    <row r="121" spans="1:16" x14ac:dyDescent="0.3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4"/>
      <c r="L121" s="4"/>
      <c r="M121" s="2"/>
      <c r="N121" s="2"/>
      <c r="O121" s="2"/>
      <c r="P121" s="2"/>
    </row>
    <row r="122" spans="1:16" x14ac:dyDescent="0.3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4"/>
      <c r="L122" s="4"/>
      <c r="M122" s="2"/>
      <c r="N122" s="2"/>
      <c r="O122" s="2"/>
      <c r="P122" s="2"/>
    </row>
    <row r="123" spans="1:16" x14ac:dyDescent="0.3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4"/>
      <c r="L123" s="4"/>
      <c r="M123" s="2"/>
      <c r="N123" s="2"/>
      <c r="O123" s="2"/>
      <c r="P123" s="2"/>
    </row>
    <row r="124" spans="1:16" x14ac:dyDescent="0.3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4"/>
      <c r="L124" s="4"/>
      <c r="M124" s="2"/>
      <c r="N124" s="2"/>
      <c r="O124" s="2"/>
      <c r="P124" s="2"/>
    </row>
    <row r="125" spans="1:16" x14ac:dyDescent="0.3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4"/>
      <c r="L125" s="4"/>
      <c r="M125" s="2"/>
      <c r="N125" s="2"/>
      <c r="O125" s="2"/>
      <c r="P125" s="2"/>
    </row>
    <row r="126" spans="1:16" x14ac:dyDescent="0.3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4"/>
      <c r="L126" s="4"/>
      <c r="M126" s="2"/>
      <c r="N126" s="2"/>
      <c r="O126" s="2"/>
      <c r="P126" s="2"/>
    </row>
    <row r="127" spans="1:16" x14ac:dyDescent="0.3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4"/>
      <c r="L127" s="4"/>
      <c r="M127" s="2"/>
      <c r="N127" s="2"/>
      <c r="O127" s="2"/>
      <c r="P127" s="2"/>
    </row>
    <row r="128" spans="1:16" x14ac:dyDescent="0.3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4"/>
      <c r="L128" s="4"/>
      <c r="M128" s="2"/>
      <c r="N128" s="2"/>
      <c r="O128" s="2"/>
      <c r="P128" s="2"/>
    </row>
    <row r="129" spans="1:16" x14ac:dyDescent="0.3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4"/>
      <c r="L129" s="4"/>
      <c r="M129" s="2"/>
      <c r="N129" s="2"/>
      <c r="O129" s="2"/>
      <c r="P129" s="2"/>
    </row>
    <row r="130" spans="1:16" x14ac:dyDescent="0.3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4"/>
      <c r="L130" s="4"/>
      <c r="M130" s="2"/>
      <c r="N130" s="2"/>
      <c r="O130" s="2"/>
      <c r="P130" s="2"/>
    </row>
    <row r="131" spans="1:16" x14ac:dyDescent="0.3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4"/>
      <c r="L131" s="4"/>
      <c r="M131" s="2"/>
      <c r="N131" s="2"/>
      <c r="O131" s="2"/>
      <c r="P131" s="2"/>
    </row>
    <row r="132" spans="1:16" x14ac:dyDescent="0.3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4"/>
      <c r="L132" s="4"/>
      <c r="M132" s="2"/>
      <c r="N132" s="2"/>
      <c r="O132" s="2"/>
      <c r="P132" s="2"/>
    </row>
    <row r="133" spans="1:16" x14ac:dyDescent="0.3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4"/>
      <c r="L133" s="4"/>
      <c r="M133" s="2"/>
      <c r="N133" s="2"/>
      <c r="O133" s="2"/>
      <c r="P133" s="2"/>
    </row>
    <row r="134" spans="1:16" x14ac:dyDescent="0.3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4"/>
      <c r="L134" s="4"/>
      <c r="M134" s="2"/>
      <c r="N134" s="2"/>
      <c r="O134" s="2"/>
      <c r="P134" s="2"/>
    </row>
    <row r="135" spans="1:16" x14ac:dyDescent="0.3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4"/>
      <c r="L135" s="4"/>
      <c r="M135" s="2"/>
      <c r="N135" s="2"/>
      <c r="O135" s="2"/>
      <c r="P135" s="2"/>
    </row>
    <row r="136" spans="1:16" x14ac:dyDescent="0.3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4"/>
      <c r="L136" s="4"/>
      <c r="M136" s="2"/>
      <c r="N136" s="2"/>
      <c r="O136" s="2"/>
      <c r="P136" s="2"/>
    </row>
    <row r="137" spans="1:16" x14ac:dyDescent="0.3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4"/>
      <c r="L137" s="4"/>
      <c r="M137" s="2"/>
      <c r="N137" s="2"/>
      <c r="O137" s="2"/>
      <c r="P137" s="2"/>
    </row>
    <row r="138" spans="1:16" x14ac:dyDescent="0.3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4"/>
      <c r="L138" s="4"/>
      <c r="M138" s="2"/>
      <c r="N138" s="2"/>
      <c r="O138" s="2"/>
      <c r="P138" s="2"/>
    </row>
    <row r="139" spans="1:16" x14ac:dyDescent="0.3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4"/>
      <c r="L139" s="4"/>
      <c r="M139" s="2"/>
      <c r="N139" s="2"/>
      <c r="O139" s="2"/>
      <c r="P139" s="2"/>
    </row>
    <row r="140" spans="1:16" x14ac:dyDescent="0.3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4"/>
      <c r="L140" s="4"/>
      <c r="M140" s="2"/>
      <c r="N140" s="2"/>
      <c r="O140" s="2"/>
      <c r="P140" s="2"/>
    </row>
    <row r="141" spans="1:16" x14ac:dyDescent="0.3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4"/>
      <c r="L141" s="4"/>
      <c r="M141" s="2"/>
      <c r="N141" s="2"/>
      <c r="O141" s="2"/>
      <c r="P141" s="2"/>
    </row>
    <row r="142" spans="1:16" x14ac:dyDescent="0.3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4"/>
      <c r="L142" s="4"/>
      <c r="M142" s="2"/>
      <c r="N142" s="2"/>
      <c r="O142" s="2"/>
      <c r="P142" s="2"/>
    </row>
    <row r="143" spans="1:16" x14ac:dyDescent="0.3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4"/>
      <c r="L143" s="4"/>
      <c r="M143" s="2"/>
      <c r="N143" s="2"/>
      <c r="O143" s="2"/>
      <c r="P143" s="2"/>
    </row>
    <row r="144" spans="1:16" x14ac:dyDescent="0.3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4"/>
      <c r="L144" s="4"/>
      <c r="M144" s="2"/>
      <c r="N144" s="2"/>
      <c r="O144" s="2"/>
      <c r="P144" s="2"/>
    </row>
    <row r="145" spans="1:16" x14ac:dyDescent="0.3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4"/>
      <c r="L145" s="4"/>
      <c r="M145" s="2"/>
      <c r="N145" s="2"/>
      <c r="O145" s="2"/>
      <c r="P145" s="2"/>
    </row>
    <row r="146" spans="1:16" x14ac:dyDescent="0.3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4"/>
      <c r="L146" s="4"/>
      <c r="M146" s="2"/>
      <c r="N146" s="2"/>
      <c r="O146" s="2"/>
      <c r="P146" s="2"/>
    </row>
    <row r="147" spans="1:16" x14ac:dyDescent="0.3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4"/>
      <c r="L147" s="4"/>
      <c r="M147" s="2"/>
      <c r="N147" s="2"/>
      <c r="O147" s="2"/>
      <c r="P147" s="2"/>
    </row>
    <row r="148" spans="1:16" x14ac:dyDescent="0.3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4"/>
      <c r="L148" s="4"/>
      <c r="M148" s="2"/>
      <c r="N148" s="2"/>
      <c r="O148" s="2"/>
      <c r="P148" s="2"/>
    </row>
    <row r="149" spans="1:16" x14ac:dyDescent="0.3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4"/>
      <c r="L149" s="4"/>
      <c r="M149" s="2"/>
      <c r="N149" s="2"/>
      <c r="O149" s="2"/>
      <c r="P149" s="2"/>
    </row>
    <row r="150" spans="1:16" x14ac:dyDescent="0.3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4"/>
      <c r="L150" s="4"/>
      <c r="M150" s="2"/>
      <c r="N150" s="2"/>
      <c r="O150" s="2"/>
      <c r="P150" s="2"/>
    </row>
    <row r="151" spans="1:16" x14ac:dyDescent="0.3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4"/>
      <c r="L151" s="4"/>
      <c r="M151" s="2"/>
      <c r="N151" s="2"/>
      <c r="O151" s="2"/>
      <c r="P151" s="2"/>
    </row>
    <row r="152" spans="1:16" x14ac:dyDescent="0.3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4"/>
      <c r="L152" s="4"/>
      <c r="M152" s="2"/>
      <c r="N152" s="2"/>
      <c r="O152" s="2"/>
      <c r="P152" s="2"/>
    </row>
    <row r="153" spans="1:16" x14ac:dyDescent="0.3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4"/>
      <c r="L153" s="4"/>
      <c r="M153" s="2"/>
      <c r="N153" s="2"/>
      <c r="O153" s="2"/>
      <c r="P153" s="2"/>
    </row>
    <row r="154" spans="1:16" x14ac:dyDescent="0.3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4"/>
      <c r="L154" s="4"/>
      <c r="M154" s="2"/>
      <c r="N154" s="2"/>
      <c r="O154" s="2"/>
      <c r="P154" s="2"/>
    </row>
    <row r="155" spans="1:16" x14ac:dyDescent="0.3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4"/>
      <c r="L155" s="4"/>
      <c r="M155" s="2"/>
      <c r="N155" s="2"/>
      <c r="O155" s="2"/>
      <c r="P155" s="2"/>
    </row>
    <row r="156" spans="1:16" x14ac:dyDescent="0.3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4"/>
      <c r="L156" s="4"/>
      <c r="M156" s="2"/>
      <c r="N156" s="2"/>
      <c r="O156" s="2"/>
      <c r="P156" s="2"/>
    </row>
    <row r="157" spans="1:16" x14ac:dyDescent="0.3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4"/>
      <c r="L157" s="4"/>
      <c r="M157" s="2"/>
      <c r="N157" s="2"/>
      <c r="O157" s="2"/>
      <c r="P157" s="2"/>
    </row>
    <row r="158" spans="1:16" x14ac:dyDescent="0.3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4"/>
      <c r="L158" s="4"/>
      <c r="M158" s="2"/>
      <c r="N158" s="2"/>
      <c r="O158" s="2"/>
      <c r="P158" s="2"/>
    </row>
    <row r="159" spans="1:16" x14ac:dyDescent="0.3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4"/>
      <c r="L159" s="4"/>
      <c r="M159" s="2"/>
      <c r="N159" s="2"/>
      <c r="O159" s="2"/>
      <c r="P159" s="2"/>
    </row>
    <row r="160" spans="1:16" x14ac:dyDescent="0.3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4"/>
      <c r="L160" s="4"/>
      <c r="M160" s="2"/>
      <c r="N160" s="2"/>
      <c r="O160" s="2"/>
      <c r="P160" s="2"/>
    </row>
    <row r="161" spans="1:16" x14ac:dyDescent="0.3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4"/>
      <c r="L161" s="4"/>
      <c r="M161" s="2"/>
      <c r="N161" s="2"/>
      <c r="O161" s="2"/>
      <c r="P161" s="2"/>
    </row>
    <row r="162" spans="1:16" x14ac:dyDescent="0.3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4"/>
      <c r="L162" s="4"/>
      <c r="M162" s="2"/>
      <c r="N162" s="2"/>
      <c r="O162" s="2"/>
      <c r="P162" s="2"/>
    </row>
    <row r="163" spans="1:16" x14ac:dyDescent="0.3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4"/>
      <c r="L163" s="4"/>
      <c r="M163" s="2"/>
      <c r="N163" s="2"/>
      <c r="O163" s="2"/>
      <c r="P163" s="2"/>
    </row>
    <row r="164" spans="1:16" x14ac:dyDescent="0.3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4"/>
      <c r="L164" s="4"/>
      <c r="M164" s="2"/>
      <c r="N164" s="2"/>
      <c r="O164" s="2"/>
      <c r="P164" s="2"/>
    </row>
    <row r="165" spans="1:16" x14ac:dyDescent="0.3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4"/>
      <c r="L165" s="4"/>
      <c r="M165" s="2"/>
      <c r="N165" s="2"/>
      <c r="O165" s="2"/>
      <c r="P165" s="2"/>
    </row>
    <row r="166" spans="1:16" x14ac:dyDescent="0.3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4"/>
      <c r="L166" s="4"/>
      <c r="M166" s="2"/>
      <c r="N166" s="2"/>
      <c r="O166" s="2"/>
      <c r="P166" s="2"/>
    </row>
    <row r="167" spans="1:16" x14ac:dyDescent="0.3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4"/>
      <c r="L167" s="4"/>
      <c r="M167" s="2"/>
      <c r="N167" s="2"/>
      <c r="O167" s="2"/>
      <c r="P167" s="2"/>
    </row>
    <row r="168" spans="1:16" x14ac:dyDescent="0.3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4"/>
      <c r="L168" s="4"/>
      <c r="M168" s="2"/>
      <c r="N168" s="2"/>
      <c r="O168" s="2"/>
      <c r="P168" s="2"/>
    </row>
    <row r="169" spans="1:16" x14ac:dyDescent="0.3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4"/>
      <c r="L169" s="4"/>
      <c r="M169" s="2"/>
      <c r="N169" s="2"/>
      <c r="O169" s="2"/>
      <c r="P169" s="2"/>
    </row>
    <row r="170" spans="1:16" x14ac:dyDescent="0.3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4"/>
      <c r="L170" s="4"/>
      <c r="M170" s="2"/>
      <c r="N170" s="2"/>
      <c r="O170" s="2"/>
      <c r="P170" s="2"/>
    </row>
    <row r="171" spans="1:16" x14ac:dyDescent="0.3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4"/>
      <c r="L171" s="4"/>
      <c r="M171" s="2"/>
      <c r="N171" s="2"/>
      <c r="O171" s="2"/>
      <c r="P171" s="2"/>
    </row>
    <row r="172" spans="1:16" x14ac:dyDescent="0.3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4"/>
      <c r="L172" s="4"/>
      <c r="M172" s="2"/>
      <c r="N172" s="2"/>
      <c r="O172" s="2"/>
      <c r="P172" s="2"/>
    </row>
    <row r="173" spans="1:16" x14ac:dyDescent="0.3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4"/>
      <c r="L173" s="4"/>
      <c r="M173" s="2"/>
      <c r="N173" s="2"/>
      <c r="O173" s="2"/>
      <c r="P173" s="2"/>
    </row>
    <row r="174" spans="1:16" x14ac:dyDescent="0.3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4"/>
      <c r="L174" s="4"/>
      <c r="M174" s="2"/>
      <c r="N174" s="2"/>
      <c r="O174" s="2"/>
      <c r="P174" s="2"/>
    </row>
    <row r="175" spans="1:16" x14ac:dyDescent="0.3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4"/>
      <c r="L175" s="4"/>
      <c r="M175" s="2"/>
      <c r="N175" s="2"/>
      <c r="O175" s="2"/>
      <c r="P175" s="2"/>
    </row>
    <row r="176" spans="1:16" x14ac:dyDescent="0.3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4"/>
      <c r="L176" s="4"/>
      <c r="M176" s="2"/>
      <c r="N176" s="2"/>
      <c r="O176" s="2"/>
      <c r="P176" s="2"/>
    </row>
    <row r="177" spans="1:16" x14ac:dyDescent="0.3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4"/>
      <c r="L177" s="4"/>
      <c r="M177" s="2"/>
      <c r="N177" s="2"/>
      <c r="O177" s="2"/>
      <c r="P177" s="2"/>
    </row>
    <row r="178" spans="1:16" x14ac:dyDescent="0.3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4"/>
      <c r="L178" s="4"/>
      <c r="M178" s="2"/>
      <c r="N178" s="2"/>
      <c r="O178" s="2"/>
      <c r="P178" s="2"/>
    </row>
    <row r="179" spans="1:16" x14ac:dyDescent="0.3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4"/>
      <c r="L179" s="4"/>
      <c r="M179" s="2"/>
      <c r="N179" s="2"/>
      <c r="O179" s="2"/>
      <c r="P179" s="2"/>
    </row>
    <row r="180" spans="1:16" x14ac:dyDescent="0.3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4"/>
      <c r="L180" s="4"/>
      <c r="M180" s="2"/>
      <c r="N180" s="2"/>
      <c r="O180" s="2"/>
      <c r="P180" s="2"/>
    </row>
    <row r="181" spans="1:16" x14ac:dyDescent="0.3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4"/>
      <c r="L181" s="4"/>
      <c r="M181" s="2"/>
      <c r="N181" s="2"/>
      <c r="O181" s="2"/>
      <c r="P181" s="2"/>
    </row>
    <row r="182" spans="1:16" x14ac:dyDescent="0.3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4"/>
      <c r="L182" s="4"/>
      <c r="M182" s="2"/>
      <c r="N182" s="2"/>
      <c r="O182" s="2"/>
      <c r="P182" s="2"/>
    </row>
    <row r="183" spans="1:16" x14ac:dyDescent="0.3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4"/>
      <c r="L183" s="4"/>
      <c r="M183" s="2"/>
      <c r="N183" s="2"/>
      <c r="O183" s="2"/>
      <c r="P183" s="2"/>
    </row>
    <row r="184" spans="1:16" x14ac:dyDescent="0.3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4"/>
      <c r="L184" s="4"/>
      <c r="M184" s="2"/>
      <c r="N184" s="2"/>
      <c r="O184" s="2"/>
      <c r="P184" s="2"/>
    </row>
    <row r="185" spans="1:16" x14ac:dyDescent="0.3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4"/>
      <c r="L185" s="4"/>
      <c r="M185" s="2"/>
      <c r="N185" s="2"/>
      <c r="O185" s="2"/>
      <c r="P185" s="2"/>
    </row>
    <row r="186" spans="1:16" x14ac:dyDescent="0.3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4"/>
      <c r="L186" s="4"/>
      <c r="M186" s="2"/>
      <c r="N186" s="2"/>
      <c r="O186" s="2"/>
      <c r="P186" s="2"/>
    </row>
    <row r="187" spans="1:16" x14ac:dyDescent="0.3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4"/>
      <c r="L187" s="4"/>
      <c r="M187" s="2"/>
      <c r="N187" s="2"/>
      <c r="O187" s="2"/>
      <c r="P187" s="2"/>
    </row>
    <row r="188" spans="1:16" x14ac:dyDescent="0.3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4"/>
      <c r="L188" s="4"/>
      <c r="M188" s="2"/>
      <c r="N188" s="2"/>
      <c r="O188" s="2"/>
      <c r="P188" s="2"/>
    </row>
    <row r="189" spans="1:16" x14ac:dyDescent="0.3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4"/>
      <c r="L189" s="4"/>
      <c r="M189" s="2"/>
      <c r="N189" s="2"/>
      <c r="O189" s="2"/>
      <c r="P189" s="2"/>
    </row>
    <row r="190" spans="1:16" x14ac:dyDescent="0.3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4"/>
      <c r="L190" s="4"/>
      <c r="M190" s="2"/>
      <c r="N190" s="2"/>
      <c r="O190" s="2"/>
      <c r="P190" s="2"/>
    </row>
    <row r="191" spans="1:16" x14ac:dyDescent="0.3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4"/>
      <c r="L191" s="4"/>
      <c r="M191" s="2"/>
      <c r="N191" s="2"/>
      <c r="O191" s="2"/>
      <c r="P191" s="2"/>
    </row>
    <row r="192" spans="1:16" x14ac:dyDescent="0.3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4"/>
      <c r="L192" s="4"/>
      <c r="M192" s="2"/>
      <c r="N192" s="2"/>
      <c r="O192" s="2"/>
      <c r="P192" s="2"/>
    </row>
    <row r="193" spans="1:16" x14ac:dyDescent="0.3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4"/>
      <c r="L193" s="4"/>
      <c r="M193" s="2"/>
      <c r="N193" s="2"/>
      <c r="O193" s="2"/>
      <c r="P193" s="2"/>
    </row>
    <row r="194" spans="1:16" x14ac:dyDescent="0.3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4"/>
      <c r="L194" s="4"/>
      <c r="M194" s="2"/>
      <c r="N194" s="2"/>
      <c r="O194" s="2"/>
      <c r="P194" s="2"/>
    </row>
    <row r="195" spans="1:16" x14ac:dyDescent="0.3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4"/>
      <c r="L195" s="4"/>
      <c r="M195" s="2"/>
      <c r="N195" s="2"/>
      <c r="O195" s="2"/>
      <c r="P195" s="2"/>
    </row>
    <row r="196" spans="1:16" x14ac:dyDescent="0.3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4"/>
      <c r="L196" s="4"/>
      <c r="M196" s="2"/>
      <c r="N196" s="2"/>
      <c r="O196" s="2"/>
      <c r="P196" s="2"/>
    </row>
    <row r="197" spans="1:16" x14ac:dyDescent="0.3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4"/>
      <c r="L197" s="4"/>
      <c r="M197" s="2"/>
      <c r="N197" s="2"/>
      <c r="O197" s="2"/>
      <c r="P197" s="2"/>
    </row>
    <row r="198" spans="1:16" x14ac:dyDescent="0.3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4"/>
      <c r="L198" s="4"/>
      <c r="M198" s="2"/>
      <c r="N198" s="2"/>
      <c r="O198" s="2"/>
      <c r="P198" s="2"/>
    </row>
    <row r="199" spans="1:16" x14ac:dyDescent="0.3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4"/>
      <c r="L199" s="4"/>
      <c r="M199" s="2"/>
      <c r="N199" s="2"/>
      <c r="O199" s="2"/>
      <c r="P199" s="2"/>
    </row>
    <row r="200" spans="1:16" x14ac:dyDescent="0.3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4"/>
      <c r="L200" s="4"/>
      <c r="M200" s="2"/>
      <c r="N200" s="2"/>
      <c r="O200" s="2"/>
      <c r="P200" s="2"/>
    </row>
  </sheetData>
  <sheetProtection sheet="1" objects="1" scenarios="1" formatCells="0" formatColumns="0" formatRows="0" insertColumns="0" insertHyperlinks="0" deleteColumns="0" pivotTables="0"/>
  <dataValidations count="5">
    <dataValidation type="list" allowBlank="1" showInputMessage="1" showErrorMessage="1" errorTitle="Invalid value" error="Select a value from the list." promptTitle="Select a value" prompt="Choose from the list." sqref="C2:C200" xr:uid="{00000000-0002-0000-0500-000000000000}">
      <formula1>rngLiabilityType</formula1>
    </dataValidation>
    <dataValidation type="list" allowBlank="1" showInputMessage="1" showErrorMessage="1" errorTitle="Invalid value" error="Select a value from the list." promptTitle="Select a value" prompt="Choose from the list." sqref="I2:I200" xr:uid="{00000000-0002-0000-0500-000001000000}">
      <formula1>rngFrequency</formula1>
    </dataValidation>
    <dataValidation type="list" allowBlank="1" showInputMessage="1" showErrorMessage="1" errorTitle="Invalid value" error="Select a value from the list." promptTitle="Select a value" prompt="Choose from the list." sqref="M2:M200" xr:uid="{00000000-0002-0000-0500-000002000000}">
      <formula1>rngAccounts</formula1>
    </dataValidation>
    <dataValidation type="list" allowBlank="1" showInputMessage="1" showErrorMessage="1" errorTitle="Invalid value" error="Select a value from the list." promptTitle="Select a value" prompt="Choose from the list." sqref="N2:N200" xr:uid="{00000000-0002-0000-0500-000003000000}">
      <formula1>rngBoolean</formula1>
    </dataValidation>
    <dataValidation type="list" allowBlank="1" showInputMessage="1" showErrorMessage="1" errorTitle="Invalid value" error="Select a value from the list." promptTitle="Select a value" prompt="Choose from the list." sqref="O2:O200" xr:uid="{00000000-0002-0000-0500-000004000000}">
      <formula1>rngLiabilityStatus</formula1>
    </dataValidation>
  </dataValidations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00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6" customWidth="1"/>
    <col min="2" max="2" width="24" customWidth="1"/>
    <col min="3" max="3" width="18" customWidth="1"/>
    <col min="4" max="4" width="22" customWidth="1"/>
    <col min="5" max="6" width="20" customWidth="1"/>
    <col min="7" max="7" width="12" customWidth="1"/>
    <col min="8" max="8" width="14" customWidth="1"/>
    <col min="9" max="9" width="10" customWidth="1"/>
    <col min="10" max="12" width="14" customWidth="1"/>
    <col min="13" max="13" width="12" customWidth="1"/>
    <col min="14" max="14" width="18" customWidth="1"/>
  </cols>
  <sheetData>
    <row r="1" spans="1:14" x14ac:dyDescent="0.3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43</v>
      </c>
      <c r="K1" s="1" t="s">
        <v>44</v>
      </c>
      <c r="L1" s="1" t="s">
        <v>56</v>
      </c>
      <c r="M1" s="1" t="s">
        <v>9</v>
      </c>
      <c r="N1" s="1" t="s">
        <v>11</v>
      </c>
    </row>
    <row r="2" spans="1:14" x14ac:dyDescent="0.3">
      <c r="A2" s="1"/>
      <c r="B2" s="2"/>
      <c r="C2" s="2"/>
      <c r="D2" s="2"/>
      <c r="E2" s="2"/>
      <c r="F2" s="2"/>
      <c r="G2" s="2"/>
      <c r="H2" s="2"/>
      <c r="I2" s="2"/>
      <c r="J2" s="4"/>
      <c r="K2" s="4"/>
      <c r="L2" s="2"/>
      <c r="M2" s="2"/>
      <c r="N2" s="2"/>
    </row>
    <row r="3" spans="1:14" x14ac:dyDescent="0.3">
      <c r="A3" s="1"/>
      <c r="B3" s="2"/>
      <c r="C3" s="2"/>
      <c r="D3" s="2"/>
      <c r="E3" s="2"/>
      <c r="F3" s="2"/>
      <c r="G3" s="2"/>
      <c r="H3" s="2"/>
      <c r="I3" s="2"/>
      <c r="J3" s="4"/>
      <c r="K3" s="4"/>
      <c r="L3" s="2"/>
      <c r="M3" s="2"/>
      <c r="N3" s="2"/>
    </row>
    <row r="4" spans="1:14" x14ac:dyDescent="0.3">
      <c r="A4" s="1"/>
      <c r="B4" s="2"/>
      <c r="C4" s="2"/>
      <c r="D4" s="2"/>
      <c r="E4" s="2"/>
      <c r="F4" s="2"/>
      <c r="G4" s="2"/>
      <c r="H4" s="2"/>
      <c r="I4" s="2"/>
      <c r="J4" s="4"/>
      <c r="K4" s="4"/>
      <c r="L4" s="2"/>
      <c r="M4" s="2"/>
      <c r="N4" s="2"/>
    </row>
    <row r="5" spans="1:14" x14ac:dyDescent="0.3">
      <c r="A5" s="1"/>
      <c r="B5" s="2"/>
      <c r="C5" s="2"/>
      <c r="D5" s="2"/>
      <c r="E5" s="2"/>
      <c r="F5" s="2"/>
      <c r="G5" s="2"/>
      <c r="H5" s="2"/>
      <c r="I5" s="2"/>
      <c r="J5" s="4"/>
      <c r="K5" s="4"/>
      <c r="L5" s="2"/>
      <c r="M5" s="2"/>
      <c r="N5" s="2"/>
    </row>
    <row r="6" spans="1:14" x14ac:dyDescent="0.3">
      <c r="A6" s="1"/>
      <c r="B6" s="2"/>
      <c r="C6" s="2"/>
      <c r="D6" s="2"/>
      <c r="E6" s="2"/>
      <c r="F6" s="2"/>
      <c r="G6" s="2"/>
      <c r="H6" s="2"/>
      <c r="I6" s="2"/>
      <c r="J6" s="4"/>
      <c r="K6" s="4"/>
      <c r="L6" s="2"/>
      <c r="M6" s="2"/>
      <c r="N6" s="2"/>
    </row>
    <row r="7" spans="1:14" x14ac:dyDescent="0.3">
      <c r="A7" s="1"/>
      <c r="B7" s="2"/>
      <c r="C7" s="2"/>
      <c r="D7" s="2"/>
      <c r="E7" s="2"/>
      <c r="F7" s="2"/>
      <c r="G7" s="2"/>
      <c r="H7" s="2"/>
      <c r="I7" s="2"/>
      <c r="J7" s="4"/>
      <c r="K7" s="4"/>
      <c r="L7" s="2"/>
      <c r="M7" s="2"/>
      <c r="N7" s="2"/>
    </row>
    <row r="8" spans="1:14" x14ac:dyDescent="0.3">
      <c r="A8" s="1"/>
      <c r="B8" s="2"/>
      <c r="C8" s="2"/>
      <c r="D8" s="2"/>
      <c r="E8" s="2"/>
      <c r="F8" s="2"/>
      <c r="G8" s="2"/>
      <c r="H8" s="2"/>
      <c r="I8" s="2"/>
      <c r="J8" s="4"/>
      <c r="K8" s="4"/>
      <c r="L8" s="2"/>
      <c r="M8" s="2"/>
      <c r="N8" s="2"/>
    </row>
    <row r="9" spans="1:14" x14ac:dyDescent="0.3">
      <c r="A9" s="1"/>
      <c r="B9" s="2"/>
      <c r="C9" s="2"/>
      <c r="D9" s="2"/>
      <c r="E9" s="2"/>
      <c r="F9" s="2"/>
      <c r="G9" s="2"/>
      <c r="H9" s="2"/>
      <c r="I9" s="2"/>
      <c r="J9" s="4"/>
      <c r="K9" s="4"/>
      <c r="L9" s="2"/>
      <c r="M9" s="2"/>
      <c r="N9" s="2"/>
    </row>
    <row r="10" spans="1:14" x14ac:dyDescent="0.3">
      <c r="A10" s="1"/>
      <c r="B10" s="2"/>
      <c r="C10" s="2"/>
      <c r="D10" s="2"/>
      <c r="E10" s="2"/>
      <c r="F10" s="2"/>
      <c r="G10" s="2"/>
      <c r="H10" s="2"/>
      <c r="I10" s="2"/>
      <c r="J10" s="4"/>
      <c r="K10" s="4"/>
      <c r="L10" s="2"/>
      <c r="M10" s="2"/>
      <c r="N10" s="2"/>
    </row>
    <row r="11" spans="1:14" x14ac:dyDescent="0.3">
      <c r="A11" s="1"/>
      <c r="B11" s="2"/>
      <c r="C11" s="2"/>
      <c r="D11" s="2"/>
      <c r="E11" s="2"/>
      <c r="F11" s="2"/>
      <c r="G11" s="2"/>
      <c r="H11" s="2"/>
      <c r="I11" s="2"/>
      <c r="J11" s="4"/>
      <c r="K11" s="4"/>
      <c r="L11" s="2"/>
      <c r="M11" s="2"/>
      <c r="N11" s="2"/>
    </row>
    <row r="12" spans="1:14" x14ac:dyDescent="0.3">
      <c r="A12" s="1"/>
      <c r="B12" s="2"/>
      <c r="C12" s="2"/>
      <c r="D12" s="2"/>
      <c r="E12" s="2"/>
      <c r="F12" s="2"/>
      <c r="G12" s="2"/>
      <c r="H12" s="2"/>
      <c r="I12" s="2"/>
      <c r="J12" s="4"/>
      <c r="K12" s="4"/>
      <c r="L12" s="2"/>
      <c r="M12" s="2"/>
      <c r="N12" s="2"/>
    </row>
    <row r="13" spans="1:14" x14ac:dyDescent="0.3">
      <c r="A13" s="1"/>
      <c r="B13" s="2"/>
      <c r="C13" s="2"/>
      <c r="D13" s="2"/>
      <c r="E13" s="2"/>
      <c r="F13" s="2"/>
      <c r="G13" s="2"/>
      <c r="H13" s="2"/>
      <c r="I13" s="2"/>
      <c r="J13" s="4"/>
      <c r="K13" s="4"/>
      <c r="L13" s="2"/>
      <c r="M13" s="2"/>
      <c r="N13" s="2"/>
    </row>
    <row r="14" spans="1:14" x14ac:dyDescent="0.3">
      <c r="A14" s="1"/>
      <c r="B14" s="2"/>
      <c r="C14" s="2"/>
      <c r="D14" s="2"/>
      <c r="E14" s="2"/>
      <c r="F14" s="2"/>
      <c r="G14" s="2"/>
      <c r="H14" s="2"/>
      <c r="I14" s="2"/>
      <c r="J14" s="4"/>
      <c r="K14" s="4"/>
      <c r="L14" s="2"/>
      <c r="M14" s="2"/>
      <c r="N14" s="2"/>
    </row>
    <row r="15" spans="1:14" x14ac:dyDescent="0.3">
      <c r="A15" s="1"/>
      <c r="B15" s="2"/>
      <c r="C15" s="2"/>
      <c r="D15" s="2"/>
      <c r="E15" s="2"/>
      <c r="F15" s="2"/>
      <c r="G15" s="2"/>
      <c r="H15" s="2"/>
      <c r="I15" s="2"/>
      <c r="J15" s="4"/>
      <c r="K15" s="4"/>
      <c r="L15" s="2"/>
      <c r="M15" s="2"/>
      <c r="N15" s="2"/>
    </row>
    <row r="16" spans="1:14" x14ac:dyDescent="0.3">
      <c r="A16" s="1"/>
      <c r="B16" s="2"/>
      <c r="C16" s="2"/>
      <c r="D16" s="2"/>
      <c r="E16" s="2"/>
      <c r="F16" s="2"/>
      <c r="G16" s="2"/>
      <c r="H16" s="2"/>
      <c r="I16" s="2"/>
      <c r="J16" s="4"/>
      <c r="K16" s="4"/>
      <c r="L16" s="2"/>
      <c r="M16" s="2"/>
      <c r="N16" s="2"/>
    </row>
    <row r="17" spans="1:14" x14ac:dyDescent="0.3">
      <c r="A17" s="1"/>
      <c r="B17" s="2"/>
      <c r="C17" s="2"/>
      <c r="D17" s="2"/>
      <c r="E17" s="2"/>
      <c r="F17" s="2"/>
      <c r="G17" s="2"/>
      <c r="H17" s="2"/>
      <c r="I17" s="2"/>
      <c r="J17" s="4"/>
      <c r="K17" s="4"/>
      <c r="L17" s="2"/>
      <c r="M17" s="2"/>
      <c r="N17" s="2"/>
    </row>
    <row r="18" spans="1:14" x14ac:dyDescent="0.3">
      <c r="A18" s="1"/>
      <c r="B18" s="2"/>
      <c r="C18" s="2"/>
      <c r="D18" s="2"/>
      <c r="E18" s="2"/>
      <c r="F18" s="2"/>
      <c r="G18" s="2"/>
      <c r="H18" s="2"/>
      <c r="I18" s="2"/>
      <c r="J18" s="4"/>
      <c r="K18" s="4"/>
      <c r="L18" s="2"/>
      <c r="M18" s="2"/>
      <c r="N18" s="2"/>
    </row>
    <row r="19" spans="1:14" x14ac:dyDescent="0.3">
      <c r="A19" s="1"/>
      <c r="B19" s="2"/>
      <c r="C19" s="2"/>
      <c r="D19" s="2"/>
      <c r="E19" s="2"/>
      <c r="F19" s="2"/>
      <c r="G19" s="2"/>
      <c r="H19" s="2"/>
      <c r="I19" s="2"/>
      <c r="J19" s="4"/>
      <c r="K19" s="4"/>
      <c r="L19" s="2"/>
      <c r="M19" s="2"/>
      <c r="N19" s="2"/>
    </row>
    <row r="20" spans="1:14" x14ac:dyDescent="0.3">
      <c r="A20" s="1"/>
      <c r="B20" s="2"/>
      <c r="C20" s="2"/>
      <c r="D20" s="2"/>
      <c r="E20" s="2"/>
      <c r="F20" s="2"/>
      <c r="G20" s="2"/>
      <c r="H20" s="2"/>
      <c r="I20" s="2"/>
      <c r="J20" s="4"/>
      <c r="K20" s="4"/>
      <c r="L20" s="2"/>
      <c r="M20" s="2"/>
      <c r="N20" s="2"/>
    </row>
    <row r="21" spans="1:14" x14ac:dyDescent="0.3">
      <c r="A21" s="1"/>
      <c r="B21" s="2"/>
      <c r="C21" s="2"/>
      <c r="D21" s="2"/>
      <c r="E21" s="2"/>
      <c r="F21" s="2"/>
      <c r="G21" s="2"/>
      <c r="H21" s="2"/>
      <c r="I21" s="2"/>
      <c r="J21" s="4"/>
      <c r="K21" s="4"/>
      <c r="L21" s="2"/>
      <c r="M21" s="2"/>
      <c r="N21" s="2"/>
    </row>
    <row r="22" spans="1:14" x14ac:dyDescent="0.3">
      <c r="A22" s="1"/>
      <c r="B22" s="2"/>
      <c r="C22" s="2"/>
      <c r="D22" s="2"/>
      <c r="E22" s="2"/>
      <c r="F22" s="2"/>
      <c r="G22" s="2"/>
      <c r="H22" s="2"/>
      <c r="I22" s="2"/>
      <c r="J22" s="4"/>
      <c r="K22" s="4"/>
      <c r="L22" s="2"/>
      <c r="M22" s="2"/>
      <c r="N22" s="2"/>
    </row>
    <row r="23" spans="1:14" x14ac:dyDescent="0.3">
      <c r="A23" s="1"/>
      <c r="B23" s="2"/>
      <c r="C23" s="2"/>
      <c r="D23" s="2"/>
      <c r="E23" s="2"/>
      <c r="F23" s="2"/>
      <c r="G23" s="2"/>
      <c r="H23" s="2"/>
      <c r="I23" s="2"/>
      <c r="J23" s="4"/>
      <c r="K23" s="4"/>
      <c r="L23" s="2"/>
      <c r="M23" s="2"/>
      <c r="N23" s="2"/>
    </row>
    <row r="24" spans="1:14" x14ac:dyDescent="0.3">
      <c r="A24" s="1"/>
      <c r="B24" s="2"/>
      <c r="C24" s="2"/>
      <c r="D24" s="2"/>
      <c r="E24" s="2"/>
      <c r="F24" s="2"/>
      <c r="G24" s="2"/>
      <c r="H24" s="2"/>
      <c r="I24" s="2"/>
      <c r="J24" s="4"/>
      <c r="K24" s="4"/>
      <c r="L24" s="2"/>
      <c r="M24" s="2"/>
      <c r="N24" s="2"/>
    </row>
    <row r="25" spans="1:14" x14ac:dyDescent="0.3">
      <c r="A25" s="1"/>
      <c r="B25" s="2"/>
      <c r="C25" s="2"/>
      <c r="D25" s="2"/>
      <c r="E25" s="2"/>
      <c r="F25" s="2"/>
      <c r="G25" s="2"/>
      <c r="H25" s="2"/>
      <c r="I25" s="2"/>
      <c r="J25" s="4"/>
      <c r="K25" s="4"/>
      <c r="L25" s="2"/>
      <c r="M25" s="2"/>
      <c r="N25" s="2"/>
    </row>
    <row r="26" spans="1:14" x14ac:dyDescent="0.3">
      <c r="A26" s="1"/>
      <c r="B26" s="2"/>
      <c r="C26" s="2"/>
      <c r="D26" s="2"/>
      <c r="E26" s="2"/>
      <c r="F26" s="2"/>
      <c r="G26" s="2"/>
      <c r="H26" s="2"/>
      <c r="I26" s="2"/>
      <c r="J26" s="4"/>
      <c r="K26" s="4"/>
      <c r="L26" s="2"/>
      <c r="M26" s="2"/>
      <c r="N26" s="2"/>
    </row>
    <row r="27" spans="1:14" x14ac:dyDescent="0.3">
      <c r="A27" s="1"/>
      <c r="B27" s="2"/>
      <c r="C27" s="2"/>
      <c r="D27" s="2"/>
      <c r="E27" s="2"/>
      <c r="F27" s="2"/>
      <c r="G27" s="2"/>
      <c r="H27" s="2"/>
      <c r="I27" s="2"/>
      <c r="J27" s="4"/>
      <c r="K27" s="4"/>
      <c r="L27" s="2"/>
      <c r="M27" s="2"/>
      <c r="N27" s="2"/>
    </row>
    <row r="28" spans="1:14" x14ac:dyDescent="0.3">
      <c r="A28" s="1"/>
      <c r="B28" s="2"/>
      <c r="C28" s="2"/>
      <c r="D28" s="2"/>
      <c r="E28" s="2"/>
      <c r="F28" s="2"/>
      <c r="G28" s="2"/>
      <c r="H28" s="2"/>
      <c r="I28" s="2"/>
      <c r="J28" s="4"/>
      <c r="K28" s="4"/>
      <c r="L28" s="2"/>
      <c r="M28" s="2"/>
      <c r="N28" s="2"/>
    </row>
    <row r="29" spans="1:14" x14ac:dyDescent="0.3">
      <c r="A29" s="1"/>
      <c r="B29" s="2"/>
      <c r="C29" s="2"/>
      <c r="D29" s="2"/>
      <c r="E29" s="2"/>
      <c r="F29" s="2"/>
      <c r="G29" s="2"/>
      <c r="H29" s="2"/>
      <c r="I29" s="2"/>
      <c r="J29" s="4"/>
      <c r="K29" s="4"/>
      <c r="L29" s="2"/>
      <c r="M29" s="2"/>
      <c r="N29" s="2"/>
    </row>
    <row r="30" spans="1:14" x14ac:dyDescent="0.3">
      <c r="A30" s="1"/>
      <c r="B30" s="2"/>
      <c r="C30" s="2"/>
      <c r="D30" s="2"/>
      <c r="E30" s="2"/>
      <c r="F30" s="2"/>
      <c r="G30" s="2"/>
      <c r="H30" s="2"/>
      <c r="I30" s="2"/>
      <c r="J30" s="4"/>
      <c r="K30" s="4"/>
      <c r="L30" s="2"/>
      <c r="M30" s="2"/>
      <c r="N30" s="2"/>
    </row>
    <row r="31" spans="1:14" x14ac:dyDescent="0.3">
      <c r="A31" s="1"/>
      <c r="B31" s="2"/>
      <c r="C31" s="2"/>
      <c r="D31" s="2"/>
      <c r="E31" s="2"/>
      <c r="F31" s="2"/>
      <c r="G31" s="2"/>
      <c r="H31" s="2"/>
      <c r="I31" s="2"/>
      <c r="J31" s="4"/>
      <c r="K31" s="4"/>
      <c r="L31" s="2"/>
      <c r="M31" s="2"/>
      <c r="N31" s="2"/>
    </row>
    <row r="32" spans="1:14" x14ac:dyDescent="0.3">
      <c r="A32" s="1"/>
      <c r="B32" s="2"/>
      <c r="C32" s="2"/>
      <c r="D32" s="2"/>
      <c r="E32" s="2"/>
      <c r="F32" s="2"/>
      <c r="G32" s="2"/>
      <c r="H32" s="2"/>
      <c r="I32" s="2"/>
      <c r="J32" s="4"/>
      <c r="K32" s="4"/>
      <c r="L32" s="2"/>
      <c r="M32" s="2"/>
      <c r="N32" s="2"/>
    </row>
    <row r="33" spans="1:14" x14ac:dyDescent="0.3">
      <c r="A33" s="1"/>
      <c r="B33" s="2"/>
      <c r="C33" s="2"/>
      <c r="D33" s="2"/>
      <c r="E33" s="2"/>
      <c r="F33" s="2"/>
      <c r="G33" s="2"/>
      <c r="H33" s="2"/>
      <c r="I33" s="2"/>
      <c r="J33" s="4"/>
      <c r="K33" s="4"/>
      <c r="L33" s="2"/>
      <c r="M33" s="2"/>
      <c r="N33" s="2"/>
    </row>
    <row r="34" spans="1:14" x14ac:dyDescent="0.3">
      <c r="A34" s="1"/>
      <c r="B34" s="2"/>
      <c r="C34" s="2"/>
      <c r="D34" s="2"/>
      <c r="E34" s="2"/>
      <c r="F34" s="2"/>
      <c r="G34" s="2"/>
      <c r="H34" s="2"/>
      <c r="I34" s="2"/>
      <c r="J34" s="4"/>
      <c r="K34" s="4"/>
      <c r="L34" s="2"/>
      <c r="M34" s="2"/>
      <c r="N34" s="2"/>
    </row>
    <row r="35" spans="1:14" x14ac:dyDescent="0.3">
      <c r="A35" s="1"/>
      <c r="B35" s="2"/>
      <c r="C35" s="2"/>
      <c r="D35" s="2"/>
      <c r="E35" s="2"/>
      <c r="F35" s="2"/>
      <c r="G35" s="2"/>
      <c r="H35" s="2"/>
      <c r="I35" s="2"/>
      <c r="J35" s="4"/>
      <c r="K35" s="4"/>
      <c r="L35" s="2"/>
      <c r="M35" s="2"/>
      <c r="N35" s="2"/>
    </row>
    <row r="36" spans="1:14" x14ac:dyDescent="0.3">
      <c r="A36" s="1"/>
      <c r="B36" s="2"/>
      <c r="C36" s="2"/>
      <c r="D36" s="2"/>
      <c r="E36" s="2"/>
      <c r="F36" s="2"/>
      <c r="G36" s="2"/>
      <c r="H36" s="2"/>
      <c r="I36" s="2"/>
      <c r="J36" s="4"/>
      <c r="K36" s="4"/>
      <c r="L36" s="2"/>
      <c r="M36" s="2"/>
      <c r="N36" s="2"/>
    </row>
    <row r="37" spans="1:14" x14ac:dyDescent="0.3">
      <c r="A37" s="1"/>
      <c r="B37" s="2"/>
      <c r="C37" s="2"/>
      <c r="D37" s="2"/>
      <c r="E37" s="2"/>
      <c r="F37" s="2"/>
      <c r="G37" s="2"/>
      <c r="H37" s="2"/>
      <c r="I37" s="2"/>
      <c r="J37" s="4"/>
      <c r="K37" s="4"/>
      <c r="L37" s="2"/>
      <c r="M37" s="2"/>
      <c r="N37" s="2"/>
    </row>
    <row r="38" spans="1:14" x14ac:dyDescent="0.3">
      <c r="A38" s="1"/>
      <c r="B38" s="2"/>
      <c r="C38" s="2"/>
      <c r="D38" s="2"/>
      <c r="E38" s="2"/>
      <c r="F38" s="2"/>
      <c r="G38" s="2"/>
      <c r="H38" s="2"/>
      <c r="I38" s="2"/>
      <c r="J38" s="4"/>
      <c r="K38" s="4"/>
      <c r="L38" s="2"/>
      <c r="M38" s="2"/>
      <c r="N38" s="2"/>
    </row>
    <row r="39" spans="1:14" x14ac:dyDescent="0.3">
      <c r="A39" s="1"/>
      <c r="B39" s="2"/>
      <c r="C39" s="2"/>
      <c r="D39" s="2"/>
      <c r="E39" s="2"/>
      <c r="F39" s="2"/>
      <c r="G39" s="2"/>
      <c r="H39" s="2"/>
      <c r="I39" s="2"/>
      <c r="J39" s="4"/>
      <c r="K39" s="4"/>
      <c r="L39" s="2"/>
      <c r="M39" s="2"/>
      <c r="N39" s="2"/>
    </row>
    <row r="40" spans="1:14" x14ac:dyDescent="0.3">
      <c r="A40" s="1"/>
      <c r="B40" s="2"/>
      <c r="C40" s="2"/>
      <c r="D40" s="2"/>
      <c r="E40" s="2"/>
      <c r="F40" s="2"/>
      <c r="G40" s="2"/>
      <c r="H40" s="2"/>
      <c r="I40" s="2"/>
      <c r="J40" s="4"/>
      <c r="K40" s="4"/>
      <c r="L40" s="2"/>
      <c r="M40" s="2"/>
      <c r="N40" s="2"/>
    </row>
    <row r="41" spans="1:14" x14ac:dyDescent="0.3">
      <c r="A41" s="1"/>
      <c r="B41" s="2"/>
      <c r="C41" s="2"/>
      <c r="D41" s="2"/>
      <c r="E41" s="2"/>
      <c r="F41" s="2"/>
      <c r="G41" s="2"/>
      <c r="H41" s="2"/>
      <c r="I41" s="2"/>
      <c r="J41" s="4"/>
      <c r="K41" s="4"/>
      <c r="L41" s="2"/>
      <c r="M41" s="2"/>
      <c r="N41" s="2"/>
    </row>
    <row r="42" spans="1:14" x14ac:dyDescent="0.3">
      <c r="A42" s="1"/>
      <c r="B42" s="2"/>
      <c r="C42" s="2"/>
      <c r="D42" s="2"/>
      <c r="E42" s="2"/>
      <c r="F42" s="2"/>
      <c r="G42" s="2"/>
      <c r="H42" s="2"/>
      <c r="I42" s="2"/>
      <c r="J42" s="4"/>
      <c r="K42" s="4"/>
      <c r="L42" s="2"/>
      <c r="M42" s="2"/>
      <c r="N42" s="2"/>
    </row>
    <row r="43" spans="1:14" x14ac:dyDescent="0.3">
      <c r="A43" s="1"/>
      <c r="B43" s="2"/>
      <c r="C43" s="2"/>
      <c r="D43" s="2"/>
      <c r="E43" s="2"/>
      <c r="F43" s="2"/>
      <c r="G43" s="2"/>
      <c r="H43" s="2"/>
      <c r="I43" s="2"/>
      <c r="J43" s="4"/>
      <c r="K43" s="4"/>
      <c r="L43" s="2"/>
      <c r="M43" s="2"/>
      <c r="N43" s="2"/>
    </row>
    <row r="44" spans="1:14" x14ac:dyDescent="0.3">
      <c r="A44" s="1"/>
      <c r="B44" s="2"/>
      <c r="C44" s="2"/>
      <c r="D44" s="2"/>
      <c r="E44" s="2"/>
      <c r="F44" s="2"/>
      <c r="G44" s="2"/>
      <c r="H44" s="2"/>
      <c r="I44" s="2"/>
      <c r="J44" s="4"/>
      <c r="K44" s="4"/>
      <c r="L44" s="2"/>
      <c r="M44" s="2"/>
      <c r="N44" s="2"/>
    </row>
    <row r="45" spans="1:14" x14ac:dyDescent="0.3">
      <c r="A45" s="1"/>
      <c r="B45" s="2"/>
      <c r="C45" s="2"/>
      <c r="D45" s="2"/>
      <c r="E45" s="2"/>
      <c r="F45" s="2"/>
      <c r="G45" s="2"/>
      <c r="H45" s="2"/>
      <c r="I45" s="2"/>
      <c r="J45" s="4"/>
      <c r="K45" s="4"/>
      <c r="L45" s="2"/>
      <c r="M45" s="2"/>
      <c r="N45" s="2"/>
    </row>
    <row r="46" spans="1:14" x14ac:dyDescent="0.3">
      <c r="A46" s="1"/>
      <c r="B46" s="2"/>
      <c r="C46" s="2"/>
      <c r="D46" s="2"/>
      <c r="E46" s="2"/>
      <c r="F46" s="2"/>
      <c r="G46" s="2"/>
      <c r="H46" s="2"/>
      <c r="I46" s="2"/>
      <c r="J46" s="4"/>
      <c r="K46" s="4"/>
      <c r="L46" s="2"/>
      <c r="M46" s="2"/>
      <c r="N46" s="2"/>
    </row>
    <row r="47" spans="1:14" x14ac:dyDescent="0.3">
      <c r="A47" s="1"/>
      <c r="B47" s="2"/>
      <c r="C47" s="2"/>
      <c r="D47" s="2"/>
      <c r="E47" s="2"/>
      <c r="F47" s="2"/>
      <c r="G47" s="2"/>
      <c r="H47" s="2"/>
      <c r="I47" s="2"/>
      <c r="J47" s="4"/>
      <c r="K47" s="4"/>
      <c r="L47" s="2"/>
      <c r="M47" s="2"/>
      <c r="N47" s="2"/>
    </row>
    <row r="48" spans="1:14" x14ac:dyDescent="0.3">
      <c r="A48" s="1"/>
      <c r="B48" s="2"/>
      <c r="C48" s="2"/>
      <c r="D48" s="2"/>
      <c r="E48" s="2"/>
      <c r="F48" s="2"/>
      <c r="G48" s="2"/>
      <c r="H48" s="2"/>
      <c r="I48" s="2"/>
      <c r="J48" s="4"/>
      <c r="K48" s="4"/>
      <c r="L48" s="2"/>
      <c r="M48" s="2"/>
      <c r="N48" s="2"/>
    </row>
    <row r="49" spans="1:14" x14ac:dyDescent="0.3">
      <c r="A49" s="1"/>
      <c r="B49" s="2"/>
      <c r="C49" s="2"/>
      <c r="D49" s="2"/>
      <c r="E49" s="2"/>
      <c r="F49" s="2"/>
      <c r="G49" s="2"/>
      <c r="H49" s="2"/>
      <c r="I49" s="2"/>
      <c r="J49" s="4"/>
      <c r="K49" s="4"/>
      <c r="L49" s="2"/>
      <c r="M49" s="2"/>
      <c r="N49" s="2"/>
    </row>
    <row r="50" spans="1:14" x14ac:dyDescent="0.3">
      <c r="A50" s="1"/>
      <c r="B50" s="2"/>
      <c r="C50" s="2"/>
      <c r="D50" s="2"/>
      <c r="E50" s="2"/>
      <c r="F50" s="2"/>
      <c r="G50" s="2"/>
      <c r="H50" s="2"/>
      <c r="I50" s="2"/>
      <c r="J50" s="4"/>
      <c r="K50" s="4"/>
      <c r="L50" s="2"/>
      <c r="M50" s="2"/>
      <c r="N50" s="2"/>
    </row>
    <row r="51" spans="1:14" x14ac:dyDescent="0.3">
      <c r="A51" s="1"/>
      <c r="B51" s="2"/>
      <c r="C51" s="2"/>
      <c r="D51" s="2"/>
      <c r="E51" s="2"/>
      <c r="F51" s="2"/>
      <c r="G51" s="2"/>
      <c r="H51" s="2"/>
      <c r="I51" s="2"/>
      <c r="J51" s="4"/>
      <c r="K51" s="4"/>
      <c r="L51" s="2"/>
      <c r="M51" s="2"/>
      <c r="N51" s="2"/>
    </row>
    <row r="52" spans="1:14" x14ac:dyDescent="0.3">
      <c r="A52" s="1"/>
      <c r="B52" s="2"/>
      <c r="C52" s="2"/>
      <c r="D52" s="2"/>
      <c r="E52" s="2"/>
      <c r="F52" s="2"/>
      <c r="G52" s="2"/>
      <c r="H52" s="2"/>
      <c r="I52" s="2"/>
      <c r="J52" s="4"/>
      <c r="K52" s="4"/>
      <c r="L52" s="2"/>
      <c r="M52" s="2"/>
      <c r="N52" s="2"/>
    </row>
    <row r="53" spans="1:14" x14ac:dyDescent="0.3">
      <c r="A53" s="1"/>
      <c r="B53" s="2"/>
      <c r="C53" s="2"/>
      <c r="D53" s="2"/>
      <c r="E53" s="2"/>
      <c r="F53" s="2"/>
      <c r="G53" s="2"/>
      <c r="H53" s="2"/>
      <c r="I53" s="2"/>
      <c r="J53" s="4"/>
      <c r="K53" s="4"/>
      <c r="L53" s="2"/>
      <c r="M53" s="2"/>
      <c r="N53" s="2"/>
    </row>
    <row r="54" spans="1:14" x14ac:dyDescent="0.3">
      <c r="A54" s="1"/>
      <c r="B54" s="2"/>
      <c r="C54" s="2"/>
      <c r="D54" s="2"/>
      <c r="E54" s="2"/>
      <c r="F54" s="2"/>
      <c r="G54" s="2"/>
      <c r="H54" s="2"/>
      <c r="I54" s="2"/>
      <c r="J54" s="4"/>
      <c r="K54" s="4"/>
      <c r="L54" s="2"/>
      <c r="M54" s="2"/>
      <c r="N54" s="2"/>
    </row>
    <row r="55" spans="1:14" x14ac:dyDescent="0.3">
      <c r="A55" s="1"/>
      <c r="B55" s="2"/>
      <c r="C55" s="2"/>
      <c r="D55" s="2"/>
      <c r="E55" s="2"/>
      <c r="F55" s="2"/>
      <c r="G55" s="2"/>
      <c r="H55" s="2"/>
      <c r="I55" s="2"/>
      <c r="J55" s="4"/>
      <c r="K55" s="4"/>
      <c r="L55" s="2"/>
      <c r="M55" s="2"/>
      <c r="N55" s="2"/>
    </row>
    <row r="56" spans="1:14" x14ac:dyDescent="0.3">
      <c r="A56" s="1"/>
      <c r="B56" s="2"/>
      <c r="C56" s="2"/>
      <c r="D56" s="2"/>
      <c r="E56" s="2"/>
      <c r="F56" s="2"/>
      <c r="G56" s="2"/>
      <c r="H56" s="2"/>
      <c r="I56" s="2"/>
      <c r="J56" s="4"/>
      <c r="K56" s="4"/>
      <c r="L56" s="2"/>
      <c r="M56" s="2"/>
      <c r="N56" s="2"/>
    </row>
    <row r="57" spans="1:14" x14ac:dyDescent="0.3">
      <c r="A57" s="1"/>
      <c r="B57" s="2"/>
      <c r="C57" s="2"/>
      <c r="D57" s="2"/>
      <c r="E57" s="2"/>
      <c r="F57" s="2"/>
      <c r="G57" s="2"/>
      <c r="H57" s="2"/>
      <c r="I57" s="2"/>
      <c r="J57" s="4"/>
      <c r="K57" s="4"/>
      <c r="L57" s="2"/>
      <c r="M57" s="2"/>
      <c r="N57" s="2"/>
    </row>
    <row r="58" spans="1:14" x14ac:dyDescent="0.3">
      <c r="A58" s="1"/>
      <c r="B58" s="2"/>
      <c r="C58" s="2"/>
      <c r="D58" s="2"/>
      <c r="E58" s="2"/>
      <c r="F58" s="2"/>
      <c r="G58" s="2"/>
      <c r="H58" s="2"/>
      <c r="I58" s="2"/>
      <c r="J58" s="4"/>
      <c r="K58" s="4"/>
      <c r="L58" s="2"/>
      <c r="M58" s="2"/>
      <c r="N58" s="2"/>
    </row>
    <row r="59" spans="1:14" x14ac:dyDescent="0.3">
      <c r="A59" s="1"/>
      <c r="B59" s="2"/>
      <c r="C59" s="2"/>
      <c r="D59" s="2"/>
      <c r="E59" s="2"/>
      <c r="F59" s="2"/>
      <c r="G59" s="2"/>
      <c r="H59" s="2"/>
      <c r="I59" s="2"/>
      <c r="J59" s="4"/>
      <c r="K59" s="4"/>
      <c r="L59" s="2"/>
      <c r="M59" s="2"/>
      <c r="N59" s="2"/>
    </row>
    <row r="60" spans="1:14" x14ac:dyDescent="0.3">
      <c r="A60" s="1"/>
      <c r="B60" s="2"/>
      <c r="C60" s="2"/>
      <c r="D60" s="2"/>
      <c r="E60" s="2"/>
      <c r="F60" s="2"/>
      <c r="G60" s="2"/>
      <c r="H60" s="2"/>
      <c r="I60" s="2"/>
      <c r="J60" s="4"/>
      <c r="K60" s="4"/>
      <c r="L60" s="2"/>
      <c r="M60" s="2"/>
      <c r="N60" s="2"/>
    </row>
    <row r="61" spans="1:14" x14ac:dyDescent="0.3">
      <c r="A61" s="1"/>
      <c r="B61" s="2"/>
      <c r="C61" s="2"/>
      <c r="D61" s="2"/>
      <c r="E61" s="2"/>
      <c r="F61" s="2"/>
      <c r="G61" s="2"/>
      <c r="H61" s="2"/>
      <c r="I61" s="2"/>
      <c r="J61" s="4"/>
      <c r="K61" s="4"/>
      <c r="L61" s="2"/>
      <c r="M61" s="2"/>
      <c r="N61" s="2"/>
    </row>
    <row r="62" spans="1:14" x14ac:dyDescent="0.3">
      <c r="A62" s="1"/>
      <c r="B62" s="2"/>
      <c r="C62" s="2"/>
      <c r="D62" s="2"/>
      <c r="E62" s="2"/>
      <c r="F62" s="2"/>
      <c r="G62" s="2"/>
      <c r="H62" s="2"/>
      <c r="I62" s="2"/>
      <c r="J62" s="4"/>
      <c r="K62" s="4"/>
      <c r="L62" s="2"/>
      <c r="M62" s="2"/>
      <c r="N62" s="2"/>
    </row>
    <row r="63" spans="1:14" x14ac:dyDescent="0.3">
      <c r="A63" s="1"/>
      <c r="B63" s="2"/>
      <c r="C63" s="2"/>
      <c r="D63" s="2"/>
      <c r="E63" s="2"/>
      <c r="F63" s="2"/>
      <c r="G63" s="2"/>
      <c r="H63" s="2"/>
      <c r="I63" s="2"/>
      <c r="J63" s="4"/>
      <c r="K63" s="4"/>
      <c r="L63" s="2"/>
      <c r="M63" s="2"/>
      <c r="N63" s="2"/>
    </row>
    <row r="64" spans="1:14" x14ac:dyDescent="0.3">
      <c r="A64" s="1"/>
      <c r="B64" s="2"/>
      <c r="C64" s="2"/>
      <c r="D64" s="2"/>
      <c r="E64" s="2"/>
      <c r="F64" s="2"/>
      <c r="G64" s="2"/>
      <c r="H64" s="2"/>
      <c r="I64" s="2"/>
      <c r="J64" s="4"/>
      <c r="K64" s="4"/>
      <c r="L64" s="2"/>
      <c r="M64" s="2"/>
      <c r="N64" s="2"/>
    </row>
    <row r="65" spans="1:14" x14ac:dyDescent="0.3">
      <c r="A65" s="1"/>
      <c r="B65" s="2"/>
      <c r="C65" s="2"/>
      <c r="D65" s="2"/>
      <c r="E65" s="2"/>
      <c r="F65" s="2"/>
      <c r="G65" s="2"/>
      <c r="H65" s="2"/>
      <c r="I65" s="2"/>
      <c r="J65" s="4"/>
      <c r="K65" s="4"/>
      <c r="L65" s="2"/>
      <c r="M65" s="2"/>
      <c r="N65" s="2"/>
    </row>
    <row r="66" spans="1:14" x14ac:dyDescent="0.3">
      <c r="A66" s="1"/>
      <c r="B66" s="2"/>
      <c r="C66" s="2"/>
      <c r="D66" s="2"/>
      <c r="E66" s="2"/>
      <c r="F66" s="2"/>
      <c r="G66" s="2"/>
      <c r="H66" s="2"/>
      <c r="I66" s="2"/>
      <c r="J66" s="4"/>
      <c r="K66" s="4"/>
      <c r="L66" s="2"/>
      <c r="M66" s="2"/>
      <c r="N66" s="2"/>
    </row>
    <row r="67" spans="1:14" x14ac:dyDescent="0.3">
      <c r="A67" s="1"/>
      <c r="B67" s="2"/>
      <c r="C67" s="2"/>
      <c r="D67" s="2"/>
      <c r="E67" s="2"/>
      <c r="F67" s="2"/>
      <c r="G67" s="2"/>
      <c r="H67" s="2"/>
      <c r="I67" s="2"/>
      <c r="J67" s="4"/>
      <c r="K67" s="4"/>
      <c r="L67" s="2"/>
      <c r="M67" s="2"/>
      <c r="N67" s="2"/>
    </row>
    <row r="68" spans="1:14" x14ac:dyDescent="0.3">
      <c r="A68" s="1"/>
      <c r="B68" s="2"/>
      <c r="C68" s="2"/>
      <c r="D68" s="2"/>
      <c r="E68" s="2"/>
      <c r="F68" s="2"/>
      <c r="G68" s="2"/>
      <c r="H68" s="2"/>
      <c r="I68" s="2"/>
      <c r="J68" s="4"/>
      <c r="K68" s="4"/>
      <c r="L68" s="2"/>
      <c r="M68" s="2"/>
      <c r="N68" s="2"/>
    </row>
    <row r="69" spans="1:14" x14ac:dyDescent="0.3">
      <c r="A69" s="1"/>
      <c r="B69" s="2"/>
      <c r="C69" s="2"/>
      <c r="D69" s="2"/>
      <c r="E69" s="2"/>
      <c r="F69" s="2"/>
      <c r="G69" s="2"/>
      <c r="H69" s="2"/>
      <c r="I69" s="2"/>
      <c r="J69" s="4"/>
      <c r="K69" s="4"/>
      <c r="L69" s="2"/>
      <c r="M69" s="2"/>
      <c r="N69" s="2"/>
    </row>
    <row r="70" spans="1:14" x14ac:dyDescent="0.3">
      <c r="A70" s="1"/>
      <c r="B70" s="2"/>
      <c r="C70" s="2"/>
      <c r="D70" s="2"/>
      <c r="E70" s="2"/>
      <c r="F70" s="2"/>
      <c r="G70" s="2"/>
      <c r="H70" s="2"/>
      <c r="I70" s="2"/>
      <c r="J70" s="4"/>
      <c r="K70" s="4"/>
      <c r="L70" s="2"/>
      <c r="M70" s="2"/>
      <c r="N70" s="2"/>
    </row>
    <row r="71" spans="1:14" x14ac:dyDescent="0.3">
      <c r="A71" s="1"/>
      <c r="B71" s="2"/>
      <c r="C71" s="2"/>
      <c r="D71" s="2"/>
      <c r="E71" s="2"/>
      <c r="F71" s="2"/>
      <c r="G71" s="2"/>
      <c r="H71" s="2"/>
      <c r="I71" s="2"/>
      <c r="J71" s="4"/>
      <c r="K71" s="4"/>
      <c r="L71" s="2"/>
      <c r="M71" s="2"/>
      <c r="N71" s="2"/>
    </row>
    <row r="72" spans="1:14" x14ac:dyDescent="0.3">
      <c r="A72" s="1"/>
      <c r="B72" s="2"/>
      <c r="C72" s="2"/>
      <c r="D72" s="2"/>
      <c r="E72" s="2"/>
      <c r="F72" s="2"/>
      <c r="G72" s="2"/>
      <c r="H72" s="2"/>
      <c r="I72" s="2"/>
      <c r="J72" s="4"/>
      <c r="K72" s="4"/>
      <c r="L72" s="2"/>
      <c r="M72" s="2"/>
      <c r="N72" s="2"/>
    </row>
    <row r="73" spans="1:14" x14ac:dyDescent="0.3">
      <c r="A73" s="1"/>
      <c r="B73" s="2"/>
      <c r="C73" s="2"/>
      <c r="D73" s="2"/>
      <c r="E73" s="2"/>
      <c r="F73" s="2"/>
      <c r="G73" s="2"/>
      <c r="H73" s="2"/>
      <c r="I73" s="2"/>
      <c r="J73" s="4"/>
      <c r="K73" s="4"/>
      <c r="L73" s="2"/>
      <c r="M73" s="2"/>
      <c r="N73" s="2"/>
    </row>
    <row r="74" spans="1:14" x14ac:dyDescent="0.3">
      <c r="A74" s="1"/>
      <c r="B74" s="2"/>
      <c r="C74" s="2"/>
      <c r="D74" s="2"/>
      <c r="E74" s="2"/>
      <c r="F74" s="2"/>
      <c r="G74" s="2"/>
      <c r="H74" s="2"/>
      <c r="I74" s="2"/>
      <c r="J74" s="4"/>
      <c r="K74" s="4"/>
      <c r="L74" s="2"/>
      <c r="M74" s="2"/>
      <c r="N74" s="2"/>
    </row>
    <row r="75" spans="1:14" x14ac:dyDescent="0.3">
      <c r="A75" s="1"/>
      <c r="B75" s="2"/>
      <c r="C75" s="2"/>
      <c r="D75" s="2"/>
      <c r="E75" s="2"/>
      <c r="F75" s="2"/>
      <c r="G75" s="2"/>
      <c r="H75" s="2"/>
      <c r="I75" s="2"/>
      <c r="J75" s="4"/>
      <c r="K75" s="4"/>
      <c r="L75" s="2"/>
      <c r="M75" s="2"/>
      <c r="N75" s="2"/>
    </row>
    <row r="76" spans="1:14" x14ac:dyDescent="0.3">
      <c r="A76" s="1"/>
      <c r="B76" s="2"/>
      <c r="C76" s="2"/>
      <c r="D76" s="2"/>
      <c r="E76" s="2"/>
      <c r="F76" s="2"/>
      <c r="G76" s="2"/>
      <c r="H76" s="2"/>
      <c r="I76" s="2"/>
      <c r="J76" s="4"/>
      <c r="K76" s="4"/>
      <c r="L76" s="2"/>
      <c r="M76" s="2"/>
      <c r="N76" s="2"/>
    </row>
    <row r="77" spans="1:14" x14ac:dyDescent="0.3">
      <c r="A77" s="1"/>
      <c r="B77" s="2"/>
      <c r="C77" s="2"/>
      <c r="D77" s="2"/>
      <c r="E77" s="2"/>
      <c r="F77" s="2"/>
      <c r="G77" s="2"/>
      <c r="H77" s="2"/>
      <c r="I77" s="2"/>
      <c r="J77" s="4"/>
      <c r="K77" s="4"/>
      <c r="L77" s="2"/>
      <c r="M77" s="2"/>
      <c r="N77" s="2"/>
    </row>
    <row r="78" spans="1:14" x14ac:dyDescent="0.3">
      <c r="A78" s="1"/>
      <c r="B78" s="2"/>
      <c r="C78" s="2"/>
      <c r="D78" s="2"/>
      <c r="E78" s="2"/>
      <c r="F78" s="2"/>
      <c r="G78" s="2"/>
      <c r="H78" s="2"/>
      <c r="I78" s="2"/>
      <c r="J78" s="4"/>
      <c r="K78" s="4"/>
      <c r="L78" s="2"/>
      <c r="M78" s="2"/>
      <c r="N78" s="2"/>
    </row>
    <row r="79" spans="1:14" x14ac:dyDescent="0.3">
      <c r="A79" s="1"/>
      <c r="B79" s="2"/>
      <c r="C79" s="2"/>
      <c r="D79" s="2"/>
      <c r="E79" s="2"/>
      <c r="F79" s="2"/>
      <c r="G79" s="2"/>
      <c r="H79" s="2"/>
      <c r="I79" s="2"/>
      <c r="J79" s="4"/>
      <c r="K79" s="4"/>
      <c r="L79" s="2"/>
      <c r="M79" s="2"/>
      <c r="N79" s="2"/>
    </row>
    <row r="80" spans="1:14" x14ac:dyDescent="0.3">
      <c r="A80" s="1"/>
      <c r="B80" s="2"/>
      <c r="C80" s="2"/>
      <c r="D80" s="2"/>
      <c r="E80" s="2"/>
      <c r="F80" s="2"/>
      <c r="G80" s="2"/>
      <c r="H80" s="2"/>
      <c r="I80" s="2"/>
      <c r="J80" s="4"/>
      <c r="K80" s="4"/>
      <c r="L80" s="2"/>
      <c r="M80" s="2"/>
      <c r="N80" s="2"/>
    </row>
    <row r="81" spans="1:14" x14ac:dyDescent="0.3">
      <c r="A81" s="1"/>
      <c r="B81" s="2"/>
      <c r="C81" s="2"/>
      <c r="D81" s="2"/>
      <c r="E81" s="2"/>
      <c r="F81" s="2"/>
      <c r="G81" s="2"/>
      <c r="H81" s="2"/>
      <c r="I81" s="2"/>
      <c r="J81" s="4"/>
      <c r="K81" s="4"/>
      <c r="L81" s="2"/>
      <c r="M81" s="2"/>
      <c r="N81" s="2"/>
    </row>
    <row r="82" spans="1:14" x14ac:dyDescent="0.3">
      <c r="A82" s="1"/>
      <c r="B82" s="2"/>
      <c r="C82" s="2"/>
      <c r="D82" s="2"/>
      <c r="E82" s="2"/>
      <c r="F82" s="2"/>
      <c r="G82" s="2"/>
      <c r="H82" s="2"/>
      <c r="I82" s="2"/>
      <c r="J82" s="4"/>
      <c r="K82" s="4"/>
      <c r="L82" s="2"/>
      <c r="M82" s="2"/>
      <c r="N82" s="2"/>
    </row>
    <row r="83" spans="1:14" x14ac:dyDescent="0.3">
      <c r="A83" s="1"/>
      <c r="B83" s="2"/>
      <c r="C83" s="2"/>
      <c r="D83" s="2"/>
      <c r="E83" s="2"/>
      <c r="F83" s="2"/>
      <c r="G83" s="2"/>
      <c r="H83" s="2"/>
      <c r="I83" s="2"/>
      <c r="J83" s="4"/>
      <c r="K83" s="4"/>
      <c r="L83" s="2"/>
      <c r="M83" s="2"/>
      <c r="N83" s="2"/>
    </row>
    <row r="84" spans="1:14" x14ac:dyDescent="0.3">
      <c r="A84" s="1"/>
      <c r="B84" s="2"/>
      <c r="C84" s="2"/>
      <c r="D84" s="2"/>
      <c r="E84" s="2"/>
      <c r="F84" s="2"/>
      <c r="G84" s="2"/>
      <c r="H84" s="2"/>
      <c r="I84" s="2"/>
      <c r="J84" s="4"/>
      <c r="K84" s="4"/>
      <c r="L84" s="2"/>
      <c r="M84" s="2"/>
      <c r="N84" s="2"/>
    </row>
    <row r="85" spans="1:14" x14ac:dyDescent="0.3">
      <c r="A85" s="1"/>
      <c r="B85" s="2"/>
      <c r="C85" s="2"/>
      <c r="D85" s="2"/>
      <c r="E85" s="2"/>
      <c r="F85" s="2"/>
      <c r="G85" s="2"/>
      <c r="H85" s="2"/>
      <c r="I85" s="2"/>
      <c r="J85" s="4"/>
      <c r="K85" s="4"/>
      <c r="L85" s="2"/>
      <c r="M85" s="2"/>
      <c r="N85" s="2"/>
    </row>
    <row r="86" spans="1:14" x14ac:dyDescent="0.3">
      <c r="A86" s="1"/>
      <c r="B86" s="2"/>
      <c r="C86" s="2"/>
      <c r="D86" s="2"/>
      <c r="E86" s="2"/>
      <c r="F86" s="2"/>
      <c r="G86" s="2"/>
      <c r="H86" s="2"/>
      <c r="I86" s="2"/>
      <c r="J86" s="4"/>
      <c r="K86" s="4"/>
      <c r="L86" s="2"/>
      <c r="M86" s="2"/>
      <c r="N86" s="2"/>
    </row>
    <row r="87" spans="1:14" x14ac:dyDescent="0.3">
      <c r="A87" s="1"/>
      <c r="B87" s="2"/>
      <c r="C87" s="2"/>
      <c r="D87" s="2"/>
      <c r="E87" s="2"/>
      <c r="F87" s="2"/>
      <c r="G87" s="2"/>
      <c r="H87" s="2"/>
      <c r="I87" s="2"/>
      <c r="J87" s="4"/>
      <c r="K87" s="4"/>
      <c r="L87" s="2"/>
      <c r="M87" s="2"/>
      <c r="N87" s="2"/>
    </row>
    <row r="88" spans="1:14" x14ac:dyDescent="0.3">
      <c r="A88" s="1"/>
      <c r="B88" s="2"/>
      <c r="C88" s="2"/>
      <c r="D88" s="2"/>
      <c r="E88" s="2"/>
      <c r="F88" s="2"/>
      <c r="G88" s="2"/>
      <c r="H88" s="2"/>
      <c r="I88" s="2"/>
      <c r="J88" s="4"/>
      <c r="K88" s="4"/>
      <c r="L88" s="2"/>
      <c r="M88" s="2"/>
      <c r="N88" s="2"/>
    </row>
    <row r="89" spans="1:14" x14ac:dyDescent="0.3">
      <c r="A89" s="1"/>
      <c r="B89" s="2"/>
      <c r="C89" s="2"/>
      <c r="D89" s="2"/>
      <c r="E89" s="2"/>
      <c r="F89" s="2"/>
      <c r="G89" s="2"/>
      <c r="H89" s="2"/>
      <c r="I89" s="2"/>
      <c r="J89" s="4"/>
      <c r="K89" s="4"/>
      <c r="L89" s="2"/>
      <c r="M89" s="2"/>
      <c r="N89" s="2"/>
    </row>
    <row r="90" spans="1:14" x14ac:dyDescent="0.3">
      <c r="A90" s="1"/>
      <c r="B90" s="2"/>
      <c r="C90" s="2"/>
      <c r="D90" s="2"/>
      <c r="E90" s="2"/>
      <c r="F90" s="2"/>
      <c r="G90" s="2"/>
      <c r="H90" s="2"/>
      <c r="I90" s="2"/>
      <c r="J90" s="4"/>
      <c r="K90" s="4"/>
      <c r="L90" s="2"/>
      <c r="M90" s="2"/>
      <c r="N90" s="2"/>
    </row>
    <row r="91" spans="1:14" x14ac:dyDescent="0.3">
      <c r="A91" s="1"/>
      <c r="B91" s="2"/>
      <c r="C91" s="2"/>
      <c r="D91" s="2"/>
      <c r="E91" s="2"/>
      <c r="F91" s="2"/>
      <c r="G91" s="2"/>
      <c r="H91" s="2"/>
      <c r="I91" s="2"/>
      <c r="J91" s="4"/>
      <c r="K91" s="4"/>
      <c r="L91" s="2"/>
      <c r="M91" s="2"/>
      <c r="N91" s="2"/>
    </row>
    <row r="92" spans="1:14" x14ac:dyDescent="0.3">
      <c r="A92" s="1"/>
      <c r="B92" s="2"/>
      <c r="C92" s="2"/>
      <c r="D92" s="2"/>
      <c r="E92" s="2"/>
      <c r="F92" s="2"/>
      <c r="G92" s="2"/>
      <c r="H92" s="2"/>
      <c r="I92" s="2"/>
      <c r="J92" s="4"/>
      <c r="K92" s="4"/>
      <c r="L92" s="2"/>
      <c r="M92" s="2"/>
      <c r="N92" s="2"/>
    </row>
    <row r="93" spans="1:14" x14ac:dyDescent="0.3">
      <c r="A93" s="1"/>
      <c r="B93" s="2"/>
      <c r="C93" s="2"/>
      <c r="D93" s="2"/>
      <c r="E93" s="2"/>
      <c r="F93" s="2"/>
      <c r="G93" s="2"/>
      <c r="H93" s="2"/>
      <c r="I93" s="2"/>
      <c r="J93" s="4"/>
      <c r="K93" s="4"/>
      <c r="L93" s="2"/>
      <c r="M93" s="2"/>
      <c r="N93" s="2"/>
    </row>
    <row r="94" spans="1:14" x14ac:dyDescent="0.3">
      <c r="A94" s="1"/>
      <c r="B94" s="2"/>
      <c r="C94" s="2"/>
      <c r="D94" s="2"/>
      <c r="E94" s="2"/>
      <c r="F94" s="2"/>
      <c r="G94" s="2"/>
      <c r="H94" s="2"/>
      <c r="I94" s="2"/>
      <c r="J94" s="4"/>
      <c r="K94" s="4"/>
      <c r="L94" s="2"/>
      <c r="M94" s="2"/>
      <c r="N94" s="2"/>
    </row>
    <row r="95" spans="1:14" x14ac:dyDescent="0.3">
      <c r="A95" s="1"/>
      <c r="B95" s="2"/>
      <c r="C95" s="2"/>
      <c r="D95" s="2"/>
      <c r="E95" s="2"/>
      <c r="F95" s="2"/>
      <c r="G95" s="2"/>
      <c r="H95" s="2"/>
      <c r="I95" s="2"/>
      <c r="J95" s="4"/>
      <c r="K95" s="4"/>
      <c r="L95" s="2"/>
      <c r="M95" s="2"/>
      <c r="N95" s="2"/>
    </row>
    <row r="96" spans="1:14" x14ac:dyDescent="0.3">
      <c r="A96" s="1"/>
      <c r="B96" s="2"/>
      <c r="C96" s="2"/>
      <c r="D96" s="2"/>
      <c r="E96" s="2"/>
      <c r="F96" s="2"/>
      <c r="G96" s="2"/>
      <c r="H96" s="2"/>
      <c r="I96" s="2"/>
      <c r="J96" s="4"/>
      <c r="K96" s="4"/>
      <c r="L96" s="2"/>
      <c r="M96" s="2"/>
      <c r="N96" s="2"/>
    </row>
    <row r="97" spans="1:14" x14ac:dyDescent="0.3">
      <c r="A97" s="1"/>
      <c r="B97" s="2"/>
      <c r="C97" s="2"/>
      <c r="D97" s="2"/>
      <c r="E97" s="2"/>
      <c r="F97" s="2"/>
      <c r="G97" s="2"/>
      <c r="H97" s="2"/>
      <c r="I97" s="2"/>
      <c r="J97" s="4"/>
      <c r="K97" s="4"/>
      <c r="L97" s="2"/>
      <c r="M97" s="2"/>
      <c r="N97" s="2"/>
    </row>
    <row r="98" spans="1:14" x14ac:dyDescent="0.3">
      <c r="A98" s="1"/>
      <c r="B98" s="2"/>
      <c r="C98" s="2"/>
      <c r="D98" s="2"/>
      <c r="E98" s="2"/>
      <c r="F98" s="2"/>
      <c r="G98" s="2"/>
      <c r="H98" s="2"/>
      <c r="I98" s="2"/>
      <c r="J98" s="4"/>
      <c r="K98" s="4"/>
      <c r="L98" s="2"/>
      <c r="M98" s="2"/>
      <c r="N98" s="2"/>
    </row>
    <row r="99" spans="1:14" x14ac:dyDescent="0.3">
      <c r="A99" s="1"/>
      <c r="B99" s="2"/>
      <c r="C99" s="2"/>
      <c r="D99" s="2"/>
      <c r="E99" s="2"/>
      <c r="F99" s="2"/>
      <c r="G99" s="2"/>
      <c r="H99" s="2"/>
      <c r="I99" s="2"/>
      <c r="J99" s="4"/>
      <c r="K99" s="4"/>
      <c r="L99" s="2"/>
      <c r="M99" s="2"/>
      <c r="N99" s="2"/>
    </row>
    <row r="100" spans="1:14" x14ac:dyDescent="0.3">
      <c r="A100" s="1"/>
      <c r="B100" s="2"/>
      <c r="C100" s="2"/>
      <c r="D100" s="2"/>
      <c r="E100" s="2"/>
      <c r="F100" s="2"/>
      <c r="G100" s="2"/>
      <c r="H100" s="2"/>
      <c r="I100" s="2"/>
      <c r="J100" s="4"/>
      <c r="K100" s="4"/>
      <c r="L100" s="2"/>
      <c r="M100" s="2"/>
      <c r="N100" s="2"/>
    </row>
    <row r="101" spans="1:14" x14ac:dyDescent="0.3">
      <c r="A101" s="1"/>
      <c r="B101" s="2"/>
      <c r="C101" s="2"/>
      <c r="D101" s="2"/>
      <c r="E101" s="2"/>
      <c r="F101" s="2"/>
      <c r="G101" s="2"/>
      <c r="H101" s="2"/>
      <c r="I101" s="2"/>
      <c r="J101" s="4"/>
      <c r="K101" s="4"/>
      <c r="L101" s="2"/>
      <c r="M101" s="2"/>
      <c r="N101" s="2"/>
    </row>
    <row r="102" spans="1:14" x14ac:dyDescent="0.3">
      <c r="A102" s="1"/>
      <c r="B102" s="2"/>
      <c r="C102" s="2"/>
      <c r="D102" s="2"/>
      <c r="E102" s="2"/>
      <c r="F102" s="2"/>
      <c r="G102" s="2"/>
      <c r="H102" s="2"/>
      <c r="I102" s="2"/>
      <c r="J102" s="4"/>
      <c r="K102" s="4"/>
      <c r="L102" s="2"/>
      <c r="M102" s="2"/>
      <c r="N102" s="2"/>
    </row>
    <row r="103" spans="1:14" x14ac:dyDescent="0.3">
      <c r="A103" s="1"/>
      <c r="B103" s="2"/>
      <c r="C103" s="2"/>
      <c r="D103" s="2"/>
      <c r="E103" s="2"/>
      <c r="F103" s="2"/>
      <c r="G103" s="2"/>
      <c r="H103" s="2"/>
      <c r="I103" s="2"/>
      <c r="J103" s="4"/>
      <c r="K103" s="4"/>
      <c r="L103" s="2"/>
      <c r="M103" s="2"/>
      <c r="N103" s="2"/>
    </row>
    <row r="104" spans="1:14" x14ac:dyDescent="0.3">
      <c r="A104" s="1"/>
      <c r="B104" s="2"/>
      <c r="C104" s="2"/>
      <c r="D104" s="2"/>
      <c r="E104" s="2"/>
      <c r="F104" s="2"/>
      <c r="G104" s="2"/>
      <c r="H104" s="2"/>
      <c r="I104" s="2"/>
      <c r="J104" s="4"/>
      <c r="K104" s="4"/>
      <c r="L104" s="2"/>
      <c r="M104" s="2"/>
      <c r="N104" s="2"/>
    </row>
    <row r="105" spans="1:14" x14ac:dyDescent="0.3">
      <c r="A105" s="1"/>
      <c r="B105" s="2"/>
      <c r="C105" s="2"/>
      <c r="D105" s="2"/>
      <c r="E105" s="2"/>
      <c r="F105" s="2"/>
      <c r="G105" s="2"/>
      <c r="H105" s="2"/>
      <c r="I105" s="2"/>
      <c r="J105" s="4"/>
      <c r="K105" s="4"/>
      <c r="L105" s="2"/>
      <c r="M105" s="2"/>
      <c r="N105" s="2"/>
    </row>
    <row r="106" spans="1:14" x14ac:dyDescent="0.3">
      <c r="A106" s="1"/>
      <c r="B106" s="2"/>
      <c r="C106" s="2"/>
      <c r="D106" s="2"/>
      <c r="E106" s="2"/>
      <c r="F106" s="2"/>
      <c r="G106" s="2"/>
      <c r="H106" s="2"/>
      <c r="I106" s="2"/>
      <c r="J106" s="4"/>
      <c r="K106" s="4"/>
      <c r="L106" s="2"/>
      <c r="M106" s="2"/>
      <c r="N106" s="2"/>
    </row>
    <row r="107" spans="1:14" x14ac:dyDescent="0.3">
      <c r="A107" s="1"/>
      <c r="B107" s="2"/>
      <c r="C107" s="2"/>
      <c r="D107" s="2"/>
      <c r="E107" s="2"/>
      <c r="F107" s="2"/>
      <c r="G107" s="2"/>
      <c r="H107" s="2"/>
      <c r="I107" s="2"/>
      <c r="J107" s="4"/>
      <c r="K107" s="4"/>
      <c r="L107" s="2"/>
      <c r="M107" s="2"/>
      <c r="N107" s="2"/>
    </row>
    <row r="108" spans="1:14" x14ac:dyDescent="0.3">
      <c r="A108" s="1"/>
      <c r="B108" s="2"/>
      <c r="C108" s="2"/>
      <c r="D108" s="2"/>
      <c r="E108" s="2"/>
      <c r="F108" s="2"/>
      <c r="G108" s="2"/>
      <c r="H108" s="2"/>
      <c r="I108" s="2"/>
      <c r="J108" s="4"/>
      <c r="K108" s="4"/>
      <c r="L108" s="2"/>
      <c r="M108" s="2"/>
      <c r="N108" s="2"/>
    </row>
    <row r="109" spans="1:14" x14ac:dyDescent="0.3">
      <c r="A109" s="1"/>
      <c r="B109" s="2"/>
      <c r="C109" s="2"/>
      <c r="D109" s="2"/>
      <c r="E109" s="2"/>
      <c r="F109" s="2"/>
      <c r="G109" s="2"/>
      <c r="H109" s="2"/>
      <c r="I109" s="2"/>
      <c r="J109" s="4"/>
      <c r="K109" s="4"/>
      <c r="L109" s="2"/>
      <c r="M109" s="2"/>
      <c r="N109" s="2"/>
    </row>
    <row r="110" spans="1:14" x14ac:dyDescent="0.3">
      <c r="A110" s="1"/>
      <c r="B110" s="2"/>
      <c r="C110" s="2"/>
      <c r="D110" s="2"/>
      <c r="E110" s="2"/>
      <c r="F110" s="2"/>
      <c r="G110" s="2"/>
      <c r="H110" s="2"/>
      <c r="I110" s="2"/>
      <c r="J110" s="4"/>
      <c r="K110" s="4"/>
      <c r="L110" s="2"/>
      <c r="M110" s="2"/>
      <c r="N110" s="2"/>
    </row>
    <row r="111" spans="1:14" x14ac:dyDescent="0.3">
      <c r="A111" s="1"/>
      <c r="B111" s="2"/>
      <c r="C111" s="2"/>
      <c r="D111" s="2"/>
      <c r="E111" s="2"/>
      <c r="F111" s="2"/>
      <c r="G111" s="2"/>
      <c r="H111" s="2"/>
      <c r="I111" s="2"/>
      <c r="J111" s="4"/>
      <c r="K111" s="4"/>
      <c r="L111" s="2"/>
      <c r="M111" s="2"/>
      <c r="N111" s="2"/>
    </row>
    <row r="112" spans="1:14" x14ac:dyDescent="0.3">
      <c r="A112" s="1"/>
      <c r="B112" s="2"/>
      <c r="C112" s="2"/>
      <c r="D112" s="2"/>
      <c r="E112" s="2"/>
      <c r="F112" s="2"/>
      <c r="G112" s="2"/>
      <c r="H112" s="2"/>
      <c r="I112" s="2"/>
      <c r="J112" s="4"/>
      <c r="K112" s="4"/>
      <c r="L112" s="2"/>
      <c r="M112" s="2"/>
      <c r="N112" s="2"/>
    </row>
    <row r="113" spans="1:14" x14ac:dyDescent="0.3">
      <c r="A113" s="1"/>
      <c r="B113" s="2"/>
      <c r="C113" s="2"/>
      <c r="D113" s="2"/>
      <c r="E113" s="2"/>
      <c r="F113" s="2"/>
      <c r="G113" s="2"/>
      <c r="H113" s="2"/>
      <c r="I113" s="2"/>
      <c r="J113" s="4"/>
      <c r="K113" s="4"/>
      <c r="L113" s="2"/>
      <c r="M113" s="2"/>
      <c r="N113" s="2"/>
    </row>
    <row r="114" spans="1:14" x14ac:dyDescent="0.3">
      <c r="A114" s="1"/>
      <c r="B114" s="2"/>
      <c r="C114" s="2"/>
      <c r="D114" s="2"/>
      <c r="E114" s="2"/>
      <c r="F114" s="2"/>
      <c r="G114" s="2"/>
      <c r="H114" s="2"/>
      <c r="I114" s="2"/>
      <c r="J114" s="4"/>
      <c r="K114" s="4"/>
      <c r="L114" s="2"/>
      <c r="M114" s="2"/>
      <c r="N114" s="2"/>
    </row>
    <row r="115" spans="1:14" x14ac:dyDescent="0.3">
      <c r="A115" s="1"/>
      <c r="B115" s="2"/>
      <c r="C115" s="2"/>
      <c r="D115" s="2"/>
      <c r="E115" s="2"/>
      <c r="F115" s="2"/>
      <c r="G115" s="2"/>
      <c r="H115" s="2"/>
      <c r="I115" s="2"/>
      <c r="J115" s="4"/>
      <c r="K115" s="4"/>
      <c r="L115" s="2"/>
      <c r="M115" s="2"/>
      <c r="N115" s="2"/>
    </row>
    <row r="116" spans="1:14" x14ac:dyDescent="0.3">
      <c r="A116" s="1"/>
      <c r="B116" s="2"/>
      <c r="C116" s="2"/>
      <c r="D116" s="2"/>
      <c r="E116" s="2"/>
      <c r="F116" s="2"/>
      <c r="G116" s="2"/>
      <c r="H116" s="2"/>
      <c r="I116" s="2"/>
      <c r="J116" s="4"/>
      <c r="K116" s="4"/>
      <c r="L116" s="2"/>
      <c r="M116" s="2"/>
      <c r="N116" s="2"/>
    </row>
    <row r="117" spans="1:14" x14ac:dyDescent="0.3">
      <c r="A117" s="1"/>
      <c r="B117" s="2"/>
      <c r="C117" s="2"/>
      <c r="D117" s="2"/>
      <c r="E117" s="2"/>
      <c r="F117" s="2"/>
      <c r="G117" s="2"/>
      <c r="H117" s="2"/>
      <c r="I117" s="2"/>
      <c r="J117" s="4"/>
      <c r="K117" s="4"/>
      <c r="L117" s="2"/>
      <c r="M117" s="2"/>
      <c r="N117" s="2"/>
    </row>
    <row r="118" spans="1:14" x14ac:dyDescent="0.3">
      <c r="A118" s="1"/>
      <c r="B118" s="2"/>
      <c r="C118" s="2"/>
      <c r="D118" s="2"/>
      <c r="E118" s="2"/>
      <c r="F118" s="2"/>
      <c r="G118" s="2"/>
      <c r="H118" s="2"/>
      <c r="I118" s="2"/>
      <c r="J118" s="4"/>
      <c r="K118" s="4"/>
      <c r="L118" s="2"/>
      <c r="M118" s="2"/>
      <c r="N118" s="2"/>
    </row>
    <row r="119" spans="1:14" x14ac:dyDescent="0.3">
      <c r="A119" s="1"/>
      <c r="B119" s="2"/>
      <c r="C119" s="2"/>
      <c r="D119" s="2"/>
      <c r="E119" s="2"/>
      <c r="F119" s="2"/>
      <c r="G119" s="2"/>
      <c r="H119" s="2"/>
      <c r="I119" s="2"/>
      <c r="J119" s="4"/>
      <c r="K119" s="4"/>
      <c r="L119" s="2"/>
      <c r="M119" s="2"/>
      <c r="N119" s="2"/>
    </row>
    <row r="120" spans="1:14" x14ac:dyDescent="0.3">
      <c r="A120" s="1"/>
      <c r="B120" s="2"/>
      <c r="C120" s="2"/>
      <c r="D120" s="2"/>
      <c r="E120" s="2"/>
      <c r="F120" s="2"/>
      <c r="G120" s="2"/>
      <c r="H120" s="2"/>
      <c r="I120" s="2"/>
      <c r="J120" s="4"/>
      <c r="K120" s="4"/>
      <c r="L120" s="2"/>
      <c r="M120" s="2"/>
      <c r="N120" s="2"/>
    </row>
    <row r="121" spans="1:14" x14ac:dyDescent="0.3">
      <c r="A121" s="1"/>
      <c r="B121" s="2"/>
      <c r="C121" s="2"/>
      <c r="D121" s="2"/>
      <c r="E121" s="2"/>
      <c r="F121" s="2"/>
      <c r="G121" s="2"/>
      <c r="H121" s="2"/>
      <c r="I121" s="2"/>
      <c r="J121" s="4"/>
      <c r="K121" s="4"/>
      <c r="L121" s="2"/>
      <c r="M121" s="2"/>
      <c r="N121" s="2"/>
    </row>
    <row r="122" spans="1:14" x14ac:dyDescent="0.3">
      <c r="A122" s="1"/>
      <c r="B122" s="2"/>
      <c r="C122" s="2"/>
      <c r="D122" s="2"/>
      <c r="E122" s="2"/>
      <c r="F122" s="2"/>
      <c r="G122" s="2"/>
      <c r="H122" s="2"/>
      <c r="I122" s="2"/>
      <c r="J122" s="4"/>
      <c r="K122" s="4"/>
      <c r="L122" s="2"/>
      <c r="M122" s="2"/>
      <c r="N122" s="2"/>
    </row>
    <row r="123" spans="1:14" x14ac:dyDescent="0.3">
      <c r="A123" s="1"/>
      <c r="B123" s="2"/>
      <c r="C123" s="2"/>
      <c r="D123" s="2"/>
      <c r="E123" s="2"/>
      <c r="F123" s="2"/>
      <c r="G123" s="2"/>
      <c r="H123" s="2"/>
      <c r="I123" s="2"/>
      <c r="J123" s="4"/>
      <c r="K123" s="4"/>
      <c r="L123" s="2"/>
      <c r="M123" s="2"/>
      <c r="N123" s="2"/>
    </row>
    <row r="124" spans="1:14" x14ac:dyDescent="0.3">
      <c r="A124" s="1"/>
      <c r="B124" s="2"/>
      <c r="C124" s="2"/>
      <c r="D124" s="2"/>
      <c r="E124" s="2"/>
      <c r="F124" s="2"/>
      <c r="G124" s="2"/>
      <c r="H124" s="2"/>
      <c r="I124" s="2"/>
      <c r="J124" s="4"/>
      <c r="K124" s="4"/>
      <c r="L124" s="2"/>
      <c r="M124" s="2"/>
      <c r="N124" s="2"/>
    </row>
    <row r="125" spans="1:14" x14ac:dyDescent="0.3">
      <c r="A125" s="1"/>
      <c r="B125" s="2"/>
      <c r="C125" s="2"/>
      <c r="D125" s="2"/>
      <c r="E125" s="2"/>
      <c r="F125" s="2"/>
      <c r="G125" s="2"/>
      <c r="H125" s="2"/>
      <c r="I125" s="2"/>
      <c r="J125" s="4"/>
      <c r="K125" s="4"/>
      <c r="L125" s="2"/>
      <c r="M125" s="2"/>
      <c r="N125" s="2"/>
    </row>
    <row r="126" spans="1:14" x14ac:dyDescent="0.3">
      <c r="A126" s="1"/>
      <c r="B126" s="2"/>
      <c r="C126" s="2"/>
      <c r="D126" s="2"/>
      <c r="E126" s="2"/>
      <c r="F126" s="2"/>
      <c r="G126" s="2"/>
      <c r="H126" s="2"/>
      <c r="I126" s="2"/>
      <c r="J126" s="4"/>
      <c r="K126" s="4"/>
      <c r="L126" s="2"/>
      <c r="M126" s="2"/>
      <c r="N126" s="2"/>
    </row>
    <row r="127" spans="1:14" x14ac:dyDescent="0.3">
      <c r="A127" s="1"/>
      <c r="B127" s="2"/>
      <c r="C127" s="2"/>
      <c r="D127" s="2"/>
      <c r="E127" s="2"/>
      <c r="F127" s="2"/>
      <c r="G127" s="2"/>
      <c r="H127" s="2"/>
      <c r="I127" s="2"/>
      <c r="J127" s="4"/>
      <c r="K127" s="4"/>
      <c r="L127" s="2"/>
      <c r="M127" s="2"/>
      <c r="N127" s="2"/>
    </row>
    <row r="128" spans="1:14" x14ac:dyDescent="0.3">
      <c r="A128" s="1"/>
      <c r="B128" s="2"/>
      <c r="C128" s="2"/>
      <c r="D128" s="2"/>
      <c r="E128" s="2"/>
      <c r="F128" s="2"/>
      <c r="G128" s="2"/>
      <c r="H128" s="2"/>
      <c r="I128" s="2"/>
      <c r="J128" s="4"/>
      <c r="K128" s="4"/>
      <c r="L128" s="2"/>
      <c r="M128" s="2"/>
      <c r="N128" s="2"/>
    </row>
    <row r="129" spans="1:14" x14ac:dyDescent="0.3">
      <c r="A129" s="1"/>
      <c r="B129" s="2"/>
      <c r="C129" s="2"/>
      <c r="D129" s="2"/>
      <c r="E129" s="2"/>
      <c r="F129" s="2"/>
      <c r="G129" s="2"/>
      <c r="H129" s="2"/>
      <c r="I129" s="2"/>
      <c r="J129" s="4"/>
      <c r="K129" s="4"/>
      <c r="L129" s="2"/>
      <c r="M129" s="2"/>
      <c r="N129" s="2"/>
    </row>
    <row r="130" spans="1:14" x14ac:dyDescent="0.3">
      <c r="A130" s="1"/>
      <c r="B130" s="2"/>
      <c r="C130" s="2"/>
      <c r="D130" s="2"/>
      <c r="E130" s="2"/>
      <c r="F130" s="2"/>
      <c r="G130" s="2"/>
      <c r="H130" s="2"/>
      <c r="I130" s="2"/>
      <c r="J130" s="4"/>
      <c r="K130" s="4"/>
      <c r="L130" s="2"/>
      <c r="M130" s="2"/>
      <c r="N130" s="2"/>
    </row>
    <row r="131" spans="1:14" x14ac:dyDescent="0.3">
      <c r="A131" s="1"/>
      <c r="B131" s="2"/>
      <c r="C131" s="2"/>
      <c r="D131" s="2"/>
      <c r="E131" s="2"/>
      <c r="F131" s="2"/>
      <c r="G131" s="2"/>
      <c r="H131" s="2"/>
      <c r="I131" s="2"/>
      <c r="J131" s="4"/>
      <c r="K131" s="4"/>
      <c r="L131" s="2"/>
      <c r="M131" s="2"/>
      <c r="N131" s="2"/>
    </row>
    <row r="132" spans="1:14" x14ac:dyDescent="0.3">
      <c r="A132" s="1"/>
      <c r="B132" s="2"/>
      <c r="C132" s="2"/>
      <c r="D132" s="2"/>
      <c r="E132" s="2"/>
      <c r="F132" s="2"/>
      <c r="G132" s="2"/>
      <c r="H132" s="2"/>
      <c r="I132" s="2"/>
      <c r="J132" s="4"/>
      <c r="K132" s="4"/>
      <c r="L132" s="2"/>
      <c r="M132" s="2"/>
      <c r="N132" s="2"/>
    </row>
    <row r="133" spans="1:14" x14ac:dyDescent="0.3">
      <c r="A133" s="1"/>
      <c r="B133" s="2"/>
      <c r="C133" s="2"/>
      <c r="D133" s="2"/>
      <c r="E133" s="2"/>
      <c r="F133" s="2"/>
      <c r="G133" s="2"/>
      <c r="H133" s="2"/>
      <c r="I133" s="2"/>
      <c r="J133" s="4"/>
      <c r="K133" s="4"/>
      <c r="L133" s="2"/>
      <c r="M133" s="2"/>
      <c r="N133" s="2"/>
    </row>
    <row r="134" spans="1:14" x14ac:dyDescent="0.3">
      <c r="A134" s="1"/>
      <c r="B134" s="2"/>
      <c r="C134" s="2"/>
      <c r="D134" s="2"/>
      <c r="E134" s="2"/>
      <c r="F134" s="2"/>
      <c r="G134" s="2"/>
      <c r="H134" s="2"/>
      <c r="I134" s="2"/>
      <c r="J134" s="4"/>
      <c r="K134" s="4"/>
      <c r="L134" s="2"/>
      <c r="M134" s="2"/>
      <c r="N134" s="2"/>
    </row>
    <row r="135" spans="1:14" x14ac:dyDescent="0.3">
      <c r="A135" s="1"/>
      <c r="B135" s="2"/>
      <c r="C135" s="2"/>
      <c r="D135" s="2"/>
      <c r="E135" s="2"/>
      <c r="F135" s="2"/>
      <c r="G135" s="2"/>
      <c r="H135" s="2"/>
      <c r="I135" s="2"/>
      <c r="J135" s="4"/>
      <c r="K135" s="4"/>
      <c r="L135" s="2"/>
      <c r="M135" s="2"/>
      <c r="N135" s="2"/>
    </row>
    <row r="136" spans="1:14" x14ac:dyDescent="0.3">
      <c r="A136" s="1"/>
      <c r="B136" s="2"/>
      <c r="C136" s="2"/>
      <c r="D136" s="2"/>
      <c r="E136" s="2"/>
      <c r="F136" s="2"/>
      <c r="G136" s="2"/>
      <c r="H136" s="2"/>
      <c r="I136" s="2"/>
      <c r="J136" s="4"/>
      <c r="K136" s="4"/>
      <c r="L136" s="2"/>
      <c r="M136" s="2"/>
      <c r="N136" s="2"/>
    </row>
    <row r="137" spans="1:14" x14ac:dyDescent="0.3">
      <c r="A137" s="1"/>
      <c r="B137" s="2"/>
      <c r="C137" s="2"/>
      <c r="D137" s="2"/>
      <c r="E137" s="2"/>
      <c r="F137" s="2"/>
      <c r="G137" s="2"/>
      <c r="H137" s="2"/>
      <c r="I137" s="2"/>
      <c r="J137" s="4"/>
      <c r="K137" s="4"/>
      <c r="L137" s="2"/>
      <c r="M137" s="2"/>
      <c r="N137" s="2"/>
    </row>
    <row r="138" spans="1:14" x14ac:dyDescent="0.3">
      <c r="A138" s="1"/>
      <c r="B138" s="2"/>
      <c r="C138" s="2"/>
      <c r="D138" s="2"/>
      <c r="E138" s="2"/>
      <c r="F138" s="2"/>
      <c r="G138" s="2"/>
      <c r="H138" s="2"/>
      <c r="I138" s="2"/>
      <c r="J138" s="4"/>
      <c r="K138" s="4"/>
      <c r="L138" s="2"/>
      <c r="M138" s="2"/>
      <c r="N138" s="2"/>
    </row>
    <row r="139" spans="1:14" x14ac:dyDescent="0.3">
      <c r="A139" s="1"/>
      <c r="B139" s="2"/>
      <c r="C139" s="2"/>
      <c r="D139" s="2"/>
      <c r="E139" s="2"/>
      <c r="F139" s="2"/>
      <c r="G139" s="2"/>
      <c r="H139" s="2"/>
      <c r="I139" s="2"/>
      <c r="J139" s="4"/>
      <c r="K139" s="4"/>
      <c r="L139" s="2"/>
      <c r="M139" s="2"/>
      <c r="N139" s="2"/>
    </row>
    <row r="140" spans="1:14" x14ac:dyDescent="0.3">
      <c r="A140" s="1"/>
      <c r="B140" s="2"/>
      <c r="C140" s="2"/>
      <c r="D140" s="2"/>
      <c r="E140" s="2"/>
      <c r="F140" s="2"/>
      <c r="G140" s="2"/>
      <c r="H140" s="2"/>
      <c r="I140" s="2"/>
      <c r="J140" s="4"/>
      <c r="K140" s="4"/>
      <c r="L140" s="2"/>
      <c r="M140" s="2"/>
      <c r="N140" s="2"/>
    </row>
    <row r="141" spans="1:14" x14ac:dyDescent="0.3">
      <c r="A141" s="1"/>
      <c r="B141" s="2"/>
      <c r="C141" s="2"/>
      <c r="D141" s="2"/>
      <c r="E141" s="2"/>
      <c r="F141" s="2"/>
      <c r="G141" s="2"/>
      <c r="H141" s="2"/>
      <c r="I141" s="2"/>
      <c r="J141" s="4"/>
      <c r="K141" s="4"/>
      <c r="L141" s="2"/>
      <c r="M141" s="2"/>
      <c r="N141" s="2"/>
    </row>
    <row r="142" spans="1:14" x14ac:dyDescent="0.3">
      <c r="A142" s="1"/>
      <c r="B142" s="2"/>
      <c r="C142" s="2"/>
      <c r="D142" s="2"/>
      <c r="E142" s="2"/>
      <c r="F142" s="2"/>
      <c r="G142" s="2"/>
      <c r="H142" s="2"/>
      <c r="I142" s="2"/>
      <c r="J142" s="4"/>
      <c r="K142" s="4"/>
      <c r="L142" s="2"/>
      <c r="M142" s="2"/>
      <c r="N142" s="2"/>
    </row>
    <row r="143" spans="1:14" x14ac:dyDescent="0.3">
      <c r="A143" s="1"/>
      <c r="B143" s="2"/>
      <c r="C143" s="2"/>
      <c r="D143" s="2"/>
      <c r="E143" s="2"/>
      <c r="F143" s="2"/>
      <c r="G143" s="2"/>
      <c r="H143" s="2"/>
      <c r="I143" s="2"/>
      <c r="J143" s="4"/>
      <c r="K143" s="4"/>
      <c r="L143" s="2"/>
      <c r="M143" s="2"/>
      <c r="N143" s="2"/>
    </row>
    <row r="144" spans="1:14" x14ac:dyDescent="0.3">
      <c r="A144" s="1"/>
      <c r="B144" s="2"/>
      <c r="C144" s="2"/>
      <c r="D144" s="2"/>
      <c r="E144" s="2"/>
      <c r="F144" s="2"/>
      <c r="G144" s="2"/>
      <c r="H144" s="2"/>
      <c r="I144" s="2"/>
      <c r="J144" s="4"/>
      <c r="K144" s="4"/>
      <c r="L144" s="2"/>
      <c r="M144" s="2"/>
      <c r="N144" s="2"/>
    </row>
    <row r="145" spans="1:14" x14ac:dyDescent="0.3">
      <c r="A145" s="1"/>
      <c r="B145" s="2"/>
      <c r="C145" s="2"/>
      <c r="D145" s="2"/>
      <c r="E145" s="2"/>
      <c r="F145" s="2"/>
      <c r="G145" s="2"/>
      <c r="H145" s="2"/>
      <c r="I145" s="2"/>
      <c r="J145" s="4"/>
      <c r="K145" s="4"/>
      <c r="L145" s="2"/>
      <c r="M145" s="2"/>
      <c r="N145" s="2"/>
    </row>
    <row r="146" spans="1:14" x14ac:dyDescent="0.3">
      <c r="A146" s="1"/>
      <c r="B146" s="2"/>
      <c r="C146" s="2"/>
      <c r="D146" s="2"/>
      <c r="E146" s="2"/>
      <c r="F146" s="2"/>
      <c r="G146" s="2"/>
      <c r="H146" s="2"/>
      <c r="I146" s="2"/>
      <c r="J146" s="4"/>
      <c r="K146" s="4"/>
      <c r="L146" s="2"/>
      <c r="M146" s="2"/>
      <c r="N146" s="2"/>
    </row>
    <row r="147" spans="1:14" x14ac:dyDescent="0.3">
      <c r="A147" s="1"/>
      <c r="B147" s="2"/>
      <c r="C147" s="2"/>
      <c r="D147" s="2"/>
      <c r="E147" s="2"/>
      <c r="F147" s="2"/>
      <c r="G147" s="2"/>
      <c r="H147" s="2"/>
      <c r="I147" s="2"/>
      <c r="J147" s="4"/>
      <c r="K147" s="4"/>
      <c r="L147" s="2"/>
      <c r="M147" s="2"/>
      <c r="N147" s="2"/>
    </row>
    <row r="148" spans="1:14" x14ac:dyDescent="0.3">
      <c r="A148" s="1"/>
      <c r="B148" s="2"/>
      <c r="C148" s="2"/>
      <c r="D148" s="2"/>
      <c r="E148" s="2"/>
      <c r="F148" s="2"/>
      <c r="G148" s="2"/>
      <c r="H148" s="2"/>
      <c r="I148" s="2"/>
      <c r="J148" s="4"/>
      <c r="K148" s="4"/>
      <c r="L148" s="2"/>
      <c r="M148" s="2"/>
      <c r="N148" s="2"/>
    </row>
    <row r="149" spans="1:14" x14ac:dyDescent="0.3">
      <c r="A149" s="1"/>
      <c r="B149" s="2"/>
      <c r="C149" s="2"/>
      <c r="D149" s="2"/>
      <c r="E149" s="2"/>
      <c r="F149" s="2"/>
      <c r="G149" s="2"/>
      <c r="H149" s="2"/>
      <c r="I149" s="2"/>
      <c r="J149" s="4"/>
      <c r="K149" s="4"/>
      <c r="L149" s="2"/>
      <c r="M149" s="2"/>
      <c r="N149" s="2"/>
    </row>
    <row r="150" spans="1:14" x14ac:dyDescent="0.3">
      <c r="A150" s="1"/>
      <c r="B150" s="2"/>
      <c r="C150" s="2"/>
      <c r="D150" s="2"/>
      <c r="E150" s="2"/>
      <c r="F150" s="2"/>
      <c r="G150" s="2"/>
      <c r="H150" s="2"/>
      <c r="I150" s="2"/>
      <c r="J150" s="4"/>
      <c r="K150" s="4"/>
      <c r="L150" s="2"/>
      <c r="M150" s="2"/>
      <c r="N150" s="2"/>
    </row>
    <row r="151" spans="1:14" x14ac:dyDescent="0.3">
      <c r="A151" s="1"/>
      <c r="B151" s="2"/>
      <c r="C151" s="2"/>
      <c r="D151" s="2"/>
      <c r="E151" s="2"/>
      <c r="F151" s="2"/>
      <c r="G151" s="2"/>
      <c r="H151" s="2"/>
      <c r="I151" s="2"/>
      <c r="J151" s="4"/>
      <c r="K151" s="4"/>
      <c r="L151" s="2"/>
      <c r="M151" s="2"/>
      <c r="N151" s="2"/>
    </row>
    <row r="152" spans="1:14" x14ac:dyDescent="0.3">
      <c r="A152" s="1"/>
      <c r="B152" s="2"/>
      <c r="C152" s="2"/>
      <c r="D152" s="2"/>
      <c r="E152" s="2"/>
      <c r="F152" s="2"/>
      <c r="G152" s="2"/>
      <c r="H152" s="2"/>
      <c r="I152" s="2"/>
      <c r="J152" s="4"/>
      <c r="K152" s="4"/>
      <c r="L152" s="2"/>
      <c r="M152" s="2"/>
      <c r="N152" s="2"/>
    </row>
    <row r="153" spans="1:14" x14ac:dyDescent="0.3">
      <c r="A153" s="1"/>
      <c r="B153" s="2"/>
      <c r="C153" s="2"/>
      <c r="D153" s="2"/>
      <c r="E153" s="2"/>
      <c r="F153" s="2"/>
      <c r="G153" s="2"/>
      <c r="H153" s="2"/>
      <c r="I153" s="2"/>
      <c r="J153" s="4"/>
      <c r="K153" s="4"/>
      <c r="L153" s="2"/>
      <c r="M153" s="2"/>
      <c r="N153" s="2"/>
    </row>
    <row r="154" spans="1:14" x14ac:dyDescent="0.3">
      <c r="A154" s="1"/>
      <c r="B154" s="2"/>
      <c r="C154" s="2"/>
      <c r="D154" s="2"/>
      <c r="E154" s="2"/>
      <c r="F154" s="2"/>
      <c r="G154" s="2"/>
      <c r="H154" s="2"/>
      <c r="I154" s="2"/>
      <c r="J154" s="4"/>
      <c r="K154" s="4"/>
      <c r="L154" s="2"/>
      <c r="M154" s="2"/>
      <c r="N154" s="2"/>
    </row>
    <row r="155" spans="1:14" x14ac:dyDescent="0.3">
      <c r="A155" s="1"/>
      <c r="B155" s="2"/>
      <c r="C155" s="2"/>
      <c r="D155" s="2"/>
      <c r="E155" s="2"/>
      <c r="F155" s="2"/>
      <c r="G155" s="2"/>
      <c r="H155" s="2"/>
      <c r="I155" s="2"/>
      <c r="J155" s="4"/>
      <c r="K155" s="4"/>
      <c r="L155" s="2"/>
      <c r="M155" s="2"/>
      <c r="N155" s="2"/>
    </row>
    <row r="156" spans="1:14" x14ac:dyDescent="0.3">
      <c r="A156" s="1"/>
      <c r="B156" s="2"/>
      <c r="C156" s="2"/>
      <c r="D156" s="2"/>
      <c r="E156" s="2"/>
      <c r="F156" s="2"/>
      <c r="G156" s="2"/>
      <c r="H156" s="2"/>
      <c r="I156" s="2"/>
      <c r="J156" s="4"/>
      <c r="K156" s="4"/>
      <c r="L156" s="2"/>
      <c r="M156" s="2"/>
      <c r="N156" s="2"/>
    </row>
    <row r="157" spans="1:14" x14ac:dyDescent="0.3">
      <c r="A157" s="1"/>
      <c r="B157" s="2"/>
      <c r="C157" s="2"/>
      <c r="D157" s="2"/>
      <c r="E157" s="2"/>
      <c r="F157" s="2"/>
      <c r="G157" s="2"/>
      <c r="H157" s="2"/>
      <c r="I157" s="2"/>
      <c r="J157" s="4"/>
      <c r="K157" s="4"/>
      <c r="L157" s="2"/>
      <c r="M157" s="2"/>
      <c r="N157" s="2"/>
    </row>
    <row r="158" spans="1:14" x14ac:dyDescent="0.3">
      <c r="A158" s="1"/>
      <c r="B158" s="2"/>
      <c r="C158" s="2"/>
      <c r="D158" s="2"/>
      <c r="E158" s="2"/>
      <c r="F158" s="2"/>
      <c r="G158" s="2"/>
      <c r="H158" s="2"/>
      <c r="I158" s="2"/>
      <c r="J158" s="4"/>
      <c r="K158" s="4"/>
      <c r="L158" s="2"/>
      <c r="M158" s="2"/>
      <c r="N158" s="2"/>
    </row>
    <row r="159" spans="1:14" x14ac:dyDescent="0.3">
      <c r="A159" s="1"/>
      <c r="B159" s="2"/>
      <c r="C159" s="2"/>
      <c r="D159" s="2"/>
      <c r="E159" s="2"/>
      <c r="F159" s="2"/>
      <c r="G159" s="2"/>
      <c r="H159" s="2"/>
      <c r="I159" s="2"/>
      <c r="J159" s="4"/>
      <c r="K159" s="4"/>
      <c r="L159" s="2"/>
      <c r="M159" s="2"/>
      <c r="N159" s="2"/>
    </row>
    <row r="160" spans="1:14" x14ac:dyDescent="0.3">
      <c r="A160" s="1"/>
      <c r="B160" s="2"/>
      <c r="C160" s="2"/>
      <c r="D160" s="2"/>
      <c r="E160" s="2"/>
      <c r="F160" s="2"/>
      <c r="G160" s="2"/>
      <c r="H160" s="2"/>
      <c r="I160" s="2"/>
      <c r="J160" s="4"/>
      <c r="K160" s="4"/>
      <c r="L160" s="2"/>
      <c r="M160" s="2"/>
      <c r="N160" s="2"/>
    </row>
    <row r="161" spans="1:14" x14ac:dyDescent="0.3">
      <c r="A161" s="1"/>
      <c r="B161" s="2"/>
      <c r="C161" s="2"/>
      <c r="D161" s="2"/>
      <c r="E161" s="2"/>
      <c r="F161" s="2"/>
      <c r="G161" s="2"/>
      <c r="H161" s="2"/>
      <c r="I161" s="2"/>
      <c r="J161" s="4"/>
      <c r="K161" s="4"/>
      <c r="L161" s="2"/>
      <c r="M161" s="2"/>
      <c r="N161" s="2"/>
    </row>
    <row r="162" spans="1:14" x14ac:dyDescent="0.3">
      <c r="A162" s="1"/>
      <c r="B162" s="2"/>
      <c r="C162" s="2"/>
      <c r="D162" s="2"/>
      <c r="E162" s="2"/>
      <c r="F162" s="2"/>
      <c r="G162" s="2"/>
      <c r="H162" s="2"/>
      <c r="I162" s="2"/>
      <c r="J162" s="4"/>
      <c r="K162" s="4"/>
      <c r="L162" s="2"/>
      <c r="M162" s="2"/>
      <c r="N162" s="2"/>
    </row>
    <row r="163" spans="1:14" x14ac:dyDescent="0.3">
      <c r="A163" s="1"/>
      <c r="B163" s="2"/>
      <c r="C163" s="2"/>
      <c r="D163" s="2"/>
      <c r="E163" s="2"/>
      <c r="F163" s="2"/>
      <c r="G163" s="2"/>
      <c r="H163" s="2"/>
      <c r="I163" s="2"/>
      <c r="J163" s="4"/>
      <c r="K163" s="4"/>
      <c r="L163" s="2"/>
      <c r="M163" s="2"/>
      <c r="N163" s="2"/>
    </row>
    <row r="164" spans="1:14" x14ac:dyDescent="0.3">
      <c r="A164" s="1"/>
      <c r="B164" s="2"/>
      <c r="C164" s="2"/>
      <c r="D164" s="2"/>
      <c r="E164" s="2"/>
      <c r="F164" s="2"/>
      <c r="G164" s="2"/>
      <c r="H164" s="2"/>
      <c r="I164" s="2"/>
      <c r="J164" s="4"/>
      <c r="K164" s="4"/>
      <c r="L164" s="2"/>
      <c r="M164" s="2"/>
      <c r="N164" s="2"/>
    </row>
    <row r="165" spans="1:14" x14ac:dyDescent="0.3">
      <c r="A165" s="1"/>
      <c r="B165" s="2"/>
      <c r="C165" s="2"/>
      <c r="D165" s="2"/>
      <c r="E165" s="2"/>
      <c r="F165" s="2"/>
      <c r="G165" s="2"/>
      <c r="H165" s="2"/>
      <c r="I165" s="2"/>
      <c r="J165" s="4"/>
      <c r="K165" s="4"/>
      <c r="L165" s="2"/>
      <c r="M165" s="2"/>
      <c r="N165" s="2"/>
    </row>
    <row r="166" spans="1:14" x14ac:dyDescent="0.3">
      <c r="A166" s="1"/>
      <c r="B166" s="2"/>
      <c r="C166" s="2"/>
      <c r="D166" s="2"/>
      <c r="E166" s="2"/>
      <c r="F166" s="2"/>
      <c r="G166" s="2"/>
      <c r="H166" s="2"/>
      <c r="I166" s="2"/>
      <c r="J166" s="4"/>
      <c r="K166" s="4"/>
      <c r="L166" s="2"/>
      <c r="M166" s="2"/>
      <c r="N166" s="2"/>
    </row>
    <row r="167" spans="1:14" x14ac:dyDescent="0.3">
      <c r="A167" s="1"/>
      <c r="B167" s="2"/>
      <c r="C167" s="2"/>
      <c r="D167" s="2"/>
      <c r="E167" s="2"/>
      <c r="F167" s="2"/>
      <c r="G167" s="2"/>
      <c r="H167" s="2"/>
      <c r="I167" s="2"/>
      <c r="J167" s="4"/>
      <c r="K167" s="4"/>
      <c r="L167" s="2"/>
      <c r="M167" s="2"/>
      <c r="N167" s="2"/>
    </row>
    <row r="168" spans="1:14" x14ac:dyDescent="0.3">
      <c r="A168" s="1"/>
      <c r="B168" s="2"/>
      <c r="C168" s="2"/>
      <c r="D168" s="2"/>
      <c r="E168" s="2"/>
      <c r="F168" s="2"/>
      <c r="G168" s="2"/>
      <c r="H168" s="2"/>
      <c r="I168" s="2"/>
      <c r="J168" s="4"/>
      <c r="K168" s="4"/>
      <c r="L168" s="2"/>
      <c r="M168" s="2"/>
      <c r="N168" s="2"/>
    </row>
    <row r="169" spans="1:14" x14ac:dyDescent="0.3">
      <c r="A169" s="1"/>
      <c r="B169" s="2"/>
      <c r="C169" s="2"/>
      <c r="D169" s="2"/>
      <c r="E169" s="2"/>
      <c r="F169" s="2"/>
      <c r="G169" s="2"/>
      <c r="H169" s="2"/>
      <c r="I169" s="2"/>
      <c r="J169" s="4"/>
      <c r="K169" s="4"/>
      <c r="L169" s="2"/>
      <c r="M169" s="2"/>
      <c r="N169" s="2"/>
    </row>
    <row r="170" spans="1:14" x14ac:dyDescent="0.3">
      <c r="A170" s="1"/>
      <c r="B170" s="2"/>
      <c r="C170" s="2"/>
      <c r="D170" s="2"/>
      <c r="E170" s="2"/>
      <c r="F170" s="2"/>
      <c r="G170" s="2"/>
      <c r="H170" s="2"/>
      <c r="I170" s="2"/>
      <c r="J170" s="4"/>
      <c r="K170" s="4"/>
      <c r="L170" s="2"/>
      <c r="M170" s="2"/>
      <c r="N170" s="2"/>
    </row>
    <row r="171" spans="1:14" x14ac:dyDescent="0.3">
      <c r="A171" s="1"/>
      <c r="B171" s="2"/>
      <c r="C171" s="2"/>
      <c r="D171" s="2"/>
      <c r="E171" s="2"/>
      <c r="F171" s="2"/>
      <c r="G171" s="2"/>
      <c r="H171" s="2"/>
      <c r="I171" s="2"/>
      <c r="J171" s="4"/>
      <c r="K171" s="4"/>
      <c r="L171" s="2"/>
      <c r="M171" s="2"/>
      <c r="N171" s="2"/>
    </row>
    <row r="172" spans="1:14" x14ac:dyDescent="0.3">
      <c r="A172" s="1"/>
      <c r="B172" s="2"/>
      <c r="C172" s="2"/>
      <c r="D172" s="2"/>
      <c r="E172" s="2"/>
      <c r="F172" s="2"/>
      <c r="G172" s="2"/>
      <c r="H172" s="2"/>
      <c r="I172" s="2"/>
      <c r="J172" s="4"/>
      <c r="K172" s="4"/>
      <c r="L172" s="2"/>
      <c r="M172" s="2"/>
      <c r="N172" s="2"/>
    </row>
    <row r="173" spans="1:14" x14ac:dyDescent="0.3">
      <c r="A173" s="1"/>
      <c r="B173" s="2"/>
      <c r="C173" s="2"/>
      <c r="D173" s="2"/>
      <c r="E173" s="2"/>
      <c r="F173" s="2"/>
      <c r="G173" s="2"/>
      <c r="H173" s="2"/>
      <c r="I173" s="2"/>
      <c r="J173" s="4"/>
      <c r="K173" s="4"/>
      <c r="L173" s="2"/>
      <c r="M173" s="2"/>
      <c r="N173" s="2"/>
    </row>
    <row r="174" spans="1:14" x14ac:dyDescent="0.3">
      <c r="A174" s="1"/>
      <c r="B174" s="2"/>
      <c r="C174" s="2"/>
      <c r="D174" s="2"/>
      <c r="E174" s="2"/>
      <c r="F174" s="2"/>
      <c r="G174" s="2"/>
      <c r="H174" s="2"/>
      <c r="I174" s="2"/>
      <c r="J174" s="4"/>
      <c r="K174" s="4"/>
      <c r="L174" s="2"/>
      <c r="M174" s="2"/>
      <c r="N174" s="2"/>
    </row>
    <row r="175" spans="1:14" x14ac:dyDescent="0.3">
      <c r="A175" s="1"/>
      <c r="B175" s="2"/>
      <c r="C175" s="2"/>
      <c r="D175" s="2"/>
      <c r="E175" s="2"/>
      <c r="F175" s="2"/>
      <c r="G175" s="2"/>
      <c r="H175" s="2"/>
      <c r="I175" s="2"/>
      <c r="J175" s="4"/>
      <c r="K175" s="4"/>
      <c r="L175" s="2"/>
      <c r="M175" s="2"/>
      <c r="N175" s="2"/>
    </row>
    <row r="176" spans="1:14" x14ac:dyDescent="0.3">
      <c r="A176" s="1"/>
      <c r="B176" s="2"/>
      <c r="C176" s="2"/>
      <c r="D176" s="2"/>
      <c r="E176" s="2"/>
      <c r="F176" s="2"/>
      <c r="G176" s="2"/>
      <c r="H176" s="2"/>
      <c r="I176" s="2"/>
      <c r="J176" s="4"/>
      <c r="K176" s="4"/>
      <c r="L176" s="2"/>
      <c r="M176" s="2"/>
      <c r="N176" s="2"/>
    </row>
    <row r="177" spans="1:14" x14ac:dyDescent="0.3">
      <c r="A177" s="1"/>
      <c r="B177" s="2"/>
      <c r="C177" s="2"/>
      <c r="D177" s="2"/>
      <c r="E177" s="2"/>
      <c r="F177" s="2"/>
      <c r="G177" s="2"/>
      <c r="H177" s="2"/>
      <c r="I177" s="2"/>
      <c r="J177" s="4"/>
      <c r="K177" s="4"/>
      <c r="L177" s="2"/>
      <c r="M177" s="2"/>
      <c r="N177" s="2"/>
    </row>
    <row r="178" spans="1:14" x14ac:dyDescent="0.3">
      <c r="A178" s="1"/>
      <c r="B178" s="2"/>
      <c r="C178" s="2"/>
      <c r="D178" s="2"/>
      <c r="E178" s="2"/>
      <c r="F178" s="2"/>
      <c r="G178" s="2"/>
      <c r="H178" s="2"/>
      <c r="I178" s="2"/>
      <c r="J178" s="4"/>
      <c r="K178" s="4"/>
      <c r="L178" s="2"/>
      <c r="M178" s="2"/>
      <c r="N178" s="2"/>
    </row>
    <row r="179" spans="1:14" x14ac:dyDescent="0.3">
      <c r="A179" s="1"/>
      <c r="B179" s="2"/>
      <c r="C179" s="2"/>
      <c r="D179" s="2"/>
      <c r="E179" s="2"/>
      <c r="F179" s="2"/>
      <c r="G179" s="2"/>
      <c r="H179" s="2"/>
      <c r="I179" s="2"/>
      <c r="J179" s="4"/>
      <c r="K179" s="4"/>
      <c r="L179" s="2"/>
      <c r="M179" s="2"/>
      <c r="N179" s="2"/>
    </row>
    <row r="180" spans="1:14" x14ac:dyDescent="0.3">
      <c r="A180" s="1"/>
      <c r="B180" s="2"/>
      <c r="C180" s="2"/>
      <c r="D180" s="2"/>
      <c r="E180" s="2"/>
      <c r="F180" s="2"/>
      <c r="G180" s="2"/>
      <c r="H180" s="2"/>
      <c r="I180" s="2"/>
      <c r="J180" s="4"/>
      <c r="K180" s="4"/>
      <c r="L180" s="2"/>
      <c r="M180" s="2"/>
      <c r="N180" s="2"/>
    </row>
    <row r="181" spans="1:14" x14ac:dyDescent="0.3">
      <c r="A181" s="1"/>
      <c r="B181" s="2"/>
      <c r="C181" s="2"/>
      <c r="D181" s="2"/>
      <c r="E181" s="2"/>
      <c r="F181" s="2"/>
      <c r="G181" s="2"/>
      <c r="H181" s="2"/>
      <c r="I181" s="2"/>
      <c r="J181" s="4"/>
      <c r="K181" s="4"/>
      <c r="L181" s="2"/>
      <c r="M181" s="2"/>
      <c r="N181" s="2"/>
    </row>
    <row r="182" spans="1:14" x14ac:dyDescent="0.3">
      <c r="A182" s="1"/>
      <c r="B182" s="2"/>
      <c r="C182" s="2"/>
      <c r="D182" s="2"/>
      <c r="E182" s="2"/>
      <c r="F182" s="2"/>
      <c r="G182" s="2"/>
      <c r="H182" s="2"/>
      <c r="I182" s="2"/>
      <c r="J182" s="4"/>
      <c r="K182" s="4"/>
      <c r="L182" s="2"/>
      <c r="M182" s="2"/>
      <c r="N182" s="2"/>
    </row>
    <row r="183" spans="1:14" x14ac:dyDescent="0.3">
      <c r="A183" s="1"/>
      <c r="B183" s="2"/>
      <c r="C183" s="2"/>
      <c r="D183" s="2"/>
      <c r="E183" s="2"/>
      <c r="F183" s="2"/>
      <c r="G183" s="2"/>
      <c r="H183" s="2"/>
      <c r="I183" s="2"/>
      <c r="J183" s="4"/>
      <c r="K183" s="4"/>
      <c r="L183" s="2"/>
      <c r="M183" s="2"/>
      <c r="N183" s="2"/>
    </row>
    <row r="184" spans="1:14" x14ac:dyDescent="0.3">
      <c r="A184" s="1"/>
      <c r="B184" s="2"/>
      <c r="C184" s="2"/>
      <c r="D184" s="2"/>
      <c r="E184" s="2"/>
      <c r="F184" s="2"/>
      <c r="G184" s="2"/>
      <c r="H184" s="2"/>
      <c r="I184" s="2"/>
      <c r="J184" s="4"/>
      <c r="K184" s="4"/>
      <c r="L184" s="2"/>
      <c r="M184" s="2"/>
      <c r="N184" s="2"/>
    </row>
    <row r="185" spans="1:14" x14ac:dyDescent="0.3">
      <c r="A185" s="1"/>
      <c r="B185" s="2"/>
      <c r="C185" s="2"/>
      <c r="D185" s="2"/>
      <c r="E185" s="2"/>
      <c r="F185" s="2"/>
      <c r="G185" s="2"/>
      <c r="H185" s="2"/>
      <c r="I185" s="2"/>
      <c r="J185" s="4"/>
      <c r="K185" s="4"/>
      <c r="L185" s="2"/>
      <c r="M185" s="2"/>
      <c r="N185" s="2"/>
    </row>
    <row r="186" spans="1:14" x14ac:dyDescent="0.3">
      <c r="A186" s="1"/>
      <c r="B186" s="2"/>
      <c r="C186" s="2"/>
      <c r="D186" s="2"/>
      <c r="E186" s="2"/>
      <c r="F186" s="2"/>
      <c r="G186" s="2"/>
      <c r="H186" s="2"/>
      <c r="I186" s="2"/>
      <c r="J186" s="4"/>
      <c r="K186" s="4"/>
      <c r="L186" s="2"/>
      <c r="M186" s="2"/>
      <c r="N186" s="2"/>
    </row>
    <row r="187" spans="1:14" x14ac:dyDescent="0.3">
      <c r="A187" s="1"/>
      <c r="B187" s="2"/>
      <c r="C187" s="2"/>
      <c r="D187" s="2"/>
      <c r="E187" s="2"/>
      <c r="F187" s="2"/>
      <c r="G187" s="2"/>
      <c r="H187" s="2"/>
      <c r="I187" s="2"/>
      <c r="J187" s="4"/>
      <c r="K187" s="4"/>
      <c r="L187" s="2"/>
      <c r="M187" s="2"/>
      <c r="N187" s="2"/>
    </row>
    <row r="188" spans="1:14" x14ac:dyDescent="0.3">
      <c r="A188" s="1"/>
      <c r="B188" s="2"/>
      <c r="C188" s="2"/>
      <c r="D188" s="2"/>
      <c r="E188" s="2"/>
      <c r="F188" s="2"/>
      <c r="G188" s="2"/>
      <c r="H188" s="2"/>
      <c r="I188" s="2"/>
      <c r="J188" s="4"/>
      <c r="K188" s="4"/>
      <c r="L188" s="2"/>
      <c r="M188" s="2"/>
      <c r="N188" s="2"/>
    </row>
    <row r="189" spans="1:14" x14ac:dyDescent="0.3">
      <c r="A189" s="1"/>
      <c r="B189" s="2"/>
      <c r="C189" s="2"/>
      <c r="D189" s="2"/>
      <c r="E189" s="2"/>
      <c r="F189" s="2"/>
      <c r="G189" s="2"/>
      <c r="H189" s="2"/>
      <c r="I189" s="2"/>
      <c r="J189" s="4"/>
      <c r="K189" s="4"/>
      <c r="L189" s="2"/>
      <c r="M189" s="2"/>
      <c r="N189" s="2"/>
    </row>
    <row r="190" spans="1:14" x14ac:dyDescent="0.3">
      <c r="A190" s="1"/>
      <c r="B190" s="2"/>
      <c r="C190" s="2"/>
      <c r="D190" s="2"/>
      <c r="E190" s="2"/>
      <c r="F190" s="2"/>
      <c r="G190" s="2"/>
      <c r="H190" s="2"/>
      <c r="I190" s="2"/>
      <c r="J190" s="4"/>
      <c r="K190" s="4"/>
      <c r="L190" s="2"/>
      <c r="M190" s="2"/>
      <c r="N190" s="2"/>
    </row>
    <row r="191" spans="1:14" x14ac:dyDescent="0.3">
      <c r="A191" s="1"/>
      <c r="B191" s="2"/>
      <c r="C191" s="2"/>
      <c r="D191" s="2"/>
      <c r="E191" s="2"/>
      <c r="F191" s="2"/>
      <c r="G191" s="2"/>
      <c r="H191" s="2"/>
      <c r="I191" s="2"/>
      <c r="J191" s="4"/>
      <c r="K191" s="4"/>
      <c r="L191" s="2"/>
      <c r="M191" s="2"/>
      <c r="N191" s="2"/>
    </row>
    <row r="192" spans="1:14" x14ac:dyDescent="0.3">
      <c r="A192" s="1"/>
      <c r="B192" s="2"/>
      <c r="C192" s="2"/>
      <c r="D192" s="2"/>
      <c r="E192" s="2"/>
      <c r="F192" s="2"/>
      <c r="G192" s="2"/>
      <c r="H192" s="2"/>
      <c r="I192" s="2"/>
      <c r="J192" s="4"/>
      <c r="K192" s="4"/>
      <c r="L192" s="2"/>
      <c r="M192" s="2"/>
      <c r="N192" s="2"/>
    </row>
    <row r="193" spans="1:14" x14ac:dyDescent="0.3">
      <c r="A193" s="1"/>
      <c r="B193" s="2"/>
      <c r="C193" s="2"/>
      <c r="D193" s="2"/>
      <c r="E193" s="2"/>
      <c r="F193" s="2"/>
      <c r="G193" s="2"/>
      <c r="H193" s="2"/>
      <c r="I193" s="2"/>
      <c r="J193" s="4"/>
      <c r="K193" s="4"/>
      <c r="L193" s="2"/>
      <c r="M193" s="2"/>
      <c r="N193" s="2"/>
    </row>
    <row r="194" spans="1:14" x14ac:dyDescent="0.3">
      <c r="A194" s="1"/>
      <c r="B194" s="2"/>
      <c r="C194" s="2"/>
      <c r="D194" s="2"/>
      <c r="E194" s="2"/>
      <c r="F194" s="2"/>
      <c r="G194" s="2"/>
      <c r="H194" s="2"/>
      <c r="I194" s="2"/>
      <c r="J194" s="4"/>
      <c r="K194" s="4"/>
      <c r="L194" s="2"/>
      <c r="M194" s="2"/>
      <c r="N194" s="2"/>
    </row>
    <row r="195" spans="1:14" x14ac:dyDescent="0.3">
      <c r="A195" s="1"/>
      <c r="B195" s="2"/>
      <c r="C195" s="2"/>
      <c r="D195" s="2"/>
      <c r="E195" s="2"/>
      <c r="F195" s="2"/>
      <c r="G195" s="2"/>
      <c r="H195" s="2"/>
      <c r="I195" s="2"/>
      <c r="J195" s="4"/>
      <c r="K195" s="4"/>
      <c r="L195" s="2"/>
      <c r="M195" s="2"/>
      <c r="N195" s="2"/>
    </row>
    <row r="196" spans="1:14" x14ac:dyDescent="0.3">
      <c r="A196" s="1"/>
      <c r="B196" s="2"/>
      <c r="C196" s="2"/>
      <c r="D196" s="2"/>
      <c r="E196" s="2"/>
      <c r="F196" s="2"/>
      <c r="G196" s="2"/>
      <c r="H196" s="2"/>
      <c r="I196" s="2"/>
      <c r="J196" s="4"/>
      <c r="K196" s="4"/>
      <c r="L196" s="2"/>
      <c r="M196" s="2"/>
      <c r="N196" s="2"/>
    </row>
    <row r="197" spans="1:14" x14ac:dyDescent="0.3">
      <c r="A197" s="1"/>
      <c r="B197" s="2"/>
      <c r="C197" s="2"/>
      <c r="D197" s="2"/>
      <c r="E197" s="2"/>
      <c r="F197" s="2"/>
      <c r="G197" s="2"/>
      <c r="H197" s="2"/>
      <c r="I197" s="2"/>
      <c r="J197" s="4"/>
      <c r="K197" s="4"/>
      <c r="L197" s="2"/>
      <c r="M197" s="2"/>
      <c r="N197" s="2"/>
    </row>
    <row r="198" spans="1:14" x14ac:dyDescent="0.3">
      <c r="A198" s="1"/>
      <c r="B198" s="2"/>
      <c r="C198" s="2"/>
      <c r="D198" s="2"/>
      <c r="E198" s="2"/>
      <c r="F198" s="2"/>
      <c r="G198" s="2"/>
      <c r="H198" s="2"/>
      <c r="I198" s="2"/>
      <c r="J198" s="4"/>
      <c r="K198" s="4"/>
      <c r="L198" s="2"/>
      <c r="M198" s="2"/>
      <c r="N198" s="2"/>
    </row>
    <row r="199" spans="1:14" x14ac:dyDescent="0.3">
      <c r="A199" s="1"/>
      <c r="B199" s="2"/>
      <c r="C199" s="2"/>
      <c r="D199" s="2"/>
      <c r="E199" s="2"/>
      <c r="F199" s="2"/>
      <c r="G199" s="2"/>
      <c r="H199" s="2"/>
      <c r="I199" s="2"/>
      <c r="J199" s="4"/>
      <c r="K199" s="4"/>
      <c r="L199" s="2"/>
      <c r="M199" s="2"/>
      <c r="N199" s="2"/>
    </row>
    <row r="200" spans="1:14" x14ac:dyDescent="0.3">
      <c r="A200" s="1"/>
      <c r="B200" s="2"/>
      <c r="C200" s="2"/>
      <c r="D200" s="2"/>
      <c r="E200" s="2"/>
      <c r="F200" s="2"/>
      <c r="G200" s="2"/>
      <c r="H200" s="2"/>
      <c r="I200" s="2"/>
      <c r="J200" s="4"/>
      <c r="K200" s="4"/>
      <c r="L200" s="2"/>
      <c r="M200" s="2"/>
      <c r="N200" s="2"/>
    </row>
  </sheetData>
  <sheetProtection sheet="1" objects="1" scenarios="1" formatCells="0" formatColumns="0" formatRows="0" insertColumns="0" insertHyperlinks="0" deleteColumns="0" pivotTables="0"/>
  <dataValidations count="6">
    <dataValidation type="list" allowBlank="1" showInputMessage="1" showErrorMessage="1" errorTitle="Invalid value" error="Select a value from the list." promptTitle="Select a value" prompt="Choose from the list." sqref="D2:D200" xr:uid="{00000000-0002-0000-0600-000000000000}">
      <formula1>rngLiabilities</formula1>
    </dataValidation>
    <dataValidation type="list" allowBlank="1" showInputMessage="1" showErrorMessage="1" errorTitle="Invalid value" error="Select a value from the list." promptTitle="Select a value" prompt="Choose from the list." sqref="E2:E200" xr:uid="{00000000-0002-0000-0600-000001000000}">
      <formula1>rngGoals</formula1>
    </dataValidation>
    <dataValidation type="list" allowBlank="1" showInputMessage="1" showErrorMessage="1" errorTitle="Invalid value" error="Select a value from the list." promptTitle="Select a value" prompt="Choose from the list." sqref="F2:F200" xr:uid="{00000000-0002-0000-0600-000002000000}">
      <formula1>rngAccounts</formula1>
    </dataValidation>
    <dataValidation type="list" allowBlank="1" showInputMessage="1" showErrorMessage="1" errorTitle="Invalid value" error="Select a value from the list." promptTitle="Select a value" prompt="Choose from the list." sqref="H2:H200" xr:uid="{00000000-0002-0000-0600-000003000000}">
      <formula1>rngFrequency</formula1>
    </dataValidation>
    <dataValidation type="list" allowBlank="1" showInputMessage="1" showErrorMessage="1" errorTitle="Invalid value" error="Select a value from the list." promptTitle="Select a value" prompt="Choose from the list." sqref="L2:L200" xr:uid="{00000000-0002-0000-0600-000004000000}">
      <formula1>rngBoolean</formula1>
    </dataValidation>
    <dataValidation type="list" allowBlank="1" showInputMessage="1" showErrorMessage="1" errorTitle="Invalid value" error="Select a value from the list." promptTitle="Select a value" prompt="Choose from the list." sqref="M2:M200" xr:uid="{00000000-0002-0000-0600-000005000000}">
      <formula1>rngCommitmentStatus</formula1>
    </dataValidation>
  </dataValidations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200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2" width="14" customWidth="1"/>
    <col min="3" max="4" width="18" customWidth="1"/>
    <col min="5" max="6" width="20" customWidth="1"/>
    <col min="7" max="7" width="16" customWidth="1"/>
    <col min="8" max="8" width="20" customWidth="1"/>
    <col min="9" max="9" width="16" customWidth="1"/>
    <col min="10" max="10" width="16" customWidth="1"/>
    <col min="11" max="11" width="18" customWidth="1"/>
    <col min="12" max="12" width="20" customWidth="1"/>
    <col min="13" max="13" width="22" customWidth="1"/>
  </cols>
  <sheetData>
    <row r="1" spans="1:13" ht="22" customHeight="1" x14ac:dyDescent="0.3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53</v>
      </c>
      <c r="J1" s="1" t="s">
        <v>65</v>
      </c>
      <c r="K1" s="1" t="s">
        <v>66</v>
      </c>
      <c r="L1" s="1" t="s">
        <v>11</v>
      </c>
      <c r="M1" s="1" t="s">
        <v>67</v>
      </c>
    </row>
    <row r="2" spans="1:13" ht="18" customHeight="1" x14ac:dyDescent="0.3">
      <c r="A2" s="9"/>
      <c r="B2" s="5"/>
      <c r="C2" s="8"/>
      <c r="D2" s="8"/>
      <c r="E2" s="8"/>
      <c r="F2" s="8"/>
      <c r="G2" s="8"/>
      <c r="H2" s="8"/>
      <c r="I2" s="6"/>
      <c r="J2" s="8"/>
      <c r="K2" s="7"/>
      <c r="L2" s="8"/>
      <c r="M2" s="10"/>
    </row>
    <row r="3" spans="1:13" ht="18" customHeight="1" x14ac:dyDescent="0.3">
      <c r="A3" s="9"/>
      <c r="B3" s="5"/>
      <c r="C3" s="8"/>
      <c r="D3" s="8"/>
      <c r="E3" s="8"/>
      <c r="F3" s="8"/>
      <c r="G3" s="8"/>
      <c r="H3" s="8"/>
      <c r="I3" s="6"/>
      <c r="J3" s="8"/>
      <c r="K3" s="7"/>
      <c r="L3" s="8"/>
      <c r="M3" s="10"/>
    </row>
    <row r="4" spans="1:13" ht="18" customHeight="1" x14ac:dyDescent="0.3">
      <c r="A4" s="9"/>
      <c r="B4" s="5"/>
      <c r="C4" s="8"/>
      <c r="D4" s="8"/>
      <c r="E4" s="8"/>
      <c r="F4" s="8"/>
      <c r="G4" s="8"/>
      <c r="H4" s="8"/>
      <c r="I4" s="6"/>
      <c r="J4" s="8"/>
      <c r="K4" s="7"/>
      <c r="L4" s="8"/>
      <c r="M4" s="10"/>
    </row>
    <row r="5" spans="1:13" ht="18" customHeight="1" x14ac:dyDescent="0.3">
      <c r="A5" s="9"/>
      <c r="B5" s="5"/>
      <c r="C5" s="8"/>
      <c r="D5" s="8"/>
      <c r="E5" s="8"/>
      <c r="F5" s="8"/>
      <c r="G5" s="8"/>
      <c r="H5" s="8"/>
      <c r="I5" s="6"/>
      <c r="J5" s="8"/>
      <c r="K5" s="7"/>
      <c r="L5" s="8"/>
      <c r="M5" s="10"/>
    </row>
    <row r="6" spans="1:13" ht="18" customHeight="1" x14ac:dyDescent="0.3">
      <c r="A6" s="9"/>
      <c r="B6" s="5"/>
      <c r="C6" s="8"/>
      <c r="D6" s="8"/>
      <c r="E6" s="8"/>
      <c r="F6" s="8"/>
      <c r="G6" s="8"/>
      <c r="H6" s="8"/>
      <c r="I6" s="6"/>
      <c r="J6" s="8"/>
      <c r="K6" s="7"/>
      <c r="L6" s="8"/>
      <c r="M6" s="10"/>
    </row>
    <row r="7" spans="1:13" ht="18" customHeight="1" x14ac:dyDescent="0.3">
      <c r="A7" s="9"/>
      <c r="B7" s="5"/>
      <c r="C7" s="8"/>
      <c r="D7" s="8"/>
      <c r="E7" s="8"/>
      <c r="F7" s="8"/>
      <c r="G7" s="8"/>
      <c r="H7" s="8"/>
      <c r="I7" s="6"/>
      <c r="J7" s="8"/>
      <c r="K7" s="7"/>
      <c r="L7" s="8"/>
      <c r="M7" s="10"/>
    </row>
    <row r="8" spans="1:13" ht="18" customHeight="1" x14ac:dyDescent="0.3">
      <c r="A8" s="9"/>
      <c r="B8" s="5"/>
      <c r="C8" s="8"/>
      <c r="D8" s="8"/>
      <c r="E8" s="8"/>
      <c r="F8" s="8"/>
      <c r="G8" s="8"/>
      <c r="H8" s="8"/>
      <c r="I8" s="6"/>
      <c r="J8" s="8"/>
      <c r="K8" s="7"/>
      <c r="L8" s="8"/>
      <c r="M8" s="10"/>
    </row>
    <row r="9" spans="1:13" ht="18" customHeight="1" x14ac:dyDescent="0.3">
      <c r="A9" s="9"/>
      <c r="B9" s="5"/>
      <c r="C9" s="8"/>
      <c r="D9" s="8"/>
      <c r="E9" s="8"/>
      <c r="F9" s="8"/>
      <c r="G9" s="8"/>
      <c r="H9" s="8"/>
      <c r="I9" s="6"/>
      <c r="J9" s="8"/>
      <c r="K9" s="7"/>
      <c r="L9" s="8"/>
      <c r="M9" s="10"/>
    </row>
    <row r="10" spans="1:13" ht="18" customHeight="1" x14ac:dyDescent="0.3">
      <c r="A10" s="9"/>
      <c r="B10" s="5"/>
      <c r="C10" s="8"/>
      <c r="D10" s="8"/>
      <c r="E10" s="8"/>
      <c r="F10" s="8"/>
      <c r="G10" s="8"/>
      <c r="H10" s="8"/>
      <c r="I10" s="6"/>
      <c r="J10" s="8"/>
      <c r="K10" s="7"/>
      <c r="L10" s="8"/>
      <c r="M10" s="10"/>
    </row>
    <row r="11" spans="1:13" ht="18" customHeight="1" x14ac:dyDescent="0.3">
      <c r="A11" s="9"/>
      <c r="B11" s="5"/>
      <c r="C11" s="8"/>
      <c r="D11" s="8"/>
      <c r="E11" s="8"/>
      <c r="F11" s="8"/>
      <c r="G11" s="8"/>
      <c r="H11" s="8"/>
      <c r="I11" s="6"/>
      <c r="J11" s="8"/>
      <c r="K11" s="7"/>
      <c r="L11" s="8"/>
      <c r="M11" s="10"/>
    </row>
    <row r="12" spans="1:13" ht="18" customHeight="1" x14ac:dyDescent="0.3">
      <c r="A12" s="9"/>
      <c r="B12" s="5"/>
      <c r="C12" s="8"/>
      <c r="D12" s="8"/>
      <c r="E12" s="8"/>
      <c r="F12" s="8"/>
      <c r="G12" s="8"/>
      <c r="H12" s="8"/>
      <c r="I12" s="6"/>
      <c r="J12" s="8"/>
      <c r="K12" s="7"/>
      <c r="L12" s="8"/>
      <c r="M12" s="10"/>
    </row>
    <row r="13" spans="1:13" ht="18" customHeight="1" x14ac:dyDescent="0.3">
      <c r="A13" s="9"/>
      <c r="B13" s="5"/>
      <c r="C13" s="8"/>
      <c r="D13" s="8"/>
      <c r="E13" s="8"/>
      <c r="F13" s="8"/>
      <c r="G13" s="8"/>
      <c r="H13" s="8"/>
      <c r="I13" s="6"/>
      <c r="J13" s="8"/>
      <c r="K13" s="7"/>
      <c r="L13" s="8"/>
      <c r="M13" s="10"/>
    </row>
    <row r="14" spans="1:13" ht="18" customHeight="1" x14ac:dyDescent="0.3">
      <c r="A14" s="9"/>
      <c r="B14" s="5"/>
      <c r="C14" s="8"/>
      <c r="D14" s="8"/>
      <c r="E14" s="8"/>
      <c r="F14" s="8"/>
      <c r="G14" s="8"/>
      <c r="H14" s="8"/>
      <c r="I14" s="6"/>
      <c r="J14" s="8"/>
      <c r="K14" s="7"/>
      <c r="L14" s="8"/>
      <c r="M14" s="10"/>
    </row>
    <row r="15" spans="1:13" ht="18" customHeight="1" x14ac:dyDescent="0.3">
      <c r="A15" s="9"/>
      <c r="B15" s="5"/>
      <c r="C15" s="8"/>
      <c r="D15" s="8"/>
      <c r="E15" s="8"/>
      <c r="F15" s="8"/>
      <c r="G15" s="8"/>
      <c r="H15" s="8"/>
      <c r="I15" s="6"/>
      <c r="J15" s="8"/>
      <c r="K15" s="7"/>
      <c r="L15" s="8"/>
      <c r="M15" s="10"/>
    </row>
    <row r="16" spans="1:13" ht="18" customHeight="1" x14ac:dyDescent="0.3">
      <c r="A16" s="9"/>
      <c r="B16" s="5"/>
      <c r="C16" s="8"/>
      <c r="D16" s="8"/>
      <c r="E16" s="8"/>
      <c r="F16" s="8"/>
      <c r="G16" s="8"/>
      <c r="H16" s="8"/>
      <c r="I16" s="6"/>
      <c r="J16" s="8"/>
      <c r="K16" s="7"/>
      <c r="L16" s="8"/>
      <c r="M16" s="10"/>
    </row>
    <row r="17" spans="1:13" ht="18" customHeight="1" x14ac:dyDescent="0.3">
      <c r="A17" s="9"/>
      <c r="B17" s="5"/>
      <c r="C17" s="8"/>
      <c r="D17" s="8"/>
      <c r="E17" s="8"/>
      <c r="F17" s="8"/>
      <c r="G17" s="8"/>
      <c r="H17" s="8"/>
      <c r="I17" s="6"/>
      <c r="J17" s="8"/>
      <c r="K17" s="7"/>
      <c r="L17" s="8"/>
      <c r="M17" s="10"/>
    </row>
    <row r="18" spans="1:13" ht="18" customHeight="1" x14ac:dyDescent="0.3">
      <c r="A18" s="9"/>
      <c r="B18" s="5"/>
      <c r="C18" s="8"/>
      <c r="D18" s="8"/>
      <c r="E18" s="8"/>
      <c r="F18" s="8"/>
      <c r="G18" s="8"/>
      <c r="H18" s="8"/>
      <c r="I18" s="6"/>
      <c r="J18" s="8"/>
      <c r="K18" s="7"/>
      <c r="L18" s="8"/>
      <c r="M18" s="10"/>
    </row>
    <row r="19" spans="1:13" ht="18" customHeight="1" x14ac:dyDescent="0.3">
      <c r="A19" s="9"/>
      <c r="B19" s="5"/>
      <c r="C19" s="8"/>
      <c r="D19" s="8"/>
      <c r="E19" s="8"/>
      <c r="F19" s="8"/>
      <c r="G19" s="8"/>
      <c r="H19" s="8"/>
      <c r="I19" s="6"/>
      <c r="J19" s="8"/>
      <c r="K19" s="7"/>
      <c r="L19" s="8"/>
      <c r="M19" s="10"/>
    </row>
    <row r="20" spans="1:13" ht="18" customHeight="1" x14ac:dyDescent="0.3">
      <c r="A20" s="9"/>
      <c r="B20" s="5"/>
      <c r="C20" s="8"/>
      <c r="D20" s="8"/>
      <c r="E20" s="8"/>
      <c r="F20" s="8"/>
      <c r="G20" s="8"/>
      <c r="H20" s="8"/>
      <c r="I20" s="6"/>
      <c r="J20" s="8"/>
      <c r="K20" s="7"/>
      <c r="L20" s="8"/>
      <c r="M20" s="10"/>
    </row>
    <row r="21" spans="1:13" ht="18" customHeight="1" x14ac:dyDescent="0.3">
      <c r="A21" s="9"/>
      <c r="B21" s="5"/>
      <c r="C21" s="8"/>
      <c r="D21" s="8"/>
      <c r="E21" s="8"/>
      <c r="F21" s="8"/>
      <c r="G21" s="8"/>
      <c r="H21" s="8"/>
      <c r="I21" s="6"/>
      <c r="J21" s="8"/>
      <c r="K21" s="7"/>
      <c r="L21" s="8"/>
      <c r="M21" s="10"/>
    </row>
    <row r="22" spans="1:13" ht="18" customHeight="1" x14ac:dyDescent="0.3">
      <c r="A22" s="9"/>
      <c r="B22" s="5"/>
      <c r="C22" s="8"/>
      <c r="D22" s="8"/>
      <c r="E22" s="8"/>
      <c r="F22" s="8"/>
      <c r="G22" s="8"/>
      <c r="H22" s="8"/>
      <c r="I22" s="6"/>
      <c r="J22" s="8"/>
      <c r="K22" s="7"/>
      <c r="L22" s="8"/>
      <c r="M22" s="10"/>
    </row>
    <row r="23" spans="1:13" ht="18" customHeight="1" x14ac:dyDescent="0.3">
      <c r="A23" s="9"/>
      <c r="B23" s="5"/>
      <c r="C23" s="8"/>
      <c r="D23" s="8"/>
      <c r="E23" s="8"/>
      <c r="F23" s="8"/>
      <c r="G23" s="8"/>
      <c r="H23" s="8"/>
      <c r="I23" s="6"/>
      <c r="J23" s="8"/>
      <c r="K23" s="7"/>
      <c r="L23" s="8"/>
      <c r="M23" s="10"/>
    </row>
    <row r="24" spans="1:13" ht="18" customHeight="1" x14ac:dyDescent="0.3">
      <c r="A24" s="9"/>
      <c r="B24" s="5"/>
      <c r="C24" s="8"/>
      <c r="D24" s="8"/>
      <c r="E24" s="8"/>
      <c r="F24" s="8"/>
      <c r="G24" s="8"/>
      <c r="H24" s="8"/>
      <c r="I24" s="6"/>
      <c r="J24" s="8"/>
      <c r="K24" s="7"/>
      <c r="L24" s="8"/>
      <c r="M24" s="10"/>
    </row>
    <row r="25" spans="1:13" ht="18" customHeight="1" x14ac:dyDescent="0.3">
      <c r="A25" s="9"/>
      <c r="B25" s="5"/>
      <c r="C25" s="8"/>
      <c r="D25" s="8"/>
      <c r="E25" s="8"/>
      <c r="F25" s="8"/>
      <c r="G25" s="8"/>
      <c r="H25" s="8"/>
      <c r="I25" s="6"/>
      <c r="J25" s="8"/>
      <c r="K25" s="7"/>
      <c r="L25" s="8"/>
      <c r="M25" s="10"/>
    </row>
    <row r="26" spans="1:13" ht="18" customHeight="1" x14ac:dyDescent="0.3">
      <c r="A26" s="9"/>
      <c r="B26" s="5"/>
      <c r="C26" s="8"/>
      <c r="D26" s="8"/>
      <c r="E26" s="8"/>
      <c r="F26" s="8"/>
      <c r="G26" s="8"/>
      <c r="H26" s="8"/>
      <c r="I26" s="6"/>
      <c r="J26" s="8"/>
      <c r="K26" s="7"/>
      <c r="L26" s="8"/>
      <c r="M26" s="10"/>
    </row>
    <row r="27" spans="1:13" ht="18" customHeight="1" x14ac:dyDescent="0.3">
      <c r="A27" s="9"/>
      <c r="B27" s="5"/>
      <c r="C27" s="8"/>
      <c r="D27" s="8"/>
      <c r="E27" s="8"/>
      <c r="F27" s="8"/>
      <c r="G27" s="8"/>
      <c r="H27" s="8"/>
      <c r="I27" s="6"/>
      <c r="J27" s="8"/>
      <c r="K27" s="7"/>
      <c r="L27" s="8"/>
      <c r="M27" s="10"/>
    </row>
    <row r="28" spans="1:13" ht="18" customHeight="1" x14ac:dyDescent="0.3">
      <c r="A28" s="9"/>
      <c r="B28" s="5"/>
      <c r="C28" s="8"/>
      <c r="D28" s="8"/>
      <c r="E28" s="8"/>
      <c r="F28" s="8"/>
      <c r="G28" s="8"/>
      <c r="H28" s="8"/>
      <c r="I28" s="6"/>
      <c r="J28" s="8"/>
      <c r="K28" s="7"/>
      <c r="L28" s="8"/>
      <c r="M28" s="10"/>
    </row>
    <row r="29" spans="1:13" ht="18" customHeight="1" x14ac:dyDescent="0.3">
      <c r="A29" s="9"/>
      <c r="B29" s="5"/>
      <c r="C29" s="8"/>
      <c r="D29" s="8"/>
      <c r="E29" s="8"/>
      <c r="F29" s="8"/>
      <c r="G29" s="8"/>
      <c r="H29" s="8"/>
      <c r="I29" s="6"/>
      <c r="J29" s="8"/>
      <c r="K29" s="7"/>
      <c r="L29" s="8"/>
      <c r="M29" s="10"/>
    </row>
    <row r="30" spans="1:13" ht="18" customHeight="1" x14ac:dyDescent="0.3">
      <c r="A30" s="9"/>
      <c r="B30" s="5"/>
      <c r="C30" s="8"/>
      <c r="D30" s="8"/>
      <c r="E30" s="8"/>
      <c r="F30" s="8"/>
      <c r="G30" s="8"/>
      <c r="H30" s="8"/>
      <c r="I30" s="6"/>
      <c r="J30" s="8"/>
      <c r="K30" s="7"/>
      <c r="L30" s="8"/>
      <c r="M30" s="10"/>
    </row>
    <row r="31" spans="1:13" ht="18" customHeight="1" x14ac:dyDescent="0.3">
      <c r="A31" s="9"/>
      <c r="B31" s="5"/>
      <c r="C31" s="8"/>
      <c r="D31" s="8"/>
      <c r="E31" s="8"/>
      <c r="F31" s="8"/>
      <c r="G31" s="8"/>
      <c r="H31" s="8"/>
      <c r="I31" s="6"/>
      <c r="J31" s="8"/>
      <c r="K31" s="7"/>
      <c r="L31" s="8"/>
      <c r="M31" s="10"/>
    </row>
    <row r="32" spans="1:13" ht="18" customHeight="1" x14ac:dyDescent="0.3">
      <c r="A32" s="9"/>
      <c r="B32" s="5"/>
      <c r="C32" s="8"/>
      <c r="D32" s="8"/>
      <c r="E32" s="8"/>
      <c r="F32" s="8"/>
      <c r="G32" s="8"/>
      <c r="H32" s="8"/>
      <c r="I32" s="6"/>
      <c r="J32" s="8"/>
      <c r="K32" s="7"/>
      <c r="L32" s="8"/>
      <c r="M32" s="10"/>
    </row>
    <row r="33" spans="1:13" ht="18" customHeight="1" x14ac:dyDescent="0.3">
      <c r="A33" s="9"/>
      <c r="B33" s="5"/>
      <c r="C33" s="8"/>
      <c r="D33" s="8"/>
      <c r="E33" s="8"/>
      <c r="F33" s="8"/>
      <c r="G33" s="8"/>
      <c r="H33" s="8"/>
      <c r="I33" s="6"/>
      <c r="J33" s="8"/>
      <c r="K33" s="7"/>
      <c r="L33" s="8"/>
      <c r="M33" s="10"/>
    </row>
    <row r="34" spans="1:13" ht="18" customHeight="1" x14ac:dyDescent="0.3">
      <c r="A34" s="9"/>
      <c r="B34" s="5"/>
      <c r="C34" s="8"/>
      <c r="D34" s="8"/>
      <c r="E34" s="8"/>
      <c r="F34" s="8"/>
      <c r="G34" s="8"/>
      <c r="H34" s="8"/>
      <c r="I34" s="6"/>
      <c r="J34" s="8"/>
      <c r="K34" s="7"/>
      <c r="L34" s="8"/>
      <c r="M34" s="10"/>
    </row>
    <row r="35" spans="1:13" ht="18" customHeight="1" x14ac:dyDescent="0.3">
      <c r="A35" s="9"/>
      <c r="B35" s="5"/>
      <c r="C35" s="8"/>
      <c r="D35" s="8"/>
      <c r="E35" s="8"/>
      <c r="F35" s="8"/>
      <c r="G35" s="8"/>
      <c r="H35" s="8"/>
      <c r="I35" s="6"/>
      <c r="J35" s="8"/>
      <c r="K35" s="7"/>
      <c r="L35" s="8"/>
      <c r="M35" s="10"/>
    </row>
    <row r="36" spans="1:13" ht="18" customHeight="1" x14ac:dyDescent="0.3">
      <c r="A36" s="9"/>
      <c r="B36" s="5"/>
      <c r="C36" s="8"/>
      <c r="D36" s="8"/>
      <c r="E36" s="8"/>
      <c r="F36" s="8"/>
      <c r="G36" s="8"/>
      <c r="H36" s="8"/>
      <c r="I36" s="6"/>
      <c r="J36" s="8"/>
      <c r="K36" s="7"/>
      <c r="L36" s="8"/>
      <c r="M36" s="10"/>
    </row>
    <row r="37" spans="1:13" ht="18" customHeight="1" x14ac:dyDescent="0.3">
      <c r="A37" s="9"/>
      <c r="B37" s="5"/>
      <c r="C37" s="8"/>
      <c r="D37" s="8"/>
      <c r="E37" s="8"/>
      <c r="F37" s="8"/>
      <c r="G37" s="8"/>
      <c r="H37" s="8"/>
      <c r="I37" s="6"/>
      <c r="J37" s="8"/>
      <c r="K37" s="7"/>
      <c r="L37" s="8"/>
      <c r="M37" s="10"/>
    </row>
    <row r="38" spans="1:13" ht="18" customHeight="1" x14ac:dyDescent="0.3">
      <c r="A38" s="9"/>
      <c r="B38" s="5"/>
      <c r="C38" s="8"/>
      <c r="D38" s="8"/>
      <c r="E38" s="8"/>
      <c r="F38" s="8"/>
      <c r="G38" s="8"/>
      <c r="H38" s="8"/>
      <c r="I38" s="6"/>
      <c r="J38" s="8"/>
      <c r="K38" s="7"/>
      <c r="L38" s="8"/>
      <c r="M38" s="10"/>
    </row>
    <row r="39" spans="1:13" ht="18" customHeight="1" x14ac:dyDescent="0.3">
      <c r="A39" s="9"/>
      <c r="B39" s="5"/>
      <c r="C39" s="8"/>
      <c r="D39" s="8"/>
      <c r="E39" s="8"/>
      <c r="F39" s="8"/>
      <c r="G39" s="8"/>
      <c r="H39" s="8"/>
      <c r="I39" s="6"/>
      <c r="J39" s="8"/>
      <c r="K39" s="7"/>
      <c r="L39" s="8"/>
      <c r="M39" s="10"/>
    </row>
    <row r="40" spans="1:13" ht="18" customHeight="1" x14ac:dyDescent="0.3">
      <c r="A40" s="9"/>
      <c r="B40" s="5"/>
      <c r="C40" s="8"/>
      <c r="D40" s="8"/>
      <c r="E40" s="8"/>
      <c r="F40" s="8"/>
      <c r="G40" s="8"/>
      <c r="H40" s="8"/>
      <c r="I40" s="6"/>
      <c r="J40" s="8"/>
      <c r="K40" s="7"/>
      <c r="L40" s="8"/>
      <c r="M40" s="10"/>
    </row>
    <row r="41" spans="1:13" ht="18" customHeight="1" x14ac:dyDescent="0.3">
      <c r="A41" s="9"/>
      <c r="B41" s="5"/>
      <c r="C41" s="8"/>
      <c r="D41" s="8"/>
      <c r="E41" s="8"/>
      <c r="F41" s="8"/>
      <c r="G41" s="8"/>
      <c r="H41" s="8"/>
      <c r="I41" s="6"/>
      <c r="J41" s="8"/>
      <c r="K41" s="7"/>
      <c r="L41" s="8"/>
      <c r="M41" s="10"/>
    </row>
    <row r="42" spans="1:13" ht="18" customHeight="1" x14ac:dyDescent="0.3">
      <c r="A42" s="9"/>
      <c r="B42" s="5"/>
      <c r="C42" s="8"/>
      <c r="D42" s="8"/>
      <c r="E42" s="8"/>
      <c r="F42" s="8"/>
      <c r="G42" s="8"/>
      <c r="H42" s="8"/>
      <c r="I42" s="6"/>
      <c r="J42" s="8"/>
      <c r="K42" s="7"/>
      <c r="L42" s="8"/>
      <c r="M42" s="10"/>
    </row>
    <row r="43" spans="1:13" ht="18" customHeight="1" x14ac:dyDescent="0.3">
      <c r="A43" s="9"/>
      <c r="B43" s="5"/>
      <c r="C43" s="8"/>
      <c r="D43" s="8"/>
      <c r="E43" s="8"/>
      <c r="F43" s="8"/>
      <c r="G43" s="8"/>
      <c r="H43" s="8"/>
      <c r="I43" s="6"/>
      <c r="J43" s="8"/>
      <c r="K43" s="7"/>
      <c r="L43" s="8"/>
      <c r="M43" s="10"/>
    </row>
    <row r="44" spans="1:13" ht="18" customHeight="1" x14ac:dyDescent="0.3">
      <c r="A44" s="9"/>
      <c r="B44" s="5"/>
      <c r="C44" s="8"/>
      <c r="D44" s="8"/>
      <c r="E44" s="8"/>
      <c r="F44" s="8"/>
      <c r="G44" s="8"/>
      <c r="H44" s="8"/>
      <c r="I44" s="6"/>
      <c r="J44" s="8"/>
      <c r="K44" s="7"/>
      <c r="L44" s="8"/>
      <c r="M44" s="10"/>
    </row>
    <row r="45" spans="1:13" ht="18" customHeight="1" x14ac:dyDescent="0.3">
      <c r="A45" s="9"/>
      <c r="B45" s="5"/>
      <c r="C45" s="8"/>
      <c r="D45" s="8"/>
      <c r="E45" s="8"/>
      <c r="F45" s="8"/>
      <c r="G45" s="8"/>
      <c r="H45" s="8"/>
      <c r="I45" s="6"/>
      <c r="J45" s="8"/>
      <c r="K45" s="7"/>
      <c r="L45" s="8"/>
      <c r="M45" s="10"/>
    </row>
    <row r="46" spans="1:13" ht="18" customHeight="1" x14ac:dyDescent="0.3">
      <c r="A46" s="9"/>
      <c r="B46" s="5"/>
      <c r="C46" s="8"/>
      <c r="D46" s="8"/>
      <c r="E46" s="8"/>
      <c r="F46" s="8"/>
      <c r="G46" s="8"/>
      <c r="H46" s="8"/>
      <c r="I46" s="6"/>
      <c r="J46" s="8"/>
      <c r="K46" s="7"/>
      <c r="L46" s="8"/>
      <c r="M46" s="10"/>
    </row>
    <row r="47" spans="1:13" ht="18" customHeight="1" x14ac:dyDescent="0.3">
      <c r="A47" s="9"/>
      <c r="B47" s="5"/>
      <c r="C47" s="8"/>
      <c r="D47" s="8"/>
      <c r="E47" s="8"/>
      <c r="F47" s="8"/>
      <c r="G47" s="8"/>
      <c r="H47" s="8"/>
      <c r="I47" s="6"/>
      <c r="J47" s="8"/>
      <c r="K47" s="7"/>
      <c r="L47" s="8"/>
      <c r="M47" s="10"/>
    </row>
    <row r="48" spans="1:13" ht="18" customHeight="1" x14ac:dyDescent="0.3">
      <c r="A48" s="9"/>
      <c r="B48" s="5"/>
      <c r="C48" s="8"/>
      <c r="D48" s="8"/>
      <c r="E48" s="8"/>
      <c r="F48" s="8"/>
      <c r="G48" s="8"/>
      <c r="H48" s="8"/>
      <c r="I48" s="6"/>
      <c r="J48" s="8"/>
      <c r="K48" s="7"/>
      <c r="L48" s="8"/>
      <c r="M48" s="10"/>
    </row>
    <row r="49" spans="1:13" ht="18" customHeight="1" x14ac:dyDescent="0.3">
      <c r="A49" s="9"/>
      <c r="B49" s="5"/>
      <c r="C49" s="8"/>
      <c r="D49" s="8"/>
      <c r="E49" s="8"/>
      <c r="F49" s="8"/>
      <c r="G49" s="8"/>
      <c r="H49" s="8"/>
      <c r="I49" s="6"/>
      <c r="J49" s="8"/>
      <c r="K49" s="7"/>
      <c r="L49" s="8"/>
      <c r="M49" s="10"/>
    </row>
    <row r="50" spans="1:13" ht="18" customHeight="1" x14ac:dyDescent="0.3">
      <c r="A50" s="9"/>
      <c r="B50" s="5"/>
      <c r="C50" s="8"/>
      <c r="D50" s="8"/>
      <c r="E50" s="8"/>
      <c r="F50" s="8"/>
      <c r="G50" s="8"/>
      <c r="H50" s="8"/>
      <c r="I50" s="6"/>
      <c r="J50" s="8"/>
      <c r="K50" s="7"/>
      <c r="L50" s="8"/>
      <c r="M50" s="10"/>
    </row>
    <row r="51" spans="1:13" ht="18" customHeight="1" x14ac:dyDescent="0.3">
      <c r="A51" s="9"/>
      <c r="B51" s="5"/>
      <c r="C51" s="8"/>
      <c r="D51" s="8"/>
      <c r="E51" s="8"/>
      <c r="F51" s="8"/>
      <c r="G51" s="8"/>
      <c r="H51" s="8"/>
      <c r="I51" s="6"/>
      <c r="J51" s="8"/>
      <c r="K51" s="7"/>
      <c r="L51" s="8"/>
      <c r="M51" s="10"/>
    </row>
    <row r="52" spans="1:13" ht="18" customHeight="1" x14ac:dyDescent="0.3">
      <c r="A52" s="9"/>
      <c r="B52" s="5"/>
      <c r="C52" s="8"/>
      <c r="D52" s="8"/>
      <c r="E52" s="8"/>
      <c r="F52" s="8"/>
      <c r="G52" s="8"/>
      <c r="H52" s="8"/>
      <c r="I52" s="6"/>
      <c r="J52" s="8"/>
      <c r="K52" s="7"/>
      <c r="L52" s="8"/>
      <c r="M52" s="10"/>
    </row>
    <row r="53" spans="1:13" ht="18" customHeight="1" x14ac:dyDescent="0.3">
      <c r="A53" s="9"/>
      <c r="B53" s="5"/>
      <c r="C53" s="8"/>
      <c r="D53" s="8"/>
      <c r="E53" s="8"/>
      <c r="F53" s="8"/>
      <c r="G53" s="8"/>
      <c r="H53" s="8"/>
      <c r="I53" s="6"/>
      <c r="J53" s="8"/>
      <c r="K53" s="7"/>
      <c r="L53" s="8"/>
      <c r="M53" s="10"/>
    </row>
    <row r="54" spans="1:13" ht="18" customHeight="1" x14ac:dyDescent="0.3">
      <c r="A54" s="9"/>
      <c r="B54" s="5"/>
      <c r="C54" s="8"/>
      <c r="D54" s="8"/>
      <c r="E54" s="8"/>
      <c r="F54" s="8"/>
      <c r="G54" s="8"/>
      <c r="H54" s="8"/>
      <c r="I54" s="6"/>
      <c r="J54" s="8"/>
      <c r="K54" s="7"/>
      <c r="L54" s="8"/>
      <c r="M54" s="10"/>
    </row>
    <row r="55" spans="1:13" ht="18" customHeight="1" x14ac:dyDescent="0.3">
      <c r="A55" s="9"/>
      <c r="B55" s="5"/>
      <c r="C55" s="8"/>
      <c r="D55" s="8"/>
      <c r="E55" s="8"/>
      <c r="F55" s="8"/>
      <c r="G55" s="8"/>
      <c r="H55" s="8"/>
      <c r="I55" s="6"/>
      <c r="J55" s="8"/>
      <c r="K55" s="7"/>
      <c r="L55" s="8"/>
      <c r="M55" s="10"/>
    </row>
    <row r="56" spans="1:13" ht="18" customHeight="1" x14ac:dyDescent="0.3">
      <c r="A56" s="9"/>
      <c r="B56" s="5"/>
      <c r="C56" s="8"/>
      <c r="D56" s="8"/>
      <c r="E56" s="8"/>
      <c r="F56" s="8"/>
      <c r="G56" s="8"/>
      <c r="H56" s="8"/>
      <c r="I56" s="6"/>
      <c r="J56" s="8"/>
      <c r="K56" s="7"/>
      <c r="L56" s="8"/>
      <c r="M56" s="10"/>
    </row>
    <row r="57" spans="1:13" ht="18" customHeight="1" x14ac:dyDescent="0.3">
      <c r="A57" s="9"/>
      <c r="B57" s="5"/>
      <c r="C57" s="8"/>
      <c r="D57" s="8"/>
      <c r="E57" s="8"/>
      <c r="F57" s="8"/>
      <c r="G57" s="8"/>
      <c r="H57" s="8"/>
      <c r="I57" s="6"/>
      <c r="J57" s="8"/>
      <c r="K57" s="7"/>
      <c r="L57" s="8"/>
      <c r="M57" s="10"/>
    </row>
    <row r="58" spans="1:13" ht="18" customHeight="1" x14ac:dyDescent="0.3">
      <c r="A58" s="9"/>
      <c r="B58" s="5"/>
      <c r="C58" s="8"/>
      <c r="D58" s="8"/>
      <c r="E58" s="8"/>
      <c r="F58" s="8"/>
      <c r="G58" s="8"/>
      <c r="H58" s="8"/>
      <c r="I58" s="6"/>
      <c r="J58" s="8"/>
      <c r="K58" s="7"/>
      <c r="L58" s="8"/>
      <c r="M58" s="10"/>
    </row>
    <row r="59" spans="1:13" ht="18" customHeight="1" x14ac:dyDescent="0.3">
      <c r="A59" s="9"/>
      <c r="B59" s="5"/>
      <c r="C59" s="8"/>
      <c r="D59" s="8"/>
      <c r="E59" s="8"/>
      <c r="F59" s="8"/>
      <c r="G59" s="8"/>
      <c r="H59" s="8"/>
      <c r="I59" s="6"/>
      <c r="J59" s="8"/>
      <c r="K59" s="7"/>
      <c r="L59" s="8"/>
      <c r="M59" s="10"/>
    </row>
    <row r="60" spans="1:13" ht="18" customHeight="1" x14ac:dyDescent="0.3">
      <c r="A60" s="9"/>
      <c r="B60" s="5"/>
      <c r="C60" s="8"/>
      <c r="D60" s="8"/>
      <c r="E60" s="8"/>
      <c r="F60" s="8"/>
      <c r="G60" s="8"/>
      <c r="H60" s="8"/>
      <c r="I60" s="6"/>
      <c r="J60" s="8"/>
      <c r="K60" s="7"/>
      <c r="L60" s="8"/>
      <c r="M60" s="10"/>
    </row>
    <row r="61" spans="1:13" ht="18" customHeight="1" x14ac:dyDescent="0.3">
      <c r="A61" s="9"/>
      <c r="B61" s="5"/>
      <c r="C61" s="8"/>
      <c r="D61" s="8"/>
      <c r="E61" s="8"/>
      <c r="F61" s="8"/>
      <c r="G61" s="8"/>
      <c r="H61" s="8"/>
      <c r="I61" s="6"/>
      <c r="J61" s="8"/>
      <c r="K61" s="7"/>
      <c r="L61" s="8"/>
      <c r="M61" s="10"/>
    </row>
    <row r="62" spans="1:13" ht="18" customHeight="1" x14ac:dyDescent="0.3">
      <c r="A62" s="9"/>
      <c r="B62" s="5"/>
      <c r="C62" s="8"/>
      <c r="D62" s="8"/>
      <c r="E62" s="8"/>
      <c r="F62" s="8"/>
      <c r="G62" s="8"/>
      <c r="H62" s="8"/>
      <c r="I62" s="6"/>
      <c r="J62" s="8"/>
      <c r="K62" s="7"/>
      <c r="L62" s="8"/>
      <c r="M62" s="10"/>
    </row>
    <row r="63" spans="1:13" ht="18" customHeight="1" x14ac:dyDescent="0.3">
      <c r="A63" s="9"/>
      <c r="B63" s="5"/>
      <c r="C63" s="8"/>
      <c r="D63" s="8"/>
      <c r="E63" s="8"/>
      <c r="F63" s="8"/>
      <c r="G63" s="8"/>
      <c r="H63" s="8"/>
      <c r="I63" s="6"/>
      <c r="J63" s="8"/>
      <c r="K63" s="7"/>
      <c r="L63" s="8"/>
      <c r="M63" s="10"/>
    </row>
    <row r="64" spans="1:13" ht="18" customHeight="1" x14ac:dyDescent="0.3">
      <c r="A64" s="9"/>
      <c r="B64" s="5"/>
      <c r="C64" s="8"/>
      <c r="D64" s="8"/>
      <c r="E64" s="8"/>
      <c r="F64" s="8"/>
      <c r="G64" s="8"/>
      <c r="H64" s="8"/>
      <c r="I64" s="6"/>
      <c r="J64" s="8"/>
      <c r="K64" s="7"/>
      <c r="L64" s="8"/>
      <c r="M64" s="10"/>
    </row>
    <row r="65" spans="1:13" ht="18" customHeight="1" x14ac:dyDescent="0.3">
      <c r="A65" s="9"/>
      <c r="B65" s="5"/>
      <c r="C65" s="8"/>
      <c r="D65" s="8"/>
      <c r="E65" s="8"/>
      <c r="F65" s="8"/>
      <c r="G65" s="8"/>
      <c r="H65" s="8"/>
      <c r="I65" s="6"/>
      <c r="J65" s="8"/>
      <c r="K65" s="7"/>
      <c r="L65" s="8"/>
      <c r="M65" s="10"/>
    </row>
    <row r="66" spans="1:13" ht="18" customHeight="1" x14ac:dyDescent="0.3">
      <c r="A66" s="9"/>
      <c r="B66" s="5"/>
      <c r="C66" s="8"/>
      <c r="D66" s="8"/>
      <c r="E66" s="8"/>
      <c r="F66" s="8"/>
      <c r="G66" s="8"/>
      <c r="H66" s="8"/>
      <c r="I66" s="6"/>
      <c r="J66" s="8"/>
      <c r="K66" s="7"/>
      <c r="L66" s="8"/>
      <c r="M66" s="10"/>
    </row>
    <row r="67" spans="1:13" ht="18" customHeight="1" x14ac:dyDescent="0.3">
      <c r="A67" s="9"/>
      <c r="B67" s="5"/>
      <c r="C67" s="8"/>
      <c r="D67" s="8"/>
      <c r="E67" s="8"/>
      <c r="F67" s="8"/>
      <c r="G67" s="8"/>
      <c r="H67" s="8"/>
      <c r="I67" s="6"/>
      <c r="J67" s="8"/>
      <c r="K67" s="7"/>
      <c r="L67" s="8"/>
      <c r="M67" s="10"/>
    </row>
    <row r="68" spans="1:13" ht="18" customHeight="1" x14ac:dyDescent="0.3">
      <c r="A68" s="9"/>
      <c r="B68" s="5"/>
      <c r="C68" s="8"/>
      <c r="D68" s="8"/>
      <c r="E68" s="8"/>
      <c r="F68" s="8"/>
      <c r="G68" s="8"/>
      <c r="H68" s="8"/>
      <c r="I68" s="6"/>
      <c r="J68" s="8"/>
      <c r="K68" s="7"/>
      <c r="L68" s="8"/>
      <c r="M68" s="10"/>
    </row>
    <row r="69" spans="1:13" ht="18" customHeight="1" x14ac:dyDescent="0.3">
      <c r="A69" s="9"/>
      <c r="B69" s="5"/>
      <c r="C69" s="8"/>
      <c r="D69" s="8"/>
      <c r="E69" s="8"/>
      <c r="F69" s="8"/>
      <c r="G69" s="8"/>
      <c r="H69" s="8"/>
      <c r="I69" s="6"/>
      <c r="J69" s="8"/>
      <c r="K69" s="7"/>
      <c r="L69" s="8"/>
      <c r="M69" s="10"/>
    </row>
    <row r="70" spans="1:13" ht="18" customHeight="1" x14ac:dyDescent="0.3">
      <c r="A70" s="9"/>
      <c r="B70" s="5"/>
      <c r="C70" s="8"/>
      <c r="D70" s="8"/>
      <c r="E70" s="8"/>
      <c r="F70" s="8"/>
      <c r="G70" s="8"/>
      <c r="H70" s="8"/>
      <c r="I70" s="6"/>
      <c r="J70" s="8"/>
      <c r="K70" s="7"/>
      <c r="L70" s="8"/>
      <c r="M70" s="10"/>
    </row>
    <row r="71" spans="1:13" ht="18" customHeight="1" x14ac:dyDescent="0.3">
      <c r="A71" s="9"/>
      <c r="B71" s="5"/>
      <c r="C71" s="8"/>
      <c r="D71" s="8"/>
      <c r="E71" s="8"/>
      <c r="F71" s="8"/>
      <c r="G71" s="8"/>
      <c r="H71" s="8"/>
      <c r="I71" s="6"/>
      <c r="J71" s="8"/>
      <c r="K71" s="7"/>
      <c r="L71" s="8"/>
      <c r="M71" s="10"/>
    </row>
    <row r="72" spans="1:13" ht="18" customHeight="1" x14ac:dyDescent="0.3">
      <c r="A72" s="9"/>
      <c r="B72" s="5"/>
      <c r="C72" s="8"/>
      <c r="D72" s="8"/>
      <c r="E72" s="8"/>
      <c r="F72" s="8"/>
      <c r="G72" s="8"/>
      <c r="H72" s="8"/>
      <c r="I72" s="6"/>
      <c r="J72" s="8"/>
      <c r="K72" s="7"/>
      <c r="L72" s="8"/>
      <c r="M72" s="10"/>
    </row>
    <row r="73" spans="1:13" ht="18" customHeight="1" x14ac:dyDescent="0.3">
      <c r="A73" s="9"/>
      <c r="B73" s="5"/>
      <c r="C73" s="8"/>
      <c r="D73" s="8"/>
      <c r="E73" s="8"/>
      <c r="F73" s="8"/>
      <c r="G73" s="8"/>
      <c r="H73" s="8"/>
      <c r="I73" s="6"/>
      <c r="J73" s="8"/>
      <c r="K73" s="7"/>
      <c r="L73" s="8"/>
      <c r="M73" s="10"/>
    </row>
    <row r="74" spans="1:13" ht="18" customHeight="1" x14ac:dyDescent="0.3">
      <c r="A74" s="9"/>
      <c r="B74" s="5"/>
      <c r="C74" s="8"/>
      <c r="D74" s="8"/>
      <c r="E74" s="8"/>
      <c r="F74" s="8"/>
      <c r="G74" s="8"/>
      <c r="H74" s="8"/>
      <c r="I74" s="6"/>
      <c r="J74" s="8"/>
      <c r="K74" s="7"/>
      <c r="L74" s="8"/>
      <c r="M74" s="10"/>
    </row>
    <row r="75" spans="1:13" ht="18" customHeight="1" x14ac:dyDescent="0.3">
      <c r="A75" s="9"/>
      <c r="B75" s="5"/>
      <c r="C75" s="8"/>
      <c r="D75" s="8"/>
      <c r="E75" s="8"/>
      <c r="F75" s="8"/>
      <c r="G75" s="8"/>
      <c r="H75" s="8"/>
      <c r="I75" s="6"/>
      <c r="J75" s="8"/>
      <c r="K75" s="7"/>
      <c r="L75" s="8"/>
      <c r="M75" s="10"/>
    </row>
    <row r="76" spans="1:13" ht="18" customHeight="1" x14ac:dyDescent="0.3">
      <c r="A76" s="9"/>
      <c r="B76" s="5"/>
      <c r="C76" s="8"/>
      <c r="D76" s="8"/>
      <c r="E76" s="8"/>
      <c r="F76" s="8"/>
      <c r="G76" s="8"/>
      <c r="H76" s="8"/>
      <c r="I76" s="6"/>
      <c r="J76" s="8"/>
      <c r="K76" s="7"/>
      <c r="L76" s="8"/>
      <c r="M76" s="10"/>
    </row>
    <row r="77" spans="1:13" ht="18" customHeight="1" x14ac:dyDescent="0.3">
      <c r="A77" s="9"/>
      <c r="B77" s="5"/>
      <c r="C77" s="8"/>
      <c r="D77" s="8"/>
      <c r="E77" s="8"/>
      <c r="F77" s="8"/>
      <c r="G77" s="8"/>
      <c r="H77" s="8"/>
      <c r="I77" s="6"/>
      <c r="J77" s="8"/>
      <c r="K77" s="7"/>
      <c r="L77" s="8"/>
      <c r="M77" s="10"/>
    </row>
    <row r="78" spans="1:13" ht="18" customHeight="1" x14ac:dyDescent="0.3">
      <c r="A78" s="9"/>
      <c r="B78" s="5"/>
      <c r="C78" s="8"/>
      <c r="D78" s="8"/>
      <c r="E78" s="8"/>
      <c r="F78" s="8"/>
      <c r="G78" s="8"/>
      <c r="H78" s="8"/>
      <c r="I78" s="6"/>
      <c r="J78" s="8"/>
      <c r="K78" s="7"/>
      <c r="L78" s="8"/>
      <c r="M78" s="10"/>
    </row>
    <row r="79" spans="1:13" ht="18" customHeight="1" x14ac:dyDescent="0.3">
      <c r="A79" s="9"/>
      <c r="B79" s="5"/>
      <c r="C79" s="8"/>
      <c r="D79" s="8"/>
      <c r="E79" s="8"/>
      <c r="F79" s="8"/>
      <c r="G79" s="8"/>
      <c r="H79" s="8"/>
      <c r="I79" s="6"/>
      <c r="J79" s="8"/>
      <c r="K79" s="7"/>
      <c r="L79" s="8"/>
      <c r="M79" s="10"/>
    </row>
    <row r="80" spans="1:13" ht="18" customHeight="1" x14ac:dyDescent="0.3">
      <c r="A80" s="9"/>
      <c r="B80" s="5"/>
      <c r="C80" s="8"/>
      <c r="D80" s="8"/>
      <c r="E80" s="8"/>
      <c r="F80" s="8"/>
      <c r="G80" s="8"/>
      <c r="H80" s="8"/>
      <c r="I80" s="6"/>
      <c r="J80" s="8"/>
      <c r="K80" s="7"/>
      <c r="L80" s="8"/>
      <c r="M80" s="10"/>
    </row>
    <row r="81" spans="1:13" ht="18" customHeight="1" x14ac:dyDescent="0.3">
      <c r="A81" s="9"/>
      <c r="B81" s="5"/>
      <c r="C81" s="8"/>
      <c r="D81" s="8"/>
      <c r="E81" s="8"/>
      <c r="F81" s="8"/>
      <c r="G81" s="8"/>
      <c r="H81" s="8"/>
      <c r="I81" s="6"/>
      <c r="J81" s="8"/>
      <c r="K81" s="7"/>
      <c r="L81" s="8"/>
      <c r="M81" s="10"/>
    </row>
    <row r="82" spans="1:13" ht="18" customHeight="1" x14ac:dyDescent="0.3">
      <c r="A82" s="9"/>
      <c r="B82" s="5"/>
      <c r="C82" s="8"/>
      <c r="D82" s="8"/>
      <c r="E82" s="8"/>
      <c r="F82" s="8"/>
      <c r="G82" s="8"/>
      <c r="H82" s="8"/>
      <c r="I82" s="6"/>
      <c r="J82" s="8"/>
      <c r="K82" s="7"/>
      <c r="L82" s="8"/>
      <c r="M82" s="10"/>
    </row>
    <row r="83" spans="1:13" ht="18" customHeight="1" x14ac:dyDescent="0.3">
      <c r="A83" s="9"/>
      <c r="B83" s="5"/>
      <c r="C83" s="8"/>
      <c r="D83" s="8"/>
      <c r="E83" s="8"/>
      <c r="F83" s="8"/>
      <c r="G83" s="8"/>
      <c r="H83" s="8"/>
      <c r="I83" s="6"/>
      <c r="J83" s="8"/>
      <c r="K83" s="7"/>
      <c r="L83" s="8"/>
      <c r="M83" s="10"/>
    </row>
    <row r="84" spans="1:13" ht="18" customHeight="1" x14ac:dyDescent="0.3">
      <c r="A84" s="9"/>
      <c r="B84" s="5"/>
      <c r="C84" s="8"/>
      <c r="D84" s="8"/>
      <c r="E84" s="8"/>
      <c r="F84" s="8"/>
      <c r="G84" s="8"/>
      <c r="H84" s="8"/>
      <c r="I84" s="6"/>
      <c r="J84" s="8"/>
      <c r="K84" s="7"/>
      <c r="L84" s="8"/>
      <c r="M84" s="10"/>
    </row>
    <row r="85" spans="1:13" ht="18" customHeight="1" x14ac:dyDescent="0.3">
      <c r="A85" s="9"/>
      <c r="B85" s="5"/>
      <c r="C85" s="8"/>
      <c r="D85" s="8"/>
      <c r="E85" s="8"/>
      <c r="F85" s="8"/>
      <c r="G85" s="8"/>
      <c r="H85" s="8"/>
      <c r="I85" s="6"/>
      <c r="J85" s="8"/>
      <c r="K85" s="7"/>
      <c r="L85" s="8"/>
      <c r="M85" s="10"/>
    </row>
    <row r="86" spans="1:13" ht="18" customHeight="1" x14ac:dyDescent="0.3">
      <c r="A86" s="9"/>
      <c r="B86" s="5"/>
      <c r="C86" s="8"/>
      <c r="D86" s="8"/>
      <c r="E86" s="8"/>
      <c r="F86" s="8"/>
      <c r="G86" s="8"/>
      <c r="H86" s="8"/>
      <c r="I86" s="6"/>
      <c r="J86" s="8"/>
      <c r="K86" s="7"/>
      <c r="L86" s="8"/>
      <c r="M86" s="10"/>
    </row>
    <row r="87" spans="1:13" ht="18" customHeight="1" x14ac:dyDescent="0.3">
      <c r="A87" s="9"/>
      <c r="B87" s="5"/>
      <c r="C87" s="8"/>
      <c r="D87" s="8"/>
      <c r="E87" s="8"/>
      <c r="F87" s="8"/>
      <c r="G87" s="8"/>
      <c r="H87" s="8"/>
      <c r="I87" s="6"/>
      <c r="J87" s="8"/>
      <c r="K87" s="7"/>
      <c r="L87" s="8"/>
      <c r="M87" s="10"/>
    </row>
    <row r="88" spans="1:13" ht="18" customHeight="1" x14ac:dyDescent="0.3">
      <c r="A88" s="9"/>
      <c r="B88" s="5"/>
      <c r="C88" s="8"/>
      <c r="D88" s="8"/>
      <c r="E88" s="8"/>
      <c r="F88" s="8"/>
      <c r="G88" s="8"/>
      <c r="H88" s="8"/>
      <c r="I88" s="6"/>
      <c r="J88" s="8"/>
      <c r="K88" s="7"/>
      <c r="L88" s="8"/>
      <c r="M88" s="10"/>
    </row>
    <row r="89" spans="1:13" ht="18" customHeight="1" x14ac:dyDescent="0.3">
      <c r="A89" s="9"/>
      <c r="B89" s="5"/>
      <c r="C89" s="8"/>
      <c r="D89" s="8"/>
      <c r="E89" s="8"/>
      <c r="F89" s="8"/>
      <c r="G89" s="8"/>
      <c r="H89" s="8"/>
      <c r="I89" s="6"/>
      <c r="J89" s="8"/>
      <c r="K89" s="7"/>
      <c r="L89" s="8"/>
      <c r="M89" s="10"/>
    </row>
    <row r="90" spans="1:13" ht="18" customHeight="1" x14ac:dyDescent="0.3">
      <c r="A90" s="9"/>
      <c r="B90" s="5"/>
      <c r="C90" s="8"/>
      <c r="D90" s="8"/>
      <c r="E90" s="8"/>
      <c r="F90" s="8"/>
      <c r="G90" s="8"/>
      <c r="H90" s="8"/>
      <c r="I90" s="6"/>
      <c r="J90" s="8"/>
      <c r="K90" s="7"/>
      <c r="L90" s="8"/>
      <c r="M90" s="10"/>
    </row>
    <row r="91" spans="1:13" ht="18" customHeight="1" x14ac:dyDescent="0.3">
      <c r="A91" s="9"/>
      <c r="B91" s="5"/>
      <c r="C91" s="8"/>
      <c r="D91" s="8"/>
      <c r="E91" s="8"/>
      <c r="F91" s="8"/>
      <c r="G91" s="8"/>
      <c r="H91" s="8"/>
      <c r="I91" s="6"/>
      <c r="J91" s="8"/>
      <c r="K91" s="7"/>
      <c r="L91" s="8"/>
      <c r="M91" s="10"/>
    </row>
    <row r="92" spans="1:13" ht="18" customHeight="1" x14ac:dyDescent="0.3">
      <c r="A92" s="9"/>
      <c r="B92" s="5"/>
      <c r="C92" s="8"/>
      <c r="D92" s="8"/>
      <c r="E92" s="8"/>
      <c r="F92" s="8"/>
      <c r="G92" s="8"/>
      <c r="H92" s="8"/>
      <c r="I92" s="6"/>
      <c r="J92" s="8"/>
      <c r="K92" s="7"/>
      <c r="L92" s="8"/>
      <c r="M92" s="10"/>
    </row>
    <row r="93" spans="1:13" ht="18" customHeight="1" x14ac:dyDescent="0.3">
      <c r="A93" s="9"/>
      <c r="B93" s="5"/>
      <c r="C93" s="8"/>
      <c r="D93" s="8"/>
      <c r="E93" s="8"/>
      <c r="F93" s="8"/>
      <c r="G93" s="8"/>
      <c r="H93" s="8"/>
      <c r="I93" s="6"/>
      <c r="J93" s="8"/>
      <c r="K93" s="7"/>
      <c r="L93" s="8"/>
      <c r="M93" s="10"/>
    </row>
    <row r="94" spans="1:13" ht="18" customHeight="1" x14ac:dyDescent="0.3">
      <c r="A94" s="9"/>
      <c r="B94" s="5"/>
      <c r="C94" s="8"/>
      <c r="D94" s="8"/>
      <c r="E94" s="8"/>
      <c r="F94" s="8"/>
      <c r="G94" s="8"/>
      <c r="H94" s="8"/>
      <c r="I94" s="6"/>
      <c r="J94" s="8"/>
      <c r="K94" s="7"/>
      <c r="L94" s="8"/>
      <c r="M94" s="10"/>
    </row>
    <row r="95" spans="1:13" ht="18" customHeight="1" x14ac:dyDescent="0.3">
      <c r="A95" s="9"/>
      <c r="B95" s="5"/>
      <c r="C95" s="8"/>
      <c r="D95" s="8"/>
      <c r="E95" s="8"/>
      <c r="F95" s="8"/>
      <c r="G95" s="8"/>
      <c r="H95" s="8"/>
      <c r="I95" s="6"/>
      <c r="J95" s="8"/>
      <c r="K95" s="7"/>
      <c r="L95" s="8"/>
      <c r="M95" s="10"/>
    </row>
    <row r="96" spans="1:13" ht="18" customHeight="1" x14ac:dyDescent="0.3">
      <c r="A96" s="9"/>
      <c r="B96" s="5"/>
      <c r="C96" s="8"/>
      <c r="D96" s="8"/>
      <c r="E96" s="8"/>
      <c r="F96" s="8"/>
      <c r="G96" s="8"/>
      <c r="H96" s="8"/>
      <c r="I96" s="6"/>
      <c r="J96" s="8"/>
      <c r="K96" s="7"/>
      <c r="L96" s="8"/>
      <c r="M96" s="10"/>
    </row>
    <row r="97" spans="1:13" ht="18" customHeight="1" x14ac:dyDescent="0.3">
      <c r="A97" s="9"/>
      <c r="B97" s="5"/>
      <c r="C97" s="8"/>
      <c r="D97" s="8"/>
      <c r="E97" s="8"/>
      <c r="F97" s="8"/>
      <c r="G97" s="8"/>
      <c r="H97" s="8"/>
      <c r="I97" s="6"/>
      <c r="J97" s="8"/>
      <c r="K97" s="7"/>
      <c r="L97" s="8"/>
      <c r="M97" s="10"/>
    </row>
    <row r="98" spans="1:13" ht="18" customHeight="1" x14ac:dyDescent="0.3">
      <c r="A98" s="9"/>
      <c r="B98" s="5"/>
      <c r="C98" s="8"/>
      <c r="D98" s="8"/>
      <c r="E98" s="8"/>
      <c r="F98" s="8"/>
      <c r="G98" s="8"/>
      <c r="H98" s="8"/>
      <c r="I98" s="6"/>
      <c r="J98" s="8"/>
      <c r="K98" s="7"/>
      <c r="L98" s="8"/>
      <c r="M98" s="10"/>
    </row>
    <row r="99" spans="1:13" ht="18" customHeight="1" x14ac:dyDescent="0.3">
      <c r="A99" s="9"/>
      <c r="B99" s="5"/>
      <c r="C99" s="8"/>
      <c r="D99" s="8"/>
      <c r="E99" s="8"/>
      <c r="F99" s="8"/>
      <c r="G99" s="8"/>
      <c r="H99" s="8"/>
      <c r="I99" s="6"/>
      <c r="J99" s="8"/>
      <c r="K99" s="7"/>
      <c r="L99" s="8"/>
      <c r="M99" s="10"/>
    </row>
    <row r="100" spans="1:13" ht="18" customHeight="1" x14ac:dyDescent="0.3">
      <c r="A100" s="9"/>
      <c r="B100" s="5"/>
      <c r="C100" s="8"/>
      <c r="D100" s="8"/>
      <c r="E100" s="8"/>
      <c r="F100" s="8"/>
      <c r="G100" s="8"/>
      <c r="H100" s="8"/>
      <c r="I100" s="6"/>
      <c r="J100" s="8"/>
      <c r="K100" s="7"/>
      <c r="L100" s="8"/>
      <c r="M100" s="10"/>
    </row>
    <row r="101" spans="1:13" ht="18" customHeight="1" x14ac:dyDescent="0.3">
      <c r="A101" s="9"/>
      <c r="B101" s="5"/>
      <c r="C101" s="8"/>
      <c r="D101" s="8"/>
      <c r="E101" s="8"/>
      <c r="F101" s="8"/>
      <c r="G101" s="8"/>
      <c r="H101" s="8"/>
      <c r="I101" s="6"/>
      <c r="J101" s="8"/>
      <c r="K101" s="7"/>
      <c r="L101" s="8"/>
      <c r="M101" s="10"/>
    </row>
    <row r="102" spans="1:13" ht="18" customHeight="1" x14ac:dyDescent="0.3">
      <c r="A102" s="9"/>
      <c r="B102" s="5"/>
      <c r="C102" s="8"/>
      <c r="D102" s="8"/>
      <c r="E102" s="8"/>
      <c r="F102" s="8"/>
      <c r="G102" s="8"/>
      <c r="H102" s="8"/>
      <c r="I102" s="6"/>
      <c r="J102" s="8"/>
      <c r="K102" s="7"/>
      <c r="L102" s="8"/>
      <c r="M102" s="10"/>
    </row>
    <row r="103" spans="1:13" ht="18" customHeight="1" x14ac:dyDescent="0.3">
      <c r="A103" s="9"/>
      <c r="B103" s="5"/>
      <c r="C103" s="8"/>
      <c r="D103" s="8"/>
      <c r="E103" s="8"/>
      <c r="F103" s="8"/>
      <c r="G103" s="8"/>
      <c r="H103" s="8"/>
      <c r="I103" s="6"/>
      <c r="J103" s="8"/>
      <c r="K103" s="7"/>
      <c r="L103" s="8"/>
      <c r="M103" s="10"/>
    </row>
    <row r="104" spans="1:13" ht="18" customHeight="1" x14ac:dyDescent="0.3">
      <c r="A104" s="9"/>
      <c r="B104" s="5"/>
      <c r="C104" s="8"/>
      <c r="D104" s="8"/>
      <c r="E104" s="8"/>
      <c r="F104" s="8"/>
      <c r="G104" s="8"/>
      <c r="H104" s="8"/>
      <c r="I104" s="6"/>
      <c r="J104" s="8"/>
      <c r="K104" s="7"/>
      <c r="L104" s="8"/>
      <c r="M104" s="10"/>
    </row>
    <row r="105" spans="1:13" ht="18" customHeight="1" x14ac:dyDescent="0.3">
      <c r="A105" s="9"/>
      <c r="B105" s="5"/>
      <c r="C105" s="8"/>
      <c r="D105" s="8"/>
      <c r="E105" s="8"/>
      <c r="F105" s="8"/>
      <c r="G105" s="8"/>
      <c r="H105" s="8"/>
      <c r="I105" s="6"/>
      <c r="J105" s="8"/>
      <c r="K105" s="7"/>
      <c r="L105" s="8"/>
      <c r="M105" s="10"/>
    </row>
    <row r="106" spans="1:13" ht="18" customHeight="1" x14ac:dyDescent="0.3">
      <c r="A106" s="9"/>
      <c r="B106" s="5"/>
      <c r="C106" s="8"/>
      <c r="D106" s="8"/>
      <c r="E106" s="8"/>
      <c r="F106" s="8"/>
      <c r="G106" s="8"/>
      <c r="H106" s="8"/>
      <c r="I106" s="6"/>
      <c r="J106" s="8"/>
      <c r="K106" s="7"/>
      <c r="L106" s="8"/>
      <c r="M106" s="10"/>
    </row>
    <row r="107" spans="1:13" ht="18" customHeight="1" x14ac:dyDescent="0.3">
      <c r="A107" s="9"/>
      <c r="B107" s="5"/>
      <c r="C107" s="8"/>
      <c r="D107" s="8"/>
      <c r="E107" s="8"/>
      <c r="F107" s="8"/>
      <c r="G107" s="8"/>
      <c r="H107" s="8"/>
      <c r="I107" s="6"/>
      <c r="J107" s="8"/>
      <c r="K107" s="7"/>
      <c r="L107" s="8"/>
      <c r="M107" s="10"/>
    </row>
    <row r="108" spans="1:13" ht="18" customHeight="1" x14ac:dyDescent="0.3">
      <c r="A108" s="9"/>
      <c r="B108" s="5"/>
      <c r="C108" s="8"/>
      <c r="D108" s="8"/>
      <c r="E108" s="8"/>
      <c r="F108" s="8"/>
      <c r="G108" s="8"/>
      <c r="H108" s="8"/>
      <c r="I108" s="6"/>
      <c r="J108" s="8"/>
      <c r="K108" s="7"/>
      <c r="L108" s="8"/>
      <c r="M108" s="10"/>
    </row>
    <row r="109" spans="1:13" ht="18" customHeight="1" x14ac:dyDescent="0.3">
      <c r="A109" s="9"/>
      <c r="B109" s="5"/>
      <c r="C109" s="8"/>
      <c r="D109" s="8"/>
      <c r="E109" s="8"/>
      <c r="F109" s="8"/>
      <c r="G109" s="8"/>
      <c r="H109" s="8"/>
      <c r="I109" s="6"/>
      <c r="J109" s="8"/>
      <c r="K109" s="7"/>
      <c r="L109" s="8"/>
      <c r="M109" s="10"/>
    </row>
    <row r="110" spans="1:13" ht="18" customHeight="1" x14ac:dyDescent="0.3">
      <c r="A110" s="9"/>
      <c r="B110" s="5"/>
      <c r="C110" s="8"/>
      <c r="D110" s="8"/>
      <c r="E110" s="8"/>
      <c r="F110" s="8"/>
      <c r="G110" s="8"/>
      <c r="H110" s="8"/>
      <c r="I110" s="6"/>
      <c r="J110" s="8"/>
      <c r="K110" s="7"/>
      <c r="L110" s="8"/>
      <c r="M110" s="10"/>
    </row>
    <row r="111" spans="1:13" ht="18" customHeight="1" x14ac:dyDescent="0.3">
      <c r="A111" s="9"/>
      <c r="B111" s="5"/>
      <c r="C111" s="8"/>
      <c r="D111" s="8"/>
      <c r="E111" s="8"/>
      <c r="F111" s="8"/>
      <c r="G111" s="8"/>
      <c r="H111" s="8"/>
      <c r="I111" s="6"/>
      <c r="J111" s="8"/>
      <c r="K111" s="7"/>
      <c r="L111" s="8"/>
      <c r="M111" s="10"/>
    </row>
    <row r="112" spans="1:13" ht="18" customHeight="1" x14ac:dyDescent="0.3">
      <c r="A112" s="9"/>
      <c r="B112" s="5"/>
      <c r="C112" s="8"/>
      <c r="D112" s="8"/>
      <c r="E112" s="8"/>
      <c r="F112" s="8"/>
      <c r="G112" s="8"/>
      <c r="H112" s="8"/>
      <c r="I112" s="6"/>
      <c r="J112" s="8"/>
      <c r="K112" s="7"/>
      <c r="L112" s="8"/>
      <c r="M112" s="10"/>
    </row>
    <row r="113" spans="1:13" ht="18" customHeight="1" x14ac:dyDescent="0.3">
      <c r="A113" s="9"/>
      <c r="B113" s="5"/>
      <c r="C113" s="8"/>
      <c r="D113" s="8"/>
      <c r="E113" s="8"/>
      <c r="F113" s="8"/>
      <c r="G113" s="8"/>
      <c r="H113" s="8"/>
      <c r="I113" s="6"/>
      <c r="J113" s="8"/>
      <c r="K113" s="7"/>
      <c r="L113" s="8"/>
      <c r="M113" s="10"/>
    </row>
    <row r="114" spans="1:13" ht="18" customHeight="1" x14ac:dyDescent="0.3">
      <c r="A114" s="9"/>
      <c r="B114" s="5"/>
      <c r="C114" s="8"/>
      <c r="D114" s="8"/>
      <c r="E114" s="8"/>
      <c r="F114" s="8"/>
      <c r="G114" s="8"/>
      <c r="H114" s="8"/>
      <c r="I114" s="6"/>
      <c r="J114" s="8"/>
      <c r="K114" s="7"/>
      <c r="L114" s="8"/>
      <c r="M114" s="10"/>
    </row>
    <row r="115" spans="1:13" ht="18" customHeight="1" x14ac:dyDescent="0.3">
      <c r="A115" s="9"/>
      <c r="B115" s="5"/>
      <c r="C115" s="8"/>
      <c r="D115" s="8"/>
      <c r="E115" s="8"/>
      <c r="F115" s="8"/>
      <c r="G115" s="8"/>
      <c r="H115" s="8"/>
      <c r="I115" s="6"/>
      <c r="J115" s="8"/>
      <c r="K115" s="7"/>
      <c r="L115" s="8"/>
      <c r="M115" s="10"/>
    </row>
    <row r="116" spans="1:13" ht="18" customHeight="1" x14ac:dyDescent="0.3">
      <c r="A116" s="9"/>
      <c r="B116" s="5"/>
      <c r="C116" s="8"/>
      <c r="D116" s="8"/>
      <c r="E116" s="8"/>
      <c r="F116" s="8"/>
      <c r="G116" s="8"/>
      <c r="H116" s="8"/>
      <c r="I116" s="6"/>
      <c r="J116" s="8"/>
      <c r="K116" s="7"/>
      <c r="L116" s="8"/>
      <c r="M116" s="10"/>
    </row>
    <row r="117" spans="1:13" ht="18" customHeight="1" x14ac:dyDescent="0.3">
      <c r="A117" s="9"/>
      <c r="B117" s="5"/>
      <c r="C117" s="8"/>
      <c r="D117" s="8"/>
      <c r="E117" s="8"/>
      <c r="F117" s="8"/>
      <c r="G117" s="8"/>
      <c r="H117" s="8"/>
      <c r="I117" s="6"/>
      <c r="J117" s="8"/>
      <c r="K117" s="7"/>
      <c r="L117" s="8"/>
      <c r="M117" s="10"/>
    </row>
    <row r="118" spans="1:13" ht="18" customHeight="1" x14ac:dyDescent="0.3">
      <c r="A118" s="9"/>
      <c r="B118" s="5"/>
      <c r="C118" s="8"/>
      <c r="D118" s="8"/>
      <c r="E118" s="8"/>
      <c r="F118" s="8"/>
      <c r="G118" s="8"/>
      <c r="H118" s="8"/>
      <c r="I118" s="6"/>
      <c r="J118" s="8"/>
      <c r="K118" s="7"/>
      <c r="L118" s="8"/>
      <c r="M118" s="10"/>
    </row>
    <row r="119" spans="1:13" ht="18" customHeight="1" x14ac:dyDescent="0.3">
      <c r="A119" s="9"/>
      <c r="B119" s="5"/>
      <c r="C119" s="8"/>
      <c r="D119" s="8"/>
      <c r="E119" s="8"/>
      <c r="F119" s="8"/>
      <c r="G119" s="8"/>
      <c r="H119" s="8"/>
      <c r="I119" s="6"/>
      <c r="J119" s="8"/>
      <c r="K119" s="7"/>
      <c r="L119" s="8"/>
      <c r="M119" s="10"/>
    </row>
    <row r="120" spans="1:13" ht="18" customHeight="1" x14ac:dyDescent="0.3">
      <c r="A120" s="9"/>
      <c r="B120" s="5"/>
      <c r="C120" s="8"/>
      <c r="D120" s="8"/>
      <c r="E120" s="8"/>
      <c r="F120" s="8"/>
      <c r="G120" s="8"/>
      <c r="H120" s="8"/>
      <c r="I120" s="6"/>
      <c r="J120" s="8"/>
      <c r="K120" s="7"/>
      <c r="L120" s="8"/>
      <c r="M120" s="10"/>
    </row>
    <row r="121" spans="1:13" ht="18" customHeight="1" x14ac:dyDescent="0.3">
      <c r="A121" s="9"/>
      <c r="B121" s="5"/>
      <c r="C121" s="8"/>
      <c r="D121" s="8"/>
      <c r="E121" s="8"/>
      <c r="F121" s="8"/>
      <c r="G121" s="8"/>
      <c r="H121" s="8"/>
      <c r="I121" s="6"/>
      <c r="J121" s="8"/>
      <c r="K121" s="7"/>
      <c r="L121" s="8"/>
      <c r="M121" s="10"/>
    </row>
    <row r="122" spans="1:13" ht="18" customHeight="1" x14ac:dyDescent="0.3">
      <c r="A122" s="9"/>
      <c r="B122" s="5"/>
      <c r="C122" s="8"/>
      <c r="D122" s="8"/>
      <c r="E122" s="8"/>
      <c r="F122" s="8"/>
      <c r="G122" s="8"/>
      <c r="H122" s="8"/>
      <c r="I122" s="6"/>
      <c r="J122" s="8"/>
      <c r="K122" s="7"/>
      <c r="L122" s="8"/>
      <c r="M122" s="10"/>
    </row>
    <row r="123" spans="1:13" ht="18" customHeight="1" x14ac:dyDescent="0.3">
      <c r="A123" s="9"/>
      <c r="B123" s="5"/>
      <c r="C123" s="8"/>
      <c r="D123" s="8"/>
      <c r="E123" s="8"/>
      <c r="F123" s="8"/>
      <c r="G123" s="8"/>
      <c r="H123" s="8"/>
      <c r="I123" s="6"/>
      <c r="J123" s="8"/>
      <c r="K123" s="7"/>
      <c r="L123" s="8"/>
      <c r="M123" s="10"/>
    </row>
    <row r="124" spans="1:13" ht="18" customHeight="1" x14ac:dyDescent="0.3">
      <c r="A124" s="9"/>
      <c r="B124" s="5"/>
      <c r="C124" s="8"/>
      <c r="D124" s="8"/>
      <c r="E124" s="8"/>
      <c r="F124" s="8"/>
      <c r="G124" s="8"/>
      <c r="H124" s="8"/>
      <c r="I124" s="6"/>
      <c r="J124" s="8"/>
      <c r="K124" s="7"/>
      <c r="L124" s="8"/>
      <c r="M124" s="10"/>
    </row>
    <row r="125" spans="1:13" ht="18" customHeight="1" x14ac:dyDescent="0.3">
      <c r="A125" s="9"/>
      <c r="B125" s="5"/>
      <c r="C125" s="8"/>
      <c r="D125" s="8"/>
      <c r="E125" s="8"/>
      <c r="F125" s="8"/>
      <c r="G125" s="8"/>
      <c r="H125" s="8"/>
      <c r="I125" s="6"/>
      <c r="J125" s="8"/>
      <c r="K125" s="7"/>
      <c r="L125" s="8"/>
      <c r="M125" s="10"/>
    </row>
    <row r="126" spans="1:13" ht="18" customHeight="1" x14ac:dyDescent="0.3">
      <c r="A126" s="9"/>
      <c r="B126" s="5"/>
      <c r="C126" s="8"/>
      <c r="D126" s="8"/>
      <c r="E126" s="8"/>
      <c r="F126" s="8"/>
      <c r="G126" s="8"/>
      <c r="H126" s="8"/>
      <c r="I126" s="6"/>
      <c r="J126" s="8"/>
      <c r="K126" s="7"/>
      <c r="L126" s="8"/>
      <c r="M126" s="10"/>
    </row>
    <row r="127" spans="1:13" ht="18" customHeight="1" x14ac:dyDescent="0.3">
      <c r="A127" s="9"/>
      <c r="B127" s="5"/>
      <c r="C127" s="8"/>
      <c r="D127" s="8"/>
      <c r="E127" s="8"/>
      <c r="F127" s="8"/>
      <c r="G127" s="8"/>
      <c r="H127" s="8"/>
      <c r="I127" s="6"/>
      <c r="J127" s="8"/>
      <c r="K127" s="7"/>
      <c r="L127" s="8"/>
      <c r="M127" s="10"/>
    </row>
    <row r="128" spans="1:13" ht="18" customHeight="1" x14ac:dyDescent="0.3">
      <c r="A128" s="9"/>
      <c r="B128" s="5"/>
      <c r="C128" s="8"/>
      <c r="D128" s="8"/>
      <c r="E128" s="8"/>
      <c r="F128" s="8"/>
      <c r="G128" s="8"/>
      <c r="H128" s="8"/>
      <c r="I128" s="6"/>
      <c r="J128" s="8"/>
      <c r="K128" s="7"/>
      <c r="L128" s="8"/>
      <c r="M128" s="10"/>
    </row>
    <row r="129" spans="1:13" ht="18" customHeight="1" x14ac:dyDescent="0.3">
      <c r="A129" s="9"/>
      <c r="B129" s="5"/>
      <c r="C129" s="8"/>
      <c r="D129" s="8"/>
      <c r="E129" s="8"/>
      <c r="F129" s="8"/>
      <c r="G129" s="8"/>
      <c r="H129" s="8"/>
      <c r="I129" s="6"/>
      <c r="J129" s="8"/>
      <c r="K129" s="7"/>
      <c r="L129" s="8"/>
      <c r="M129" s="10"/>
    </row>
    <row r="130" spans="1:13" ht="18" customHeight="1" x14ac:dyDescent="0.3">
      <c r="A130" s="9"/>
      <c r="B130" s="5"/>
      <c r="C130" s="8"/>
      <c r="D130" s="8"/>
      <c r="E130" s="8"/>
      <c r="F130" s="8"/>
      <c r="G130" s="8"/>
      <c r="H130" s="8"/>
      <c r="I130" s="6"/>
      <c r="J130" s="8"/>
      <c r="K130" s="7"/>
      <c r="L130" s="8"/>
      <c r="M130" s="10"/>
    </row>
    <row r="131" spans="1:13" ht="18" customHeight="1" x14ac:dyDescent="0.3">
      <c r="A131" s="9"/>
      <c r="B131" s="5"/>
      <c r="C131" s="8"/>
      <c r="D131" s="8"/>
      <c r="E131" s="8"/>
      <c r="F131" s="8"/>
      <c r="G131" s="8"/>
      <c r="H131" s="8"/>
      <c r="I131" s="6"/>
      <c r="J131" s="8"/>
      <c r="K131" s="7"/>
      <c r="L131" s="8"/>
      <c r="M131" s="10"/>
    </row>
    <row r="132" spans="1:13" ht="18" customHeight="1" x14ac:dyDescent="0.3">
      <c r="A132" s="9"/>
      <c r="B132" s="5"/>
      <c r="C132" s="8"/>
      <c r="D132" s="8"/>
      <c r="E132" s="8"/>
      <c r="F132" s="8"/>
      <c r="G132" s="8"/>
      <c r="H132" s="8"/>
      <c r="I132" s="6"/>
      <c r="J132" s="8"/>
      <c r="K132" s="7"/>
      <c r="L132" s="8"/>
      <c r="M132" s="10"/>
    </row>
    <row r="133" spans="1:13" ht="18" customHeight="1" x14ac:dyDescent="0.3">
      <c r="A133" s="9"/>
      <c r="B133" s="5"/>
      <c r="C133" s="8"/>
      <c r="D133" s="8"/>
      <c r="E133" s="8"/>
      <c r="F133" s="8"/>
      <c r="G133" s="8"/>
      <c r="H133" s="8"/>
      <c r="I133" s="6"/>
      <c r="J133" s="8"/>
      <c r="K133" s="7"/>
      <c r="L133" s="8"/>
      <c r="M133" s="10"/>
    </row>
    <row r="134" spans="1:13" ht="18" customHeight="1" x14ac:dyDescent="0.3">
      <c r="A134" s="9"/>
      <c r="B134" s="5"/>
      <c r="C134" s="8"/>
      <c r="D134" s="8"/>
      <c r="E134" s="8"/>
      <c r="F134" s="8"/>
      <c r="G134" s="8"/>
      <c r="H134" s="8"/>
      <c r="I134" s="6"/>
      <c r="J134" s="8"/>
      <c r="K134" s="7"/>
      <c r="L134" s="8"/>
      <c r="M134" s="10"/>
    </row>
    <row r="135" spans="1:13" ht="18" customHeight="1" x14ac:dyDescent="0.3">
      <c r="A135" s="9"/>
      <c r="B135" s="5"/>
      <c r="C135" s="8"/>
      <c r="D135" s="8"/>
      <c r="E135" s="8"/>
      <c r="F135" s="8"/>
      <c r="G135" s="8"/>
      <c r="H135" s="8"/>
      <c r="I135" s="6"/>
      <c r="J135" s="8"/>
      <c r="K135" s="7"/>
      <c r="L135" s="8"/>
      <c r="M135" s="10"/>
    </row>
    <row r="136" spans="1:13" ht="18" customHeight="1" x14ac:dyDescent="0.3">
      <c r="A136" s="9"/>
      <c r="B136" s="5"/>
      <c r="C136" s="8"/>
      <c r="D136" s="8"/>
      <c r="E136" s="8"/>
      <c r="F136" s="8"/>
      <c r="G136" s="8"/>
      <c r="H136" s="8"/>
      <c r="I136" s="6"/>
      <c r="J136" s="8"/>
      <c r="K136" s="7"/>
      <c r="L136" s="8"/>
      <c r="M136" s="10"/>
    </row>
    <row r="137" spans="1:13" ht="18" customHeight="1" x14ac:dyDescent="0.3">
      <c r="A137" s="9"/>
      <c r="B137" s="5"/>
      <c r="C137" s="8"/>
      <c r="D137" s="8"/>
      <c r="E137" s="8"/>
      <c r="F137" s="8"/>
      <c r="G137" s="8"/>
      <c r="H137" s="8"/>
      <c r="I137" s="6"/>
      <c r="J137" s="8"/>
      <c r="K137" s="7"/>
      <c r="L137" s="8"/>
      <c r="M137" s="10"/>
    </row>
    <row r="138" spans="1:13" ht="18" customHeight="1" x14ac:dyDescent="0.3">
      <c r="A138" s="9"/>
      <c r="B138" s="5"/>
      <c r="C138" s="8"/>
      <c r="D138" s="8"/>
      <c r="E138" s="8"/>
      <c r="F138" s="8"/>
      <c r="G138" s="8"/>
      <c r="H138" s="8"/>
      <c r="I138" s="6"/>
      <c r="J138" s="8"/>
      <c r="K138" s="7"/>
      <c r="L138" s="8"/>
      <c r="M138" s="10"/>
    </row>
    <row r="139" spans="1:13" ht="18" customHeight="1" x14ac:dyDescent="0.3">
      <c r="A139" s="9"/>
      <c r="B139" s="5"/>
      <c r="C139" s="8"/>
      <c r="D139" s="8"/>
      <c r="E139" s="8"/>
      <c r="F139" s="8"/>
      <c r="G139" s="8"/>
      <c r="H139" s="8"/>
      <c r="I139" s="6"/>
      <c r="J139" s="8"/>
      <c r="K139" s="7"/>
      <c r="L139" s="8"/>
      <c r="M139" s="10"/>
    </row>
    <row r="140" spans="1:13" ht="18" customHeight="1" x14ac:dyDescent="0.3">
      <c r="A140" s="9"/>
      <c r="B140" s="5"/>
      <c r="C140" s="8"/>
      <c r="D140" s="8"/>
      <c r="E140" s="8"/>
      <c r="F140" s="8"/>
      <c r="G140" s="8"/>
      <c r="H140" s="8"/>
      <c r="I140" s="6"/>
      <c r="J140" s="8"/>
      <c r="K140" s="7"/>
      <c r="L140" s="8"/>
      <c r="M140" s="10"/>
    </row>
    <row r="141" spans="1:13" ht="18" customHeight="1" x14ac:dyDescent="0.3">
      <c r="A141" s="9"/>
      <c r="B141" s="5"/>
      <c r="C141" s="8"/>
      <c r="D141" s="8"/>
      <c r="E141" s="8"/>
      <c r="F141" s="8"/>
      <c r="G141" s="8"/>
      <c r="H141" s="8"/>
      <c r="I141" s="6"/>
      <c r="J141" s="8"/>
      <c r="K141" s="7"/>
      <c r="L141" s="8"/>
      <c r="M141" s="10"/>
    </row>
    <row r="142" spans="1:13" ht="18" customHeight="1" x14ac:dyDescent="0.3">
      <c r="A142" s="9"/>
      <c r="B142" s="5"/>
      <c r="C142" s="8"/>
      <c r="D142" s="8"/>
      <c r="E142" s="8"/>
      <c r="F142" s="8"/>
      <c r="G142" s="8"/>
      <c r="H142" s="8"/>
      <c r="I142" s="6"/>
      <c r="J142" s="8"/>
      <c r="K142" s="7"/>
      <c r="L142" s="8"/>
      <c r="M142" s="10"/>
    </row>
    <row r="143" spans="1:13" ht="18" customHeight="1" x14ac:dyDescent="0.3">
      <c r="A143" s="9"/>
      <c r="B143" s="5"/>
      <c r="C143" s="8"/>
      <c r="D143" s="8"/>
      <c r="E143" s="8"/>
      <c r="F143" s="8"/>
      <c r="G143" s="8"/>
      <c r="H143" s="8"/>
      <c r="I143" s="6"/>
      <c r="J143" s="8"/>
      <c r="K143" s="7"/>
      <c r="L143" s="8"/>
      <c r="M143" s="10"/>
    </row>
    <row r="144" spans="1:13" ht="18" customHeight="1" x14ac:dyDescent="0.3">
      <c r="A144" s="9"/>
      <c r="B144" s="5"/>
      <c r="C144" s="8"/>
      <c r="D144" s="8"/>
      <c r="E144" s="8"/>
      <c r="F144" s="8"/>
      <c r="G144" s="8"/>
      <c r="H144" s="8"/>
      <c r="I144" s="6"/>
      <c r="J144" s="8"/>
      <c r="K144" s="7"/>
      <c r="L144" s="8"/>
      <c r="M144" s="10"/>
    </row>
    <row r="145" spans="1:13" ht="18" customHeight="1" x14ac:dyDescent="0.3">
      <c r="A145" s="9"/>
      <c r="B145" s="5"/>
      <c r="C145" s="8"/>
      <c r="D145" s="8"/>
      <c r="E145" s="8"/>
      <c r="F145" s="8"/>
      <c r="G145" s="8"/>
      <c r="H145" s="8"/>
      <c r="I145" s="6"/>
      <c r="J145" s="8"/>
      <c r="K145" s="7"/>
      <c r="L145" s="8"/>
      <c r="M145" s="10"/>
    </row>
    <row r="146" spans="1:13" ht="18" customHeight="1" x14ac:dyDescent="0.3">
      <c r="A146" s="9"/>
      <c r="B146" s="5"/>
      <c r="C146" s="8"/>
      <c r="D146" s="8"/>
      <c r="E146" s="8"/>
      <c r="F146" s="8"/>
      <c r="G146" s="8"/>
      <c r="H146" s="8"/>
      <c r="I146" s="6"/>
      <c r="J146" s="8"/>
      <c r="K146" s="7"/>
      <c r="L146" s="8"/>
      <c r="M146" s="10"/>
    </row>
    <row r="147" spans="1:13" ht="18" customHeight="1" x14ac:dyDescent="0.3">
      <c r="A147" s="9"/>
      <c r="B147" s="5"/>
      <c r="C147" s="8"/>
      <c r="D147" s="8"/>
      <c r="E147" s="8"/>
      <c r="F147" s="8"/>
      <c r="G147" s="8"/>
      <c r="H147" s="8"/>
      <c r="I147" s="6"/>
      <c r="J147" s="8"/>
      <c r="K147" s="7"/>
      <c r="L147" s="8"/>
      <c r="M147" s="10"/>
    </row>
    <row r="148" spans="1:13" ht="18" customHeight="1" x14ac:dyDescent="0.3">
      <c r="A148" s="9"/>
      <c r="B148" s="5"/>
      <c r="C148" s="8"/>
      <c r="D148" s="8"/>
      <c r="E148" s="8"/>
      <c r="F148" s="8"/>
      <c r="G148" s="8"/>
      <c r="H148" s="8"/>
      <c r="I148" s="6"/>
      <c r="J148" s="8"/>
      <c r="K148" s="7"/>
      <c r="L148" s="8"/>
      <c r="M148" s="10"/>
    </row>
    <row r="149" spans="1:13" ht="18" customHeight="1" x14ac:dyDescent="0.3">
      <c r="A149" s="9"/>
      <c r="B149" s="5"/>
      <c r="C149" s="8"/>
      <c r="D149" s="8"/>
      <c r="E149" s="8"/>
      <c r="F149" s="8"/>
      <c r="G149" s="8"/>
      <c r="H149" s="8"/>
      <c r="I149" s="6"/>
      <c r="J149" s="8"/>
      <c r="K149" s="7"/>
      <c r="L149" s="8"/>
      <c r="M149" s="10"/>
    </row>
    <row r="150" spans="1:13" ht="18" customHeight="1" x14ac:dyDescent="0.3">
      <c r="A150" s="9"/>
      <c r="B150" s="5"/>
      <c r="C150" s="8"/>
      <c r="D150" s="8"/>
      <c r="E150" s="8"/>
      <c r="F150" s="8"/>
      <c r="G150" s="8"/>
      <c r="H150" s="8"/>
      <c r="I150" s="6"/>
      <c r="J150" s="8"/>
      <c r="K150" s="7"/>
      <c r="L150" s="8"/>
      <c r="M150" s="10"/>
    </row>
    <row r="151" spans="1:13" ht="18" customHeight="1" x14ac:dyDescent="0.3">
      <c r="A151" s="9"/>
      <c r="B151" s="5"/>
      <c r="C151" s="8"/>
      <c r="D151" s="8"/>
      <c r="E151" s="8"/>
      <c r="F151" s="8"/>
      <c r="G151" s="8"/>
      <c r="H151" s="8"/>
      <c r="I151" s="6"/>
      <c r="J151" s="8"/>
      <c r="K151" s="7"/>
      <c r="L151" s="8"/>
      <c r="M151" s="10"/>
    </row>
    <row r="152" spans="1:13" ht="18" customHeight="1" x14ac:dyDescent="0.3">
      <c r="A152" s="9"/>
      <c r="B152" s="5"/>
      <c r="C152" s="8"/>
      <c r="D152" s="8"/>
      <c r="E152" s="8"/>
      <c r="F152" s="8"/>
      <c r="G152" s="8"/>
      <c r="H152" s="8"/>
      <c r="I152" s="6"/>
      <c r="J152" s="8"/>
      <c r="K152" s="7"/>
      <c r="L152" s="8"/>
      <c r="M152" s="10"/>
    </row>
    <row r="153" spans="1:13" ht="18" customHeight="1" x14ac:dyDescent="0.3">
      <c r="A153" s="9"/>
      <c r="B153" s="5"/>
      <c r="C153" s="8"/>
      <c r="D153" s="8"/>
      <c r="E153" s="8"/>
      <c r="F153" s="8"/>
      <c r="G153" s="8"/>
      <c r="H153" s="8"/>
      <c r="I153" s="6"/>
      <c r="J153" s="8"/>
      <c r="K153" s="7"/>
      <c r="L153" s="8"/>
      <c r="M153" s="10"/>
    </row>
    <row r="154" spans="1:13" ht="18" customHeight="1" x14ac:dyDescent="0.3">
      <c r="A154" s="9"/>
      <c r="B154" s="5"/>
      <c r="C154" s="8"/>
      <c r="D154" s="8"/>
      <c r="E154" s="8"/>
      <c r="F154" s="8"/>
      <c r="G154" s="8"/>
      <c r="H154" s="8"/>
      <c r="I154" s="6"/>
      <c r="J154" s="8"/>
      <c r="K154" s="7"/>
      <c r="L154" s="8"/>
      <c r="M154" s="10"/>
    </row>
    <row r="155" spans="1:13" ht="18" customHeight="1" x14ac:dyDescent="0.3">
      <c r="A155" s="9"/>
      <c r="B155" s="5"/>
      <c r="C155" s="8"/>
      <c r="D155" s="8"/>
      <c r="E155" s="8"/>
      <c r="F155" s="8"/>
      <c r="G155" s="8"/>
      <c r="H155" s="8"/>
      <c r="I155" s="6"/>
      <c r="J155" s="8"/>
      <c r="K155" s="7"/>
      <c r="L155" s="8"/>
      <c r="M155" s="10"/>
    </row>
    <row r="156" spans="1:13" ht="18" customHeight="1" x14ac:dyDescent="0.3">
      <c r="A156" s="9"/>
      <c r="B156" s="5"/>
      <c r="C156" s="8"/>
      <c r="D156" s="8"/>
      <c r="E156" s="8"/>
      <c r="F156" s="8"/>
      <c r="G156" s="8"/>
      <c r="H156" s="8"/>
      <c r="I156" s="6"/>
      <c r="J156" s="8"/>
      <c r="K156" s="7"/>
      <c r="L156" s="8"/>
      <c r="M156" s="10"/>
    </row>
    <row r="157" spans="1:13" ht="18" customHeight="1" x14ac:dyDescent="0.3">
      <c r="A157" s="9"/>
      <c r="B157" s="5"/>
      <c r="C157" s="8"/>
      <c r="D157" s="8"/>
      <c r="E157" s="8"/>
      <c r="F157" s="8"/>
      <c r="G157" s="8"/>
      <c r="H157" s="8"/>
      <c r="I157" s="6"/>
      <c r="J157" s="8"/>
      <c r="K157" s="7"/>
      <c r="L157" s="8"/>
      <c r="M157" s="10"/>
    </row>
    <row r="158" spans="1:13" ht="18" customHeight="1" x14ac:dyDescent="0.3">
      <c r="A158" s="9"/>
      <c r="B158" s="5"/>
      <c r="C158" s="8"/>
      <c r="D158" s="8"/>
      <c r="E158" s="8"/>
      <c r="F158" s="8"/>
      <c r="G158" s="8"/>
      <c r="H158" s="8"/>
      <c r="I158" s="6"/>
      <c r="J158" s="8"/>
      <c r="K158" s="7"/>
      <c r="L158" s="8"/>
      <c r="M158" s="10"/>
    </row>
    <row r="159" spans="1:13" ht="18" customHeight="1" x14ac:dyDescent="0.3">
      <c r="A159" s="9"/>
      <c r="B159" s="5"/>
      <c r="C159" s="8"/>
      <c r="D159" s="8"/>
      <c r="E159" s="8"/>
      <c r="F159" s="8"/>
      <c r="G159" s="8"/>
      <c r="H159" s="8"/>
      <c r="I159" s="6"/>
      <c r="J159" s="8"/>
      <c r="K159" s="7"/>
      <c r="L159" s="8"/>
      <c r="M159" s="10"/>
    </row>
    <row r="160" spans="1:13" ht="18" customHeight="1" x14ac:dyDescent="0.3">
      <c r="A160" s="9"/>
      <c r="B160" s="5"/>
      <c r="C160" s="8"/>
      <c r="D160" s="8"/>
      <c r="E160" s="8"/>
      <c r="F160" s="8"/>
      <c r="G160" s="8"/>
      <c r="H160" s="8"/>
      <c r="I160" s="6"/>
      <c r="J160" s="8"/>
      <c r="K160" s="7"/>
      <c r="L160" s="8"/>
      <c r="M160" s="10"/>
    </row>
    <row r="161" spans="1:13" ht="18" customHeight="1" x14ac:dyDescent="0.3">
      <c r="A161" s="9"/>
      <c r="B161" s="5"/>
      <c r="C161" s="8"/>
      <c r="D161" s="8"/>
      <c r="E161" s="8"/>
      <c r="F161" s="8"/>
      <c r="G161" s="8"/>
      <c r="H161" s="8"/>
      <c r="I161" s="6"/>
      <c r="J161" s="8"/>
      <c r="K161" s="7"/>
      <c r="L161" s="8"/>
      <c r="M161" s="10"/>
    </row>
    <row r="162" spans="1:13" ht="18" customHeight="1" x14ac:dyDescent="0.3">
      <c r="A162" s="9"/>
      <c r="B162" s="5"/>
      <c r="C162" s="8"/>
      <c r="D162" s="8"/>
      <c r="E162" s="8"/>
      <c r="F162" s="8"/>
      <c r="G162" s="8"/>
      <c r="H162" s="8"/>
      <c r="I162" s="6"/>
      <c r="J162" s="8"/>
      <c r="K162" s="7"/>
      <c r="L162" s="8"/>
      <c r="M162" s="10"/>
    </row>
    <row r="163" spans="1:13" ht="18" customHeight="1" x14ac:dyDescent="0.3">
      <c r="A163" s="9"/>
      <c r="B163" s="5"/>
      <c r="C163" s="8"/>
      <c r="D163" s="8"/>
      <c r="E163" s="8"/>
      <c r="F163" s="8"/>
      <c r="G163" s="8"/>
      <c r="H163" s="8"/>
      <c r="I163" s="6"/>
      <c r="J163" s="8"/>
      <c r="K163" s="7"/>
      <c r="L163" s="8"/>
      <c r="M163" s="10"/>
    </row>
    <row r="164" spans="1:13" ht="18" customHeight="1" x14ac:dyDescent="0.3">
      <c r="A164" s="9"/>
      <c r="B164" s="5"/>
      <c r="C164" s="8"/>
      <c r="D164" s="8"/>
      <c r="E164" s="8"/>
      <c r="F164" s="8"/>
      <c r="G164" s="8"/>
      <c r="H164" s="8"/>
      <c r="I164" s="6"/>
      <c r="J164" s="8"/>
      <c r="K164" s="7"/>
      <c r="L164" s="8"/>
      <c r="M164" s="10"/>
    </row>
    <row r="165" spans="1:13" ht="18" customHeight="1" x14ac:dyDescent="0.3">
      <c r="A165" s="9"/>
      <c r="B165" s="5"/>
      <c r="C165" s="8"/>
      <c r="D165" s="8"/>
      <c r="E165" s="8"/>
      <c r="F165" s="8"/>
      <c r="G165" s="8"/>
      <c r="H165" s="8"/>
      <c r="I165" s="6"/>
      <c r="J165" s="8"/>
      <c r="K165" s="7"/>
      <c r="L165" s="8"/>
      <c r="M165" s="10"/>
    </row>
    <row r="166" spans="1:13" ht="18" customHeight="1" x14ac:dyDescent="0.3">
      <c r="A166" s="9"/>
      <c r="B166" s="5"/>
      <c r="C166" s="8"/>
      <c r="D166" s="8"/>
      <c r="E166" s="8"/>
      <c r="F166" s="8"/>
      <c r="G166" s="8"/>
      <c r="H166" s="8"/>
      <c r="I166" s="6"/>
      <c r="J166" s="8"/>
      <c r="K166" s="7"/>
      <c r="L166" s="8"/>
      <c r="M166" s="10"/>
    </row>
    <row r="167" spans="1:13" ht="18" customHeight="1" x14ac:dyDescent="0.3">
      <c r="A167" s="9"/>
      <c r="B167" s="5"/>
      <c r="C167" s="8"/>
      <c r="D167" s="8"/>
      <c r="E167" s="8"/>
      <c r="F167" s="8"/>
      <c r="G167" s="8"/>
      <c r="H167" s="8"/>
      <c r="I167" s="6"/>
      <c r="J167" s="8"/>
      <c r="K167" s="7"/>
      <c r="L167" s="8"/>
      <c r="M167" s="10"/>
    </row>
    <row r="168" spans="1:13" ht="18" customHeight="1" x14ac:dyDescent="0.3">
      <c r="A168" s="9"/>
      <c r="B168" s="5"/>
      <c r="C168" s="8"/>
      <c r="D168" s="8"/>
      <c r="E168" s="8"/>
      <c r="F168" s="8"/>
      <c r="G168" s="8"/>
      <c r="H168" s="8"/>
      <c r="I168" s="6"/>
      <c r="J168" s="8"/>
      <c r="K168" s="7"/>
      <c r="L168" s="8"/>
      <c r="M168" s="10"/>
    </row>
    <row r="169" spans="1:13" ht="18" customHeight="1" x14ac:dyDescent="0.3">
      <c r="A169" s="9"/>
      <c r="B169" s="5"/>
      <c r="C169" s="8"/>
      <c r="D169" s="8"/>
      <c r="E169" s="8"/>
      <c r="F169" s="8"/>
      <c r="G169" s="8"/>
      <c r="H169" s="8"/>
      <c r="I169" s="6"/>
      <c r="J169" s="8"/>
      <c r="K169" s="7"/>
      <c r="L169" s="8"/>
      <c r="M169" s="10"/>
    </row>
    <row r="170" spans="1:13" ht="18" customHeight="1" x14ac:dyDescent="0.3">
      <c r="A170" s="9"/>
      <c r="B170" s="5"/>
      <c r="C170" s="8"/>
      <c r="D170" s="8"/>
      <c r="E170" s="8"/>
      <c r="F170" s="8"/>
      <c r="G170" s="8"/>
      <c r="H170" s="8"/>
      <c r="I170" s="6"/>
      <c r="J170" s="8"/>
      <c r="K170" s="7"/>
      <c r="L170" s="8"/>
      <c r="M170" s="10"/>
    </row>
    <row r="171" spans="1:13" ht="18" customHeight="1" x14ac:dyDescent="0.3">
      <c r="A171" s="9"/>
      <c r="B171" s="5"/>
      <c r="C171" s="8"/>
      <c r="D171" s="8"/>
      <c r="E171" s="8"/>
      <c r="F171" s="8"/>
      <c r="G171" s="8"/>
      <c r="H171" s="8"/>
      <c r="I171" s="6"/>
      <c r="J171" s="8"/>
      <c r="K171" s="7"/>
      <c r="L171" s="8"/>
      <c r="M171" s="10"/>
    </row>
    <row r="172" spans="1:13" ht="18" customHeight="1" x14ac:dyDescent="0.3">
      <c r="A172" s="9"/>
      <c r="B172" s="5"/>
      <c r="C172" s="8"/>
      <c r="D172" s="8"/>
      <c r="E172" s="8"/>
      <c r="F172" s="8"/>
      <c r="G172" s="8"/>
      <c r="H172" s="8"/>
      <c r="I172" s="6"/>
      <c r="J172" s="8"/>
      <c r="K172" s="7"/>
      <c r="L172" s="8"/>
      <c r="M172" s="10"/>
    </row>
    <row r="173" spans="1:13" ht="18" customHeight="1" x14ac:dyDescent="0.3">
      <c r="A173" s="9"/>
      <c r="B173" s="5"/>
      <c r="C173" s="8"/>
      <c r="D173" s="8"/>
      <c r="E173" s="8"/>
      <c r="F173" s="8"/>
      <c r="G173" s="8"/>
      <c r="H173" s="8"/>
      <c r="I173" s="6"/>
      <c r="J173" s="8"/>
      <c r="K173" s="7"/>
      <c r="L173" s="8"/>
      <c r="M173" s="10"/>
    </row>
    <row r="174" spans="1:13" ht="18" customHeight="1" x14ac:dyDescent="0.3">
      <c r="A174" s="9"/>
      <c r="B174" s="5"/>
      <c r="C174" s="8"/>
      <c r="D174" s="8"/>
      <c r="E174" s="8"/>
      <c r="F174" s="8"/>
      <c r="G174" s="8"/>
      <c r="H174" s="8"/>
      <c r="I174" s="6"/>
      <c r="J174" s="8"/>
      <c r="K174" s="7"/>
      <c r="L174" s="8"/>
      <c r="M174" s="10"/>
    </row>
    <row r="175" spans="1:13" ht="18" customHeight="1" x14ac:dyDescent="0.3">
      <c r="A175" s="9"/>
      <c r="B175" s="5"/>
      <c r="C175" s="8"/>
      <c r="D175" s="8"/>
      <c r="E175" s="8"/>
      <c r="F175" s="8"/>
      <c r="G175" s="8"/>
      <c r="H175" s="8"/>
      <c r="I175" s="6"/>
      <c r="J175" s="8"/>
      <c r="K175" s="7"/>
      <c r="L175" s="8"/>
      <c r="M175" s="10"/>
    </row>
    <row r="176" spans="1:13" ht="18" customHeight="1" x14ac:dyDescent="0.3">
      <c r="A176" s="9"/>
      <c r="B176" s="5"/>
      <c r="C176" s="8"/>
      <c r="D176" s="8"/>
      <c r="E176" s="8"/>
      <c r="F176" s="8"/>
      <c r="G176" s="8"/>
      <c r="H176" s="8"/>
      <c r="I176" s="6"/>
      <c r="J176" s="8"/>
      <c r="K176" s="7"/>
      <c r="L176" s="8"/>
      <c r="M176" s="10"/>
    </row>
    <row r="177" spans="1:13" ht="18" customHeight="1" x14ac:dyDescent="0.3">
      <c r="A177" s="9"/>
      <c r="B177" s="5"/>
      <c r="C177" s="8"/>
      <c r="D177" s="8"/>
      <c r="E177" s="8"/>
      <c r="F177" s="8"/>
      <c r="G177" s="8"/>
      <c r="H177" s="8"/>
      <c r="I177" s="6"/>
      <c r="J177" s="8"/>
      <c r="K177" s="7"/>
      <c r="L177" s="8"/>
      <c r="M177" s="10"/>
    </row>
    <row r="178" spans="1:13" ht="18" customHeight="1" x14ac:dyDescent="0.3">
      <c r="A178" s="9"/>
      <c r="B178" s="5"/>
      <c r="C178" s="8"/>
      <c r="D178" s="8"/>
      <c r="E178" s="8"/>
      <c r="F178" s="8"/>
      <c r="G178" s="8"/>
      <c r="H178" s="8"/>
      <c r="I178" s="6"/>
      <c r="J178" s="8"/>
      <c r="K178" s="7"/>
      <c r="L178" s="8"/>
      <c r="M178" s="10"/>
    </row>
    <row r="179" spans="1:13" ht="18" customHeight="1" x14ac:dyDescent="0.3">
      <c r="A179" s="9"/>
      <c r="B179" s="5"/>
      <c r="C179" s="8"/>
      <c r="D179" s="8"/>
      <c r="E179" s="8"/>
      <c r="F179" s="8"/>
      <c r="G179" s="8"/>
      <c r="H179" s="8"/>
      <c r="I179" s="6"/>
      <c r="J179" s="8"/>
      <c r="K179" s="7"/>
      <c r="L179" s="8"/>
      <c r="M179" s="10"/>
    </row>
    <row r="180" spans="1:13" ht="18" customHeight="1" x14ac:dyDescent="0.3">
      <c r="A180" s="9"/>
      <c r="B180" s="5"/>
      <c r="C180" s="8"/>
      <c r="D180" s="8"/>
      <c r="E180" s="8"/>
      <c r="F180" s="8"/>
      <c r="G180" s="8"/>
      <c r="H180" s="8"/>
      <c r="I180" s="6"/>
      <c r="J180" s="8"/>
      <c r="K180" s="7"/>
      <c r="L180" s="8"/>
      <c r="M180" s="10"/>
    </row>
    <row r="181" spans="1:13" ht="18" customHeight="1" x14ac:dyDescent="0.3">
      <c r="A181" s="9"/>
      <c r="B181" s="5"/>
      <c r="C181" s="8"/>
      <c r="D181" s="8"/>
      <c r="E181" s="8"/>
      <c r="F181" s="8"/>
      <c r="G181" s="8"/>
      <c r="H181" s="8"/>
      <c r="I181" s="6"/>
      <c r="J181" s="8"/>
      <c r="K181" s="7"/>
      <c r="L181" s="8"/>
      <c r="M181" s="10"/>
    </row>
    <row r="182" spans="1:13" ht="18" customHeight="1" x14ac:dyDescent="0.3">
      <c r="A182" s="9"/>
      <c r="B182" s="5"/>
      <c r="C182" s="8"/>
      <c r="D182" s="8"/>
      <c r="E182" s="8"/>
      <c r="F182" s="8"/>
      <c r="G182" s="8"/>
      <c r="H182" s="8"/>
      <c r="I182" s="6"/>
      <c r="J182" s="8"/>
      <c r="K182" s="7"/>
      <c r="L182" s="8"/>
      <c r="M182" s="10"/>
    </row>
    <row r="183" spans="1:13" ht="18" customHeight="1" x14ac:dyDescent="0.3">
      <c r="A183" s="9"/>
      <c r="B183" s="5"/>
      <c r="C183" s="8"/>
      <c r="D183" s="8"/>
      <c r="E183" s="8"/>
      <c r="F183" s="8"/>
      <c r="G183" s="8"/>
      <c r="H183" s="8"/>
      <c r="I183" s="6"/>
      <c r="J183" s="8"/>
      <c r="K183" s="7"/>
      <c r="L183" s="8"/>
      <c r="M183" s="10"/>
    </row>
    <row r="184" spans="1:13" ht="18" customHeight="1" x14ac:dyDescent="0.3">
      <c r="A184" s="9"/>
      <c r="B184" s="5"/>
      <c r="C184" s="8"/>
      <c r="D184" s="8"/>
      <c r="E184" s="8"/>
      <c r="F184" s="8"/>
      <c r="G184" s="8"/>
      <c r="H184" s="8"/>
      <c r="I184" s="6"/>
      <c r="J184" s="8"/>
      <c r="K184" s="7"/>
      <c r="L184" s="8"/>
      <c r="M184" s="10"/>
    </row>
    <row r="185" spans="1:13" ht="18" customHeight="1" x14ac:dyDescent="0.3">
      <c r="A185" s="9"/>
      <c r="B185" s="5"/>
      <c r="C185" s="8"/>
      <c r="D185" s="8"/>
      <c r="E185" s="8"/>
      <c r="F185" s="8"/>
      <c r="G185" s="8"/>
      <c r="H185" s="8"/>
      <c r="I185" s="6"/>
      <c r="J185" s="8"/>
      <c r="K185" s="7"/>
      <c r="L185" s="8"/>
      <c r="M185" s="10"/>
    </row>
    <row r="186" spans="1:13" ht="18" customHeight="1" x14ac:dyDescent="0.3">
      <c r="A186" s="9"/>
      <c r="B186" s="5"/>
      <c r="C186" s="8"/>
      <c r="D186" s="8"/>
      <c r="E186" s="8"/>
      <c r="F186" s="8"/>
      <c r="G186" s="8"/>
      <c r="H186" s="8"/>
      <c r="I186" s="6"/>
      <c r="J186" s="8"/>
      <c r="K186" s="7"/>
      <c r="L186" s="8"/>
      <c r="M186" s="10"/>
    </row>
    <row r="187" spans="1:13" ht="18" customHeight="1" x14ac:dyDescent="0.3">
      <c r="A187" s="9"/>
      <c r="B187" s="5"/>
      <c r="C187" s="8"/>
      <c r="D187" s="8"/>
      <c r="E187" s="8"/>
      <c r="F187" s="8"/>
      <c r="G187" s="8"/>
      <c r="H187" s="8"/>
      <c r="I187" s="6"/>
      <c r="J187" s="8"/>
      <c r="K187" s="7"/>
      <c r="L187" s="8"/>
      <c r="M187" s="10"/>
    </row>
    <row r="188" spans="1:13" ht="18" customHeight="1" x14ac:dyDescent="0.3">
      <c r="A188" s="9"/>
      <c r="B188" s="5"/>
      <c r="C188" s="8"/>
      <c r="D188" s="8"/>
      <c r="E188" s="8"/>
      <c r="F188" s="8"/>
      <c r="G188" s="8"/>
      <c r="H188" s="8"/>
      <c r="I188" s="6"/>
      <c r="J188" s="8"/>
      <c r="K188" s="7"/>
      <c r="L188" s="8"/>
      <c r="M188" s="10"/>
    </row>
    <row r="189" spans="1:13" ht="18" customHeight="1" x14ac:dyDescent="0.3">
      <c r="A189" s="9"/>
      <c r="B189" s="5"/>
      <c r="C189" s="8"/>
      <c r="D189" s="8"/>
      <c r="E189" s="8"/>
      <c r="F189" s="8"/>
      <c r="G189" s="8"/>
      <c r="H189" s="8"/>
      <c r="I189" s="6"/>
      <c r="J189" s="8"/>
      <c r="K189" s="7"/>
      <c r="L189" s="8"/>
      <c r="M189" s="10"/>
    </row>
    <row r="190" spans="1:13" ht="18" customHeight="1" x14ac:dyDescent="0.3">
      <c r="A190" s="9"/>
      <c r="B190" s="5"/>
      <c r="C190" s="8"/>
      <c r="D190" s="8"/>
      <c r="E190" s="8"/>
      <c r="F190" s="8"/>
      <c r="G190" s="8"/>
      <c r="H190" s="8"/>
      <c r="I190" s="6"/>
      <c r="J190" s="8"/>
      <c r="K190" s="7"/>
      <c r="L190" s="8"/>
      <c r="M190" s="10"/>
    </row>
    <row r="191" spans="1:13" ht="18" customHeight="1" x14ac:dyDescent="0.3">
      <c r="A191" s="9"/>
      <c r="B191" s="5"/>
      <c r="C191" s="8"/>
      <c r="D191" s="8"/>
      <c r="E191" s="8"/>
      <c r="F191" s="8"/>
      <c r="G191" s="8"/>
      <c r="H191" s="8"/>
      <c r="I191" s="6"/>
      <c r="J191" s="8"/>
      <c r="K191" s="7"/>
      <c r="L191" s="8"/>
      <c r="M191" s="10"/>
    </row>
    <row r="192" spans="1:13" ht="18" customHeight="1" x14ac:dyDescent="0.3">
      <c r="A192" s="9"/>
      <c r="B192" s="5"/>
      <c r="C192" s="8"/>
      <c r="D192" s="8"/>
      <c r="E192" s="8"/>
      <c r="F192" s="8"/>
      <c r="G192" s="8"/>
      <c r="H192" s="8"/>
      <c r="I192" s="6"/>
      <c r="J192" s="8"/>
      <c r="K192" s="7"/>
      <c r="L192" s="8"/>
      <c r="M192" s="10"/>
    </row>
    <row r="193" spans="1:13" ht="18" customHeight="1" x14ac:dyDescent="0.3">
      <c r="A193" s="9"/>
      <c r="B193" s="5"/>
      <c r="C193" s="8"/>
      <c r="D193" s="8"/>
      <c r="E193" s="8"/>
      <c r="F193" s="8"/>
      <c r="G193" s="8"/>
      <c r="H193" s="8"/>
      <c r="I193" s="6"/>
      <c r="J193" s="8"/>
      <c r="K193" s="7"/>
      <c r="L193" s="8"/>
      <c r="M193" s="10"/>
    </row>
    <row r="194" spans="1:13" ht="18" customHeight="1" x14ac:dyDescent="0.3">
      <c r="A194" s="9"/>
      <c r="B194" s="5"/>
      <c r="C194" s="8"/>
      <c r="D194" s="8"/>
      <c r="E194" s="8"/>
      <c r="F194" s="8"/>
      <c r="G194" s="8"/>
      <c r="H194" s="8"/>
      <c r="I194" s="6"/>
      <c r="J194" s="8"/>
      <c r="K194" s="7"/>
      <c r="L194" s="8"/>
      <c r="M194" s="10"/>
    </row>
    <row r="195" spans="1:13" ht="18" customHeight="1" x14ac:dyDescent="0.3">
      <c r="A195" s="9"/>
      <c r="B195" s="5"/>
      <c r="C195" s="8"/>
      <c r="D195" s="8"/>
      <c r="E195" s="8"/>
      <c r="F195" s="8"/>
      <c r="G195" s="8"/>
      <c r="H195" s="8"/>
      <c r="I195" s="6"/>
      <c r="J195" s="8"/>
      <c r="K195" s="7"/>
      <c r="L195" s="8"/>
      <c r="M195" s="10"/>
    </row>
    <row r="196" spans="1:13" ht="18" customHeight="1" x14ac:dyDescent="0.3">
      <c r="A196" s="9"/>
      <c r="B196" s="5"/>
      <c r="C196" s="8"/>
      <c r="D196" s="8"/>
      <c r="E196" s="8"/>
      <c r="F196" s="8"/>
      <c r="G196" s="8"/>
      <c r="H196" s="8"/>
      <c r="I196" s="6"/>
      <c r="J196" s="8"/>
      <c r="K196" s="7"/>
      <c r="L196" s="8"/>
      <c r="M196" s="10"/>
    </row>
    <row r="197" spans="1:13" ht="18" customHeight="1" x14ac:dyDescent="0.3">
      <c r="A197" s="9"/>
      <c r="B197" s="5"/>
      <c r="C197" s="8"/>
      <c r="D197" s="8"/>
      <c r="E197" s="8"/>
      <c r="F197" s="8"/>
      <c r="G197" s="8"/>
      <c r="H197" s="8"/>
      <c r="I197" s="6"/>
      <c r="J197" s="8"/>
      <c r="K197" s="7"/>
      <c r="L197" s="8"/>
      <c r="M197" s="10"/>
    </row>
    <row r="198" spans="1:13" ht="18" customHeight="1" x14ac:dyDescent="0.3">
      <c r="A198" s="9"/>
      <c r="B198" s="5"/>
      <c r="C198" s="8"/>
      <c r="D198" s="8"/>
      <c r="E198" s="8"/>
      <c r="F198" s="8"/>
      <c r="G198" s="8"/>
      <c r="H198" s="8"/>
      <c r="I198" s="6"/>
      <c r="J198" s="8"/>
      <c r="K198" s="7"/>
      <c r="L198" s="8"/>
      <c r="M198" s="10"/>
    </row>
    <row r="199" spans="1:13" ht="18" customHeight="1" x14ac:dyDescent="0.3">
      <c r="A199" s="9"/>
      <c r="B199" s="5"/>
      <c r="C199" s="8"/>
      <c r="D199" s="8"/>
      <c r="E199" s="8"/>
      <c r="F199" s="8"/>
      <c r="G199" s="8"/>
      <c r="H199" s="8"/>
      <c r="I199" s="6"/>
      <c r="J199" s="8"/>
      <c r="K199" s="7"/>
      <c r="L199" s="8"/>
      <c r="M199" s="10"/>
    </row>
    <row r="200" spans="1:13" ht="18" customHeight="1" x14ac:dyDescent="0.3">
      <c r="A200" s="9"/>
      <c r="B200" s="5"/>
      <c r="C200" s="8"/>
      <c r="D200" s="8"/>
      <c r="E200" s="8"/>
      <c r="F200" s="8"/>
      <c r="G200" s="8"/>
      <c r="H200" s="8"/>
      <c r="I200" s="6"/>
      <c r="J200" s="8"/>
      <c r="K200" s="7"/>
      <c r="L200" s="8"/>
      <c r="M200" s="10"/>
    </row>
  </sheetData>
  <sheetProtection sheet="1" objects="1" scenarios="1"/>
  <conditionalFormatting sqref="B2:B200">
    <cfRule type="expression" dxfId="0" priority="1" stopIfTrue="1">
      <formula>AND(B2="",COUNTA($B2:$L2)&gt;0)</formula>
    </cfRule>
  </conditionalFormatting>
  <conditionalFormatting sqref="C2:C200">
    <cfRule type="expression" dxfId="0" priority="2" stopIfTrue="1">
      <formula>AND(C2="",COUNTA($B2:$L2)&gt;0)</formula>
    </cfRule>
    <cfRule type="cellIs" dxfId="1" priority="10" operator="equal">
      <formula>"Income"</formula>
    </cfRule>
    <cfRule type="cellIs" dxfId="3" priority="11" operator="equal">
      <formula>"Expense"</formula>
    </cfRule>
    <cfRule type="cellIs" dxfId="5" priority="12" operator="equal">
      <formula>"Transfer"</formula>
    </cfRule>
    <cfRule type="cellIs" dxfId="6" priority="13" operator="equal">
      <formula>"Adjustment"</formula>
    </cfRule>
  </conditionalFormatting>
  <conditionalFormatting sqref="D2:D200">
    <cfRule type="expression" dxfId="0" priority="3" stopIfTrue="1">
      <formula>AND(D2="",COUNTA($B2:$L2)&gt;0)</formula>
    </cfRule>
  </conditionalFormatting>
  <conditionalFormatting sqref="E2:E200">
    <cfRule type="expression" dxfId="0" priority="4" stopIfTrue="1">
      <formula>AND(E2="",COUNTA($B2:$L2)&gt;0)</formula>
    </cfRule>
  </conditionalFormatting>
  <conditionalFormatting sqref="F2:F200">
    <cfRule type="expression" dxfId="0" priority="5" stopIfTrue="1">
      <formula>AND(F2="",COUNTA($B2:$L2)&gt;0)</formula>
    </cfRule>
  </conditionalFormatting>
  <conditionalFormatting sqref="I2:I200">
    <cfRule type="expression" dxfId="0" priority="6" stopIfTrue="1">
      <formula>AND(I2="",COUNTA($B2:$L2)&gt;0)</formula>
    </cfRule>
  </conditionalFormatting>
  <conditionalFormatting sqref="J2:J200">
    <cfRule type="expression" dxfId="0" priority="7" stopIfTrue="1">
      <formula>AND(J2="",COUNTA($B2:$L2)&gt;0)</formula>
    </cfRule>
  </conditionalFormatting>
  <conditionalFormatting sqref="K2:K200">
    <cfRule type="expression" dxfId="0" priority="8" stopIfTrue="1">
      <formula>AND(K2="",COUNTA($B2:$L2)&gt;0)</formula>
    </cfRule>
    <cfRule type="cellIs" dxfId="1" priority="14" operator="equal">
      <formula>"Completed"</formula>
    </cfRule>
    <cfRule type="cellIs" dxfId="2" priority="15" operator="equal">
      <formula>"Pending"</formula>
    </cfRule>
    <cfRule type="cellIs" dxfId="3" priority="16" operator="equal">
      <formula>"Cancelled"</formula>
    </cfRule>
    <cfRule type="cellIs" dxfId="4" priority="17" operator="equal">
      <formula>"Reconciled"</formula>
    </cfRule>
  </conditionalFormatting>
  <dataValidations count="10">
    <dataValidation type="list" allowBlank="1" showInputMessage="1" showErrorMessage="1" errorTitle="Invalid value" error="Select a value from the list." promptTitle="Select a value" prompt="Choose from the list." sqref="C2:C200" xr:uid="{00000000-0002-0000-0700-000000000000}">
      <formula1>rngTransactionType</formula1>
    </dataValidation>
    <dataValidation type="list" allowBlank="1" showInputMessage="1" showErrorMessage="1" errorTitle="Invalid account" error="Select an active account." promptTitle="Source Account" prompt="Select an active account." sqref="D2:D200" xr:uid="{00000000-0002-0000-0700-000001000000}">
      <formula1>rngActiveAccounts</formula1>
    </dataValidation>
    <dataValidation type="list" allowBlank="1" showInputMessage="1" showErrorMessage="1" errorTitle="Invalid value" error="Select a value from the list." promptTitle="Select a value" prompt="Choose from the list." sqref="E2:E200" xr:uid="{00000000-0002-0000-0700-000002000000}">
      <formula1>rngDestinationType</formula1>
    </dataValidation>
    <dataValidation type="list" allowBlank="1" showInputMessage="1" showErrorMessage="1" errorTitle="Invalid destination" error="Select a destination that matches Destination Type." promptTitle="Destination Name" prompt="List changes with Destination Type. Other: type freely, or leave blank." sqref="F2:F200" xr:uid="{00000000-0002-0000-0700-000003000000}">
      <formula1>IF($E2="Account",rngActiveAccounts,IF($E2="Goal",rngActiveGoals,IF($E2="Liability",rngActiveLiabilities,IF($E2="Asset",rngActiveAssets,IF($E2="Expense Category",rngExpenseCategories,IF($E2="Income Category",rngIncomeCategories,rngBlank))))))</formula1>
    </dataValidation>
    <dataValidation type="list" allowBlank="1" showInputMessage="1" showErrorMessage="1" errorTitle="Invalid category" error="Category is not valid for this Transaction Type." promptTitle="Category" prompt="Income uses Income Categories. Expense uses Expense Categories. Leave blank for Transfer and Adjustment." sqref="G2:G200" xr:uid="{00000000-0002-0000-0700-000004000000}">
      <formula1>IF($C2="Income",rngIncomeCategories,IF($C2="Expense",rngExpenseCategories,rngBlank))</formula1>
    </dataValidation>
    <dataValidation type="list" allowBlank="1" showInputMessage="1" showErrorMessage="1" errorTitle="Invalid value" error="Select a value from the list." promptTitle="Select a value" prompt="Choose from the list." sqref="H2:H200" xr:uid="{00000000-0002-0000-0700-000005000000}">
      <formula1>rngIncomeSources</formula1>
    </dataValidation>
    <dataValidation type="custom" allowBlank="1" showInputMessage="1" showErrorMessage="1" errorTitle="Invalid amount or transfer" error="Amount must be positive, except signed non-zero Adjustments. Transfer Destination cannot match Source Account." promptTitle="Enter amount" prompt="Use a positive amount; Adjustments may be signed but not zero. Transfers cannot use the same Source and Destination account." sqref="I2:I200" xr:uid="{00000000-0002-0000-0700-000006000000}">
      <formula1>OR($I2="",AND(IF($C2="Adjustment",$I2&lt;&gt;0,$I2&gt;0),OR($C2&lt;&gt;"Transfer",$E2&lt;&gt;"Account",$D2="",$F2="",$D2&lt;&gt;$F2)))</formula1>
    </dataValidation>
    <dataValidation type="list" allowBlank="1" showInputMessage="1" showErrorMessage="1" errorTitle="Invalid value" error="Select a value from the list." promptTitle="Select a value" prompt="Choose from the list." sqref="J2:J200" xr:uid="{00000000-0002-0000-0700-000007000000}">
      <formula1>rngPaymentMethods</formula1>
    </dataValidation>
    <dataValidation type="list" allowBlank="1" showInputMessage="1" showErrorMessage="1" errorTitle="Invalid value" error="Select a value from the list." promptTitle="Select a value" prompt="Choose from the list." sqref="K2:K200" xr:uid="{00000000-0002-0000-0700-000008000000}">
      <formula1>rngTransactionStatus</formula1>
    </dataValidation>
    <dataValidation type="custom" allowBlank="1" showInputMessage="1" showErrorMessage="1" errorTitle="Notes required" error="Adjustment transactions require Notes." promptTitle="Notes" prompt="Required when Transaction Type is Adjustment." sqref="L2:L200" xr:uid="{00000000-0002-0000-0700-000009000000}">
      <formula1>OR($C2&lt;&gt;"Adjustment",LEN(TRIM($L2))&gt;0)</formula1>
    </dataValidation>
  </dataValidations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200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2" customWidth="1"/>
    <col min="2" max="2" width="24" customWidth="1"/>
    <col min="3" max="3" width="16" customWidth="1"/>
    <col min="4" max="4" width="18" customWidth="1"/>
    <col min="5" max="5" width="16" customWidth="1"/>
    <col min="6" max="6" width="20" customWidth="1"/>
    <col min="7" max="7" width="18" customWidth="1"/>
    <col min="8" max="8" width="26" customWidth="1"/>
    <col min="9" max="9" width="14" customWidth="1"/>
    <col min="10" max="10" width="12" customWidth="1"/>
    <col min="11" max="11" width="14" customWidth="1"/>
    <col min="12" max="12" width="18" customWidth="1"/>
  </cols>
  <sheetData>
    <row r="1" spans="1:12" x14ac:dyDescent="0.3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11</v>
      </c>
    </row>
    <row r="2" spans="1:12" x14ac:dyDescent="0.3">
      <c r="A2" s="1"/>
      <c r="B2" s="2"/>
      <c r="C2" s="2"/>
      <c r="D2" s="2"/>
      <c r="E2" s="2"/>
      <c r="F2" s="1">
        <f t="shared" ref="F2:F200" si="0">IF(tblGoals[[#This Row],[Goal ID]]="","",IFERROR(SUMPRODUCT((tblTransactions[Transaction Type]="Expense")*(tblTransactions[Destination Type]="Goal")*((tblTransactions[Transaction Status]="Completed")+(tblTransactions[Transaction Status]="Reconciled"))*(IFERROR(INDEX(tblGoals[Goal ID],MATCH(tblTransactions[Destination Name],tblGoals[Goal ID],0)),IFERROR(INDEX(tblGoals[Goal ID],MATCH(tblTransactions[Destination Name],tblGoals[Goal Name],0)),""))=tblGoals[[#This Row],[Goal ID]])*(tblTransactions[Amount])),0))</f>
      </c>
      <c r="G2" s="1">
        <f>MAX(0,tblGoals[[#This Row],[Target Amount]]-tblGoals[[#This Row],[Current Saved Amount]])</f>
        <v>0</v>
      </c>
      <c r="H2" s="2"/>
      <c r="I2" s="4"/>
      <c r="J2" s="2"/>
      <c r="K2" s="2"/>
      <c r="L2" s="2"/>
    </row>
    <row r="3" spans="1:12" x14ac:dyDescent="0.3">
      <c r="A3" s="1"/>
      <c r="B3" s="2"/>
      <c r="C3" s="2"/>
      <c r="D3" s="2"/>
      <c r="E3" s="2"/>
      <c r="F3" s="1">
        <f t="shared" si="0"/>
      </c>
      <c r="G3" s="1">
        <f>MAX(0,tblGoals[[#This Row],[Target Amount]]-tblGoals[[#This Row],[Current Saved Amount]])</f>
        <v>0</v>
      </c>
      <c r="H3" s="2"/>
      <c r="I3" s="4"/>
      <c r="J3" s="2"/>
      <c r="K3" s="2"/>
      <c r="L3" s="2"/>
    </row>
    <row r="4" spans="1:12" x14ac:dyDescent="0.3">
      <c r="A4" s="1"/>
      <c r="B4" s="2"/>
      <c r="C4" s="2"/>
      <c r="D4" s="2"/>
      <c r="E4" s="2"/>
      <c r="F4" s="1">
        <f t="shared" si="0"/>
      </c>
      <c r="G4" s="1">
        <f>MAX(0,tblGoals[[#This Row],[Target Amount]]-tblGoals[[#This Row],[Current Saved Amount]])</f>
        <v>0</v>
      </c>
      <c r="H4" s="2"/>
      <c r="I4" s="4"/>
      <c r="J4" s="2"/>
      <c r="K4" s="2"/>
      <c r="L4" s="2"/>
    </row>
    <row r="5" spans="1:12" x14ac:dyDescent="0.3">
      <c r="A5" s="1"/>
      <c r="B5" s="2"/>
      <c r="C5" s="2"/>
      <c r="D5" s="2"/>
      <c r="E5" s="2"/>
      <c r="F5" s="1">
        <f t="shared" si="0"/>
      </c>
      <c r="G5" s="1">
        <f>MAX(0,tblGoals[[#This Row],[Target Amount]]-tblGoals[[#This Row],[Current Saved Amount]])</f>
        <v>0</v>
      </c>
      <c r="H5" s="2"/>
      <c r="I5" s="4"/>
      <c r="J5" s="2"/>
      <c r="K5" s="2"/>
      <c r="L5" s="2"/>
    </row>
    <row r="6" spans="1:12" x14ac:dyDescent="0.3">
      <c r="A6" s="1"/>
      <c r="B6" s="2"/>
      <c r="C6" s="2"/>
      <c r="D6" s="2"/>
      <c r="E6" s="2"/>
      <c r="F6" s="1">
        <f t="shared" si="0"/>
      </c>
      <c r="G6" s="1">
        <f>MAX(0,tblGoals[[#This Row],[Target Amount]]-tblGoals[[#This Row],[Current Saved Amount]])</f>
        <v>0</v>
      </c>
      <c r="H6" s="2"/>
      <c r="I6" s="4"/>
      <c r="J6" s="2"/>
      <c r="K6" s="2"/>
      <c r="L6" s="2"/>
    </row>
    <row r="7" spans="1:12" x14ac:dyDescent="0.3">
      <c r="A7" s="1"/>
      <c r="B7" s="2"/>
      <c r="C7" s="2"/>
      <c r="D7" s="2"/>
      <c r="E7" s="2"/>
      <c r="F7" s="1">
        <f t="shared" si="0"/>
      </c>
      <c r="G7" s="1">
        <f>MAX(0,tblGoals[[#This Row],[Target Amount]]-tblGoals[[#This Row],[Current Saved Amount]])</f>
        <v>0</v>
      </c>
      <c r="H7" s="2"/>
      <c r="I7" s="4"/>
      <c r="J7" s="2"/>
      <c r="K7" s="2"/>
      <c r="L7" s="2"/>
    </row>
    <row r="8" spans="1:12" x14ac:dyDescent="0.3">
      <c r="A8" s="1"/>
      <c r="B8" s="2"/>
      <c r="C8" s="2"/>
      <c r="D8" s="2"/>
      <c r="E8" s="2"/>
      <c r="F8" s="1">
        <f t="shared" si="0"/>
      </c>
      <c r="G8" s="1">
        <f>MAX(0,tblGoals[[#This Row],[Target Amount]]-tblGoals[[#This Row],[Current Saved Amount]])</f>
        <v>0</v>
      </c>
      <c r="H8" s="2"/>
      <c r="I8" s="4"/>
      <c r="J8" s="2"/>
      <c r="K8" s="2"/>
      <c r="L8" s="2"/>
    </row>
    <row r="9" spans="1:12" x14ac:dyDescent="0.3">
      <c r="A9" s="1"/>
      <c r="B9" s="2"/>
      <c r="C9" s="2"/>
      <c r="D9" s="2"/>
      <c r="E9" s="2"/>
      <c r="F9" s="1">
        <f t="shared" si="0"/>
      </c>
      <c r="G9" s="1">
        <f>MAX(0,tblGoals[[#This Row],[Target Amount]]-tblGoals[[#This Row],[Current Saved Amount]])</f>
        <v>0</v>
      </c>
      <c r="H9" s="2"/>
      <c r="I9" s="4"/>
      <c r="J9" s="2"/>
      <c r="K9" s="2"/>
      <c r="L9" s="2"/>
    </row>
    <row r="10" spans="1:12" x14ac:dyDescent="0.3">
      <c r="A10" s="1"/>
      <c r="B10" s="2"/>
      <c r="C10" s="2"/>
      <c r="D10" s="2"/>
      <c r="E10" s="2"/>
      <c r="F10" s="1">
        <f t="shared" si="0"/>
      </c>
      <c r="G10" s="1">
        <f>MAX(0,tblGoals[[#This Row],[Target Amount]]-tblGoals[[#This Row],[Current Saved Amount]])</f>
        <v>0</v>
      </c>
      <c r="H10" s="2"/>
      <c r="I10" s="4"/>
      <c r="J10" s="2"/>
      <c r="K10" s="2"/>
      <c r="L10" s="2"/>
    </row>
    <row r="11" spans="1:12" x14ac:dyDescent="0.3">
      <c r="A11" s="1"/>
      <c r="B11" s="2"/>
      <c r="C11" s="2"/>
      <c r="D11" s="2"/>
      <c r="E11" s="2"/>
      <c r="F11" s="1">
        <f t="shared" si="0"/>
      </c>
      <c r="G11" s="1">
        <f>MAX(0,tblGoals[[#This Row],[Target Amount]]-tblGoals[[#This Row],[Current Saved Amount]])</f>
        <v>0</v>
      </c>
      <c r="H11" s="2"/>
      <c r="I11" s="4"/>
      <c r="J11" s="2"/>
      <c r="K11" s="2"/>
      <c r="L11" s="2"/>
    </row>
    <row r="12" spans="1:12" x14ac:dyDescent="0.3">
      <c r="A12" s="1"/>
      <c r="B12" s="2"/>
      <c r="C12" s="2"/>
      <c r="D12" s="2"/>
      <c r="E12" s="2"/>
      <c r="F12" s="1">
        <f t="shared" si="0"/>
      </c>
      <c r="G12" s="1">
        <f>MAX(0,tblGoals[[#This Row],[Target Amount]]-tblGoals[[#This Row],[Current Saved Amount]])</f>
        <v>0</v>
      </c>
      <c r="H12" s="2"/>
      <c r="I12" s="4"/>
      <c r="J12" s="2"/>
      <c r="K12" s="2"/>
      <c r="L12" s="2"/>
    </row>
    <row r="13" spans="1:12" x14ac:dyDescent="0.3">
      <c r="A13" s="1"/>
      <c r="B13" s="2"/>
      <c r="C13" s="2"/>
      <c r="D13" s="2"/>
      <c r="E13" s="2"/>
      <c r="F13" s="1">
        <f t="shared" si="0"/>
      </c>
      <c r="G13" s="1">
        <f>MAX(0,tblGoals[[#This Row],[Target Amount]]-tblGoals[[#This Row],[Current Saved Amount]])</f>
        <v>0</v>
      </c>
      <c r="H13" s="2"/>
      <c r="I13" s="4"/>
      <c r="J13" s="2"/>
      <c r="K13" s="2"/>
      <c r="L13" s="2"/>
    </row>
    <row r="14" spans="1:12" x14ac:dyDescent="0.3">
      <c r="A14" s="1"/>
      <c r="B14" s="2"/>
      <c r="C14" s="2"/>
      <c r="D14" s="2"/>
      <c r="E14" s="2"/>
      <c r="F14" s="1">
        <f t="shared" si="0"/>
      </c>
      <c r="G14" s="1">
        <f>MAX(0,tblGoals[[#This Row],[Target Amount]]-tblGoals[[#This Row],[Current Saved Amount]])</f>
        <v>0</v>
      </c>
      <c r="H14" s="2"/>
      <c r="I14" s="4"/>
      <c r="J14" s="2"/>
      <c r="K14" s="2"/>
      <c r="L14" s="2"/>
    </row>
    <row r="15" spans="1:12" x14ac:dyDescent="0.3">
      <c r="A15" s="1"/>
      <c r="B15" s="2"/>
      <c r="C15" s="2"/>
      <c r="D15" s="2"/>
      <c r="E15" s="2"/>
      <c r="F15" s="1">
        <f t="shared" si="0"/>
      </c>
      <c r="G15" s="1">
        <f>MAX(0,tblGoals[[#This Row],[Target Amount]]-tblGoals[[#This Row],[Current Saved Amount]])</f>
        <v>0</v>
      </c>
      <c r="H15" s="2"/>
      <c r="I15" s="4"/>
      <c r="J15" s="2"/>
      <c r="K15" s="2"/>
      <c r="L15" s="2"/>
    </row>
    <row r="16" spans="1:12" x14ac:dyDescent="0.3">
      <c r="A16" s="1"/>
      <c r="B16" s="2"/>
      <c r="C16" s="2"/>
      <c r="D16" s="2"/>
      <c r="E16" s="2"/>
      <c r="F16" s="1">
        <f t="shared" si="0"/>
      </c>
      <c r="G16" s="1">
        <f>MAX(0,tblGoals[[#This Row],[Target Amount]]-tblGoals[[#This Row],[Current Saved Amount]])</f>
        <v>0</v>
      </c>
      <c r="H16" s="2"/>
      <c r="I16" s="4"/>
      <c r="J16" s="2"/>
      <c r="K16" s="2"/>
      <c r="L16" s="2"/>
    </row>
    <row r="17" spans="1:12" x14ac:dyDescent="0.3">
      <c r="A17" s="1"/>
      <c r="B17" s="2"/>
      <c r="C17" s="2"/>
      <c r="D17" s="2"/>
      <c r="E17" s="2"/>
      <c r="F17" s="1">
        <f t="shared" si="0"/>
      </c>
      <c r="G17" s="1">
        <f>MAX(0,tblGoals[[#This Row],[Target Amount]]-tblGoals[[#This Row],[Current Saved Amount]])</f>
        <v>0</v>
      </c>
      <c r="H17" s="2"/>
      <c r="I17" s="4"/>
      <c r="J17" s="2"/>
      <c r="K17" s="2"/>
      <c r="L17" s="2"/>
    </row>
    <row r="18" spans="1:12" x14ac:dyDescent="0.3">
      <c r="A18" s="1"/>
      <c r="B18" s="2"/>
      <c r="C18" s="2"/>
      <c r="D18" s="2"/>
      <c r="E18" s="2"/>
      <c r="F18" s="1">
        <f t="shared" si="0"/>
      </c>
      <c r="G18" s="1">
        <f>MAX(0,tblGoals[[#This Row],[Target Amount]]-tblGoals[[#This Row],[Current Saved Amount]])</f>
        <v>0</v>
      </c>
      <c r="H18" s="2"/>
      <c r="I18" s="4"/>
      <c r="J18" s="2"/>
      <c r="K18" s="2"/>
      <c r="L18" s="2"/>
    </row>
    <row r="19" spans="1:12" x14ac:dyDescent="0.3">
      <c r="A19" s="1"/>
      <c r="B19" s="2"/>
      <c r="C19" s="2"/>
      <c r="D19" s="2"/>
      <c r="E19" s="2"/>
      <c r="F19" s="1">
        <f t="shared" si="0"/>
      </c>
      <c r="G19" s="1">
        <f>MAX(0,tblGoals[[#This Row],[Target Amount]]-tblGoals[[#This Row],[Current Saved Amount]])</f>
        <v>0</v>
      </c>
      <c r="H19" s="2"/>
      <c r="I19" s="4"/>
      <c r="J19" s="2"/>
      <c r="K19" s="2"/>
      <c r="L19" s="2"/>
    </row>
    <row r="20" spans="1:12" x14ac:dyDescent="0.3">
      <c r="A20" s="1"/>
      <c r="B20" s="2"/>
      <c r="C20" s="2"/>
      <c r="D20" s="2"/>
      <c r="E20" s="2"/>
      <c r="F20" s="1">
        <f t="shared" si="0"/>
      </c>
      <c r="G20" s="1">
        <f>MAX(0,tblGoals[[#This Row],[Target Amount]]-tblGoals[[#This Row],[Current Saved Amount]])</f>
        <v>0</v>
      </c>
      <c r="H20" s="2"/>
      <c r="I20" s="4"/>
      <c r="J20" s="2"/>
      <c r="K20" s="2"/>
      <c r="L20" s="2"/>
    </row>
    <row r="21" spans="1:12" x14ac:dyDescent="0.3">
      <c r="A21" s="1"/>
      <c r="B21" s="2"/>
      <c r="C21" s="2"/>
      <c r="D21" s="2"/>
      <c r="E21" s="2"/>
      <c r="F21" s="1">
        <f t="shared" si="0"/>
      </c>
      <c r="G21" s="1">
        <f>MAX(0,tblGoals[[#This Row],[Target Amount]]-tblGoals[[#This Row],[Current Saved Amount]])</f>
        <v>0</v>
      </c>
      <c r="H21" s="2"/>
      <c r="I21" s="4"/>
      <c r="J21" s="2"/>
      <c r="K21" s="2"/>
      <c r="L21" s="2"/>
    </row>
    <row r="22" spans="1:12" x14ac:dyDescent="0.3">
      <c r="A22" s="1"/>
      <c r="B22" s="2"/>
      <c r="C22" s="2"/>
      <c r="D22" s="2"/>
      <c r="E22" s="2"/>
      <c r="F22" s="1">
        <f t="shared" si="0"/>
      </c>
      <c r="G22" s="1">
        <f>MAX(0,tblGoals[[#This Row],[Target Amount]]-tblGoals[[#This Row],[Current Saved Amount]])</f>
        <v>0</v>
      </c>
      <c r="H22" s="2"/>
      <c r="I22" s="4"/>
      <c r="J22" s="2"/>
      <c r="K22" s="2"/>
      <c r="L22" s="2"/>
    </row>
    <row r="23" spans="1:12" x14ac:dyDescent="0.3">
      <c r="A23" s="1"/>
      <c r="B23" s="2"/>
      <c r="C23" s="2"/>
      <c r="D23" s="2"/>
      <c r="E23" s="2"/>
      <c r="F23" s="1">
        <f t="shared" si="0"/>
      </c>
      <c r="G23" s="1">
        <f>MAX(0,tblGoals[[#This Row],[Target Amount]]-tblGoals[[#This Row],[Current Saved Amount]])</f>
        <v>0</v>
      </c>
      <c r="H23" s="2"/>
      <c r="I23" s="4"/>
      <c r="J23" s="2"/>
      <c r="K23" s="2"/>
      <c r="L23" s="2"/>
    </row>
    <row r="24" spans="1:12" x14ac:dyDescent="0.3">
      <c r="A24" s="1"/>
      <c r="B24" s="2"/>
      <c r="C24" s="2"/>
      <c r="D24" s="2"/>
      <c r="E24" s="2"/>
      <c r="F24" s="1">
        <f t="shared" si="0"/>
      </c>
      <c r="G24" s="1">
        <f>MAX(0,tblGoals[[#This Row],[Target Amount]]-tblGoals[[#This Row],[Current Saved Amount]])</f>
        <v>0</v>
      </c>
      <c r="H24" s="2"/>
      <c r="I24" s="4"/>
      <c r="J24" s="2"/>
      <c r="K24" s="2"/>
      <c r="L24" s="2"/>
    </row>
    <row r="25" spans="1:12" x14ac:dyDescent="0.3">
      <c r="A25" s="1"/>
      <c r="B25" s="2"/>
      <c r="C25" s="2"/>
      <c r="D25" s="2"/>
      <c r="E25" s="2"/>
      <c r="F25" s="1">
        <f t="shared" si="0"/>
      </c>
      <c r="G25" s="1">
        <f>MAX(0,tblGoals[[#This Row],[Target Amount]]-tblGoals[[#This Row],[Current Saved Amount]])</f>
        <v>0</v>
      </c>
      <c r="H25" s="2"/>
      <c r="I25" s="4"/>
      <c r="J25" s="2"/>
      <c r="K25" s="2"/>
      <c r="L25" s="2"/>
    </row>
    <row r="26" spans="1:12" x14ac:dyDescent="0.3">
      <c r="A26" s="1"/>
      <c r="B26" s="2"/>
      <c r="C26" s="2"/>
      <c r="D26" s="2"/>
      <c r="E26" s="2"/>
      <c r="F26" s="1">
        <f t="shared" si="0"/>
      </c>
      <c r="G26" s="1">
        <f>MAX(0,tblGoals[[#This Row],[Target Amount]]-tblGoals[[#This Row],[Current Saved Amount]])</f>
        <v>0</v>
      </c>
      <c r="H26" s="2"/>
      <c r="I26" s="4"/>
      <c r="J26" s="2"/>
      <c r="K26" s="2"/>
      <c r="L26" s="2"/>
    </row>
    <row r="27" spans="1:12" x14ac:dyDescent="0.3">
      <c r="A27" s="1"/>
      <c r="B27" s="2"/>
      <c r="C27" s="2"/>
      <c r="D27" s="2"/>
      <c r="E27" s="2"/>
      <c r="F27" s="1">
        <f t="shared" si="0"/>
      </c>
      <c r="G27" s="1">
        <f>MAX(0,tblGoals[[#This Row],[Target Amount]]-tblGoals[[#This Row],[Current Saved Amount]])</f>
        <v>0</v>
      </c>
      <c r="H27" s="2"/>
      <c r="I27" s="4"/>
      <c r="J27" s="2"/>
      <c r="K27" s="2"/>
      <c r="L27" s="2"/>
    </row>
    <row r="28" spans="1:12" x14ac:dyDescent="0.3">
      <c r="A28" s="1"/>
      <c r="B28" s="2"/>
      <c r="C28" s="2"/>
      <c r="D28" s="2"/>
      <c r="E28" s="2"/>
      <c r="F28" s="1">
        <f t="shared" si="0"/>
      </c>
      <c r="G28" s="1">
        <f>MAX(0,tblGoals[[#This Row],[Target Amount]]-tblGoals[[#This Row],[Current Saved Amount]])</f>
        <v>0</v>
      </c>
      <c r="H28" s="2"/>
      <c r="I28" s="4"/>
      <c r="J28" s="2"/>
      <c r="K28" s="2"/>
      <c r="L28" s="2"/>
    </row>
    <row r="29" spans="1:12" x14ac:dyDescent="0.3">
      <c r="A29" s="1"/>
      <c r="B29" s="2"/>
      <c r="C29" s="2"/>
      <c r="D29" s="2"/>
      <c r="E29" s="2"/>
      <c r="F29" s="1">
        <f t="shared" si="0"/>
      </c>
      <c r="G29" s="1">
        <f>MAX(0,tblGoals[[#This Row],[Target Amount]]-tblGoals[[#This Row],[Current Saved Amount]])</f>
        <v>0</v>
      </c>
      <c r="H29" s="2"/>
      <c r="I29" s="4"/>
      <c r="J29" s="2"/>
      <c r="K29" s="2"/>
      <c r="L29" s="2"/>
    </row>
    <row r="30" spans="1:12" x14ac:dyDescent="0.3">
      <c r="A30" s="1"/>
      <c r="B30" s="2"/>
      <c r="C30" s="2"/>
      <c r="D30" s="2"/>
      <c r="E30" s="2"/>
      <c r="F30" s="1">
        <f t="shared" si="0"/>
      </c>
      <c r="G30" s="1">
        <f>MAX(0,tblGoals[[#This Row],[Target Amount]]-tblGoals[[#This Row],[Current Saved Amount]])</f>
        <v>0</v>
      </c>
      <c r="H30" s="2"/>
      <c r="I30" s="4"/>
      <c r="J30" s="2"/>
      <c r="K30" s="2"/>
      <c r="L30" s="2"/>
    </row>
    <row r="31" spans="1:12" x14ac:dyDescent="0.3">
      <c r="A31" s="1"/>
      <c r="B31" s="2"/>
      <c r="C31" s="2"/>
      <c r="D31" s="2"/>
      <c r="E31" s="2"/>
      <c r="F31" s="1">
        <f t="shared" si="0"/>
      </c>
      <c r="G31" s="1">
        <f>MAX(0,tblGoals[[#This Row],[Target Amount]]-tblGoals[[#This Row],[Current Saved Amount]])</f>
        <v>0</v>
      </c>
      <c r="H31" s="2"/>
      <c r="I31" s="4"/>
      <c r="J31" s="2"/>
      <c r="K31" s="2"/>
      <c r="L31" s="2"/>
    </row>
    <row r="32" spans="1:12" x14ac:dyDescent="0.3">
      <c r="A32" s="1"/>
      <c r="B32" s="2"/>
      <c r="C32" s="2"/>
      <c r="D32" s="2"/>
      <c r="E32" s="2"/>
      <c r="F32" s="1">
        <f t="shared" si="0"/>
      </c>
      <c r="G32" s="1">
        <f>MAX(0,tblGoals[[#This Row],[Target Amount]]-tblGoals[[#This Row],[Current Saved Amount]])</f>
        <v>0</v>
      </c>
      <c r="H32" s="2"/>
      <c r="I32" s="4"/>
      <c r="J32" s="2"/>
      <c r="K32" s="2"/>
      <c r="L32" s="2"/>
    </row>
    <row r="33" spans="1:12" x14ac:dyDescent="0.3">
      <c r="A33" s="1"/>
      <c r="B33" s="2"/>
      <c r="C33" s="2"/>
      <c r="D33" s="2"/>
      <c r="E33" s="2"/>
      <c r="F33" s="1">
        <f t="shared" si="0"/>
      </c>
      <c r="G33" s="1">
        <f>MAX(0,tblGoals[[#This Row],[Target Amount]]-tblGoals[[#This Row],[Current Saved Amount]])</f>
        <v>0</v>
      </c>
      <c r="H33" s="2"/>
      <c r="I33" s="4"/>
      <c r="J33" s="2"/>
      <c r="K33" s="2"/>
      <c r="L33" s="2"/>
    </row>
    <row r="34" spans="1:12" x14ac:dyDescent="0.3">
      <c r="A34" s="1"/>
      <c r="B34" s="2"/>
      <c r="C34" s="2"/>
      <c r="D34" s="2"/>
      <c r="E34" s="2"/>
      <c r="F34" s="1">
        <f t="shared" si="0"/>
      </c>
      <c r="G34" s="1">
        <f>MAX(0,tblGoals[[#This Row],[Target Amount]]-tblGoals[[#This Row],[Current Saved Amount]])</f>
        <v>0</v>
      </c>
      <c r="H34" s="2"/>
      <c r="I34" s="4"/>
      <c r="J34" s="2"/>
      <c r="K34" s="2"/>
      <c r="L34" s="2"/>
    </row>
    <row r="35" spans="1:12" x14ac:dyDescent="0.3">
      <c r="A35" s="1"/>
      <c r="B35" s="2"/>
      <c r="C35" s="2"/>
      <c r="D35" s="2"/>
      <c r="E35" s="2"/>
      <c r="F35" s="1">
        <f t="shared" si="0"/>
      </c>
      <c r="G35" s="1">
        <f>MAX(0,tblGoals[[#This Row],[Target Amount]]-tblGoals[[#This Row],[Current Saved Amount]])</f>
        <v>0</v>
      </c>
      <c r="H35" s="2"/>
      <c r="I35" s="4"/>
      <c r="J35" s="2"/>
      <c r="K35" s="2"/>
      <c r="L35" s="2"/>
    </row>
    <row r="36" spans="1:12" x14ac:dyDescent="0.3">
      <c r="A36" s="1"/>
      <c r="B36" s="2"/>
      <c r="C36" s="2"/>
      <c r="D36" s="2"/>
      <c r="E36" s="2"/>
      <c r="F36" s="1">
        <f t="shared" si="0"/>
      </c>
      <c r="G36" s="1">
        <f>MAX(0,tblGoals[[#This Row],[Target Amount]]-tblGoals[[#This Row],[Current Saved Amount]])</f>
        <v>0</v>
      </c>
      <c r="H36" s="2"/>
      <c r="I36" s="4"/>
      <c r="J36" s="2"/>
      <c r="K36" s="2"/>
      <c r="L36" s="2"/>
    </row>
    <row r="37" spans="1:12" x14ac:dyDescent="0.3">
      <c r="A37" s="1"/>
      <c r="B37" s="2"/>
      <c r="C37" s="2"/>
      <c r="D37" s="2"/>
      <c r="E37" s="2"/>
      <c r="F37" s="1">
        <f t="shared" si="0"/>
      </c>
      <c r="G37" s="1">
        <f>MAX(0,tblGoals[[#This Row],[Target Amount]]-tblGoals[[#This Row],[Current Saved Amount]])</f>
        <v>0</v>
      </c>
      <c r="H37" s="2"/>
      <c r="I37" s="4"/>
      <c r="J37" s="2"/>
      <c r="K37" s="2"/>
      <c r="L37" s="2"/>
    </row>
    <row r="38" spans="1:12" x14ac:dyDescent="0.3">
      <c r="A38" s="1"/>
      <c r="B38" s="2"/>
      <c r="C38" s="2"/>
      <c r="D38" s="2"/>
      <c r="E38" s="2"/>
      <c r="F38" s="1">
        <f t="shared" si="0"/>
      </c>
      <c r="G38" s="1">
        <f>MAX(0,tblGoals[[#This Row],[Target Amount]]-tblGoals[[#This Row],[Current Saved Amount]])</f>
        <v>0</v>
      </c>
      <c r="H38" s="2"/>
      <c r="I38" s="4"/>
      <c r="J38" s="2"/>
      <c r="K38" s="2"/>
      <c r="L38" s="2"/>
    </row>
    <row r="39" spans="1:12" x14ac:dyDescent="0.3">
      <c r="A39" s="1"/>
      <c r="B39" s="2"/>
      <c r="C39" s="2"/>
      <c r="D39" s="2"/>
      <c r="E39" s="2"/>
      <c r="F39" s="1">
        <f t="shared" si="0"/>
      </c>
      <c r="G39" s="1">
        <f>MAX(0,tblGoals[[#This Row],[Target Amount]]-tblGoals[[#This Row],[Current Saved Amount]])</f>
        <v>0</v>
      </c>
      <c r="H39" s="2"/>
      <c r="I39" s="4"/>
      <c r="J39" s="2"/>
      <c r="K39" s="2"/>
      <c r="L39" s="2"/>
    </row>
    <row r="40" spans="1:12" x14ac:dyDescent="0.3">
      <c r="A40" s="1"/>
      <c r="B40" s="2"/>
      <c r="C40" s="2"/>
      <c r="D40" s="2"/>
      <c r="E40" s="2"/>
      <c r="F40" s="1">
        <f t="shared" si="0"/>
      </c>
      <c r="G40" s="1">
        <f>MAX(0,tblGoals[[#This Row],[Target Amount]]-tblGoals[[#This Row],[Current Saved Amount]])</f>
        <v>0</v>
      </c>
      <c r="H40" s="2"/>
      <c r="I40" s="4"/>
      <c r="J40" s="2"/>
      <c r="K40" s="2"/>
      <c r="L40" s="2"/>
    </row>
    <row r="41" spans="1:12" x14ac:dyDescent="0.3">
      <c r="A41" s="1"/>
      <c r="B41" s="2"/>
      <c r="C41" s="2"/>
      <c r="D41" s="2"/>
      <c r="E41" s="2"/>
      <c r="F41" s="1">
        <f t="shared" si="0"/>
      </c>
      <c r="G41" s="1">
        <f>MAX(0,tblGoals[[#This Row],[Target Amount]]-tblGoals[[#This Row],[Current Saved Amount]])</f>
        <v>0</v>
      </c>
      <c r="H41" s="2"/>
      <c r="I41" s="4"/>
      <c r="J41" s="2"/>
      <c r="K41" s="2"/>
      <c r="L41" s="2"/>
    </row>
    <row r="42" spans="1:12" x14ac:dyDescent="0.3">
      <c r="A42" s="1"/>
      <c r="B42" s="2"/>
      <c r="C42" s="2"/>
      <c r="D42" s="2"/>
      <c r="E42" s="2"/>
      <c r="F42" s="1">
        <f t="shared" si="0"/>
      </c>
      <c r="G42" s="1">
        <f>MAX(0,tblGoals[[#This Row],[Target Amount]]-tblGoals[[#This Row],[Current Saved Amount]])</f>
        <v>0</v>
      </c>
      <c r="H42" s="2"/>
      <c r="I42" s="4"/>
      <c r="J42" s="2"/>
      <c r="K42" s="2"/>
      <c r="L42" s="2"/>
    </row>
    <row r="43" spans="1:12" x14ac:dyDescent="0.3">
      <c r="A43" s="1"/>
      <c r="B43" s="2"/>
      <c r="C43" s="2"/>
      <c r="D43" s="2"/>
      <c r="E43" s="2"/>
      <c r="F43" s="1">
        <f t="shared" si="0"/>
      </c>
      <c r="G43" s="1">
        <f>MAX(0,tblGoals[[#This Row],[Target Amount]]-tblGoals[[#This Row],[Current Saved Amount]])</f>
        <v>0</v>
      </c>
      <c r="H43" s="2"/>
      <c r="I43" s="4"/>
      <c r="J43" s="2"/>
      <c r="K43" s="2"/>
      <c r="L43" s="2"/>
    </row>
    <row r="44" spans="1:12" x14ac:dyDescent="0.3">
      <c r="A44" s="1"/>
      <c r="B44" s="2"/>
      <c r="C44" s="2"/>
      <c r="D44" s="2"/>
      <c r="E44" s="2"/>
      <c r="F44" s="1">
        <f t="shared" si="0"/>
      </c>
      <c r="G44" s="1">
        <f>MAX(0,tblGoals[[#This Row],[Target Amount]]-tblGoals[[#This Row],[Current Saved Amount]])</f>
        <v>0</v>
      </c>
      <c r="H44" s="2"/>
      <c r="I44" s="4"/>
      <c r="J44" s="2"/>
      <c r="K44" s="2"/>
      <c r="L44" s="2"/>
    </row>
    <row r="45" spans="1:12" x14ac:dyDescent="0.3">
      <c r="A45" s="1"/>
      <c r="B45" s="2"/>
      <c r="C45" s="2"/>
      <c r="D45" s="2"/>
      <c r="E45" s="2"/>
      <c r="F45" s="1">
        <f t="shared" si="0"/>
      </c>
      <c r="G45" s="1">
        <f>MAX(0,tblGoals[[#This Row],[Target Amount]]-tblGoals[[#This Row],[Current Saved Amount]])</f>
        <v>0</v>
      </c>
      <c r="H45" s="2"/>
      <c r="I45" s="4"/>
      <c r="J45" s="2"/>
      <c r="K45" s="2"/>
      <c r="L45" s="2"/>
    </row>
    <row r="46" spans="1:12" x14ac:dyDescent="0.3">
      <c r="A46" s="1"/>
      <c r="B46" s="2"/>
      <c r="C46" s="2"/>
      <c r="D46" s="2"/>
      <c r="E46" s="2"/>
      <c r="F46" s="1">
        <f t="shared" si="0"/>
      </c>
      <c r="G46" s="1">
        <f>MAX(0,tblGoals[[#This Row],[Target Amount]]-tblGoals[[#This Row],[Current Saved Amount]])</f>
        <v>0</v>
      </c>
      <c r="H46" s="2"/>
      <c r="I46" s="4"/>
      <c r="J46" s="2"/>
      <c r="K46" s="2"/>
      <c r="L46" s="2"/>
    </row>
    <row r="47" spans="1:12" x14ac:dyDescent="0.3">
      <c r="A47" s="1"/>
      <c r="B47" s="2"/>
      <c r="C47" s="2"/>
      <c r="D47" s="2"/>
      <c r="E47" s="2"/>
      <c r="F47" s="1">
        <f t="shared" si="0"/>
      </c>
      <c r="G47" s="1">
        <f>MAX(0,tblGoals[[#This Row],[Target Amount]]-tblGoals[[#This Row],[Current Saved Amount]])</f>
        <v>0</v>
      </c>
      <c r="H47" s="2"/>
      <c r="I47" s="4"/>
      <c r="J47" s="2"/>
      <c r="K47" s="2"/>
      <c r="L47" s="2"/>
    </row>
    <row r="48" spans="1:12" x14ac:dyDescent="0.3">
      <c r="A48" s="1"/>
      <c r="B48" s="2"/>
      <c r="C48" s="2"/>
      <c r="D48" s="2"/>
      <c r="E48" s="2"/>
      <c r="F48" s="1">
        <f t="shared" si="0"/>
      </c>
      <c r="G48" s="1">
        <f>MAX(0,tblGoals[[#This Row],[Target Amount]]-tblGoals[[#This Row],[Current Saved Amount]])</f>
        <v>0</v>
      </c>
      <c r="H48" s="2"/>
      <c r="I48" s="4"/>
      <c r="J48" s="2"/>
      <c r="K48" s="2"/>
      <c r="L48" s="2"/>
    </row>
    <row r="49" spans="1:12" x14ac:dyDescent="0.3">
      <c r="A49" s="1"/>
      <c r="B49" s="2"/>
      <c r="C49" s="2"/>
      <c r="D49" s="2"/>
      <c r="E49" s="2"/>
      <c r="F49" s="1">
        <f t="shared" si="0"/>
      </c>
      <c r="G49" s="1">
        <f>MAX(0,tblGoals[[#This Row],[Target Amount]]-tblGoals[[#This Row],[Current Saved Amount]])</f>
        <v>0</v>
      </c>
      <c r="H49" s="2"/>
      <c r="I49" s="4"/>
      <c r="J49" s="2"/>
      <c r="K49" s="2"/>
      <c r="L49" s="2"/>
    </row>
    <row r="50" spans="1:12" x14ac:dyDescent="0.3">
      <c r="A50" s="1"/>
      <c r="B50" s="2"/>
      <c r="C50" s="2"/>
      <c r="D50" s="2"/>
      <c r="E50" s="2"/>
      <c r="F50" s="1">
        <f t="shared" si="0"/>
      </c>
      <c r="G50" s="1">
        <f>MAX(0,tblGoals[[#This Row],[Target Amount]]-tblGoals[[#This Row],[Current Saved Amount]])</f>
        <v>0</v>
      </c>
      <c r="H50" s="2"/>
      <c r="I50" s="4"/>
      <c r="J50" s="2"/>
      <c r="K50" s="2"/>
      <c r="L50" s="2"/>
    </row>
    <row r="51" spans="1:12" x14ac:dyDescent="0.3">
      <c r="A51" s="1"/>
      <c r="B51" s="2"/>
      <c r="C51" s="2"/>
      <c r="D51" s="2"/>
      <c r="E51" s="2"/>
      <c r="F51" s="1">
        <f t="shared" si="0"/>
      </c>
      <c r="G51" s="1">
        <f>MAX(0,tblGoals[[#This Row],[Target Amount]]-tblGoals[[#This Row],[Current Saved Amount]])</f>
        <v>0</v>
      </c>
      <c r="H51" s="2"/>
      <c r="I51" s="4"/>
      <c r="J51" s="2"/>
      <c r="K51" s="2"/>
      <c r="L51" s="2"/>
    </row>
    <row r="52" spans="1:12" x14ac:dyDescent="0.3">
      <c r="A52" s="1"/>
      <c r="B52" s="2"/>
      <c r="C52" s="2"/>
      <c r="D52" s="2"/>
      <c r="E52" s="2"/>
      <c r="F52" s="1">
        <f t="shared" si="0"/>
      </c>
      <c r="G52" s="1">
        <f>MAX(0,tblGoals[[#This Row],[Target Amount]]-tblGoals[[#This Row],[Current Saved Amount]])</f>
        <v>0</v>
      </c>
      <c r="H52" s="2"/>
      <c r="I52" s="4"/>
      <c r="J52" s="2"/>
      <c r="K52" s="2"/>
      <c r="L52" s="2"/>
    </row>
    <row r="53" spans="1:12" x14ac:dyDescent="0.3">
      <c r="A53" s="1"/>
      <c r="B53" s="2"/>
      <c r="C53" s="2"/>
      <c r="D53" s="2"/>
      <c r="E53" s="2"/>
      <c r="F53" s="1">
        <f t="shared" si="0"/>
      </c>
      <c r="G53" s="1">
        <f>MAX(0,tblGoals[[#This Row],[Target Amount]]-tblGoals[[#This Row],[Current Saved Amount]])</f>
        <v>0</v>
      </c>
      <c r="H53" s="2"/>
      <c r="I53" s="4"/>
      <c r="J53" s="2"/>
      <c r="K53" s="2"/>
      <c r="L53" s="2"/>
    </row>
    <row r="54" spans="1:12" x14ac:dyDescent="0.3">
      <c r="A54" s="1"/>
      <c r="B54" s="2"/>
      <c r="C54" s="2"/>
      <c r="D54" s="2"/>
      <c r="E54" s="2"/>
      <c r="F54" s="1">
        <f t="shared" si="0"/>
      </c>
      <c r="G54" s="1">
        <f>MAX(0,tblGoals[[#This Row],[Target Amount]]-tblGoals[[#This Row],[Current Saved Amount]])</f>
        <v>0</v>
      </c>
      <c r="H54" s="2"/>
      <c r="I54" s="4"/>
      <c r="J54" s="2"/>
      <c r="K54" s="2"/>
      <c r="L54" s="2"/>
    </row>
    <row r="55" spans="1:12" x14ac:dyDescent="0.3">
      <c r="A55" s="1"/>
      <c r="B55" s="2"/>
      <c r="C55" s="2"/>
      <c r="D55" s="2"/>
      <c r="E55" s="2"/>
      <c r="F55" s="1">
        <f t="shared" si="0"/>
      </c>
      <c r="G55" s="1">
        <f>MAX(0,tblGoals[[#This Row],[Target Amount]]-tblGoals[[#This Row],[Current Saved Amount]])</f>
        <v>0</v>
      </c>
      <c r="H55" s="2"/>
      <c r="I55" s="4"/>
      <c r="J55" s="2"/>
      <c r="K55" s="2"/>
      <c r="L55" s="2"/>
    </row>
    <row r="56" spans="1:12" x14ac:dyDescent="0.3">
      <c r="A56" s="1"/>
      <c r="B56" s="2"/>
      <c r="C56" s="2"/>
      <c r="D56" s="2"/>
      <c r="E56" s="2"/>
      <c r="F56" s="1">
        <f t="shared" si="0"/>
      </c>
      <c r="G56" s="1">
        <f>MAX(0,tblGoals[[#This Row],[Target Amount]]-tblGoals[[#This Row],[Current Saved Amount]])</f>
        <v>0</v>
      </c>
      <c r="H56" s="2"/>
      <c r="I56" s="4"/>
      <c r="J56" s="2"/>
      <c r="K56" s="2"/>
      <c r="L56" s="2"/>
    </row>
    <row r="57" spans="1:12" x14ac:dyDescent="0.3">
      <c r="A57" s="1"/>
      <c r="B57" s="2"/>
      <c r="C57" s="2"/>
      <c r="D57" s="2"/>
      <c r="E57" s="2"/>
      <c r="F57" s="1">
        <f t="shared" si="0"/>
      </c>
      <c r="G57" s="1">
        <f>MAX(0,tblGoals[[#This Row],[Target Amount]]-tblGoals[[#This Row],[Current Saved Amount]])</f>
        <v>0</v>
      </c>
      <c r="H57" s="2"/>
      <c r="I57" s="4"/>
      <c r="J57" s="2"/>
      <c r="K57" s="2"/>
      <c r="L57" s="2"/>
    </row>
    <row r="58" spans="1:12" x14ac:dyDescent="0.3">
      <c r="A58" s="1"/>
      <c r="B58" s="2"/>
      <c r="C58" s="2"/>
      <c r="D58" s="2"/>
      <c r="E58" s="2"/>
      <c r="F58" s="1">
        <f t="shared" si="0"/>
      </c>
      <c r="G58" s="1">
        <f>MAX(0,tblGoals[[#This Row],[Target Amount]]-tblGoals[[#This Row],[Current Saved Amount]])</f>
        <v>0</v>
      </c>
      <c r="H58" s="2"/>
      <c r="I58" s="4"/>
      <c r="J58" s="2"/>
      <c r="K58" s="2"/>
      <c r="L58" s="2"/>
    </row>
    <row r="59" spans="1:12" x14ac:dyDescent="0.3">
      <c r="A59" s="1"/>
      <c r="B59" s="2"/>
      <c r="C59" s="2"/>
      <c r="D59" s="2"/>
      <c r="E59" s="2"/>
      <c r="F59" s="1">
        <f t="shared" si="0"/>
      </c>
      <c r="G59" s="1">
        <f>MAX(0,tblGoals[[#This Row],[Target Amount]]-tblGoals[[#This Row],[Current Saved Amount]])</f>
        <v>0</v>
      </c>
      <c r="H59" s="2"/>
      <c r="I59" s="4"/>
      <c r="J59" s="2"/>
      <c r="K59" s="2"/>
      <c r="L59" s="2"/>
    </row>
    <row r="60" spans="1:12" x14ac:dyDescent="0.3">
      <c r="A60" s="1"/>
      <c r="B60" s="2"/>
      <c r="C60" s="2"/>
      <c r="D60" s="2"/>
      <c r="E60" s="2"/>
      <c r="F60" s="1">
        <f t="shared" si="0"/>
      </c>
      <c r="G60" s="1">
        <f>MAX(0,tblGoals[[#This Row],[Target Amount]]-tblGoals[[#This Row],[Current Saved Amount]])</f>
        <v>0</v>
      </c>
      <c r="H60" s="2"/>
      <c r="I60" s="4"/>
      <c r="J60" s="2"/>
      <c r="K60" s="2"/>
      <c r="L60" s="2"/>
    </row>
    <row r="61" spans="1:12" x14ac:dyDescent="0.3">
      <c r="A61" s="1"/>
      <c r="B61" s="2"/>
      <c r="C61" s="2"/>
      <c r="D61" s="2"/>
      <c r="E61" s="2"/>
      <c r="F61" s="1">
        <f t="shared" si="0"/>
      </c>
      <c r="G61" s="1">
        <f>MAX(0,tblGoals[[#This Row],[Target Amount]]-tblGoals[[#This Row],[Current Saved Amount]])</f>
        <v>0</v>
      </c>
      <c r="H61" s="2"/>
      <c r="I61" s="4"/>
      <c r="J61" s="2"/>
      <c r="K61" s="2"/>
      <c r="L61" s="2"/>
    </row>
    <row r="62" spans="1:12" x14ac:dyDescent="0.3">
      <c r="A62" s="1"/>
      <c r="B62" s="2"/>
      <c r="C62" s="2"/>
      <c r="D62" s="2"/>
      <c r="E62" s="2"/>
      <c r="F62" s="1">
        <f t="shared" si="0"/>
      </c>
      <c r="G62" s="1">
        <f>MAX(0,tblGoals[[#This Row],[Target Amount]]-tblGoals[[#This Row],[Current Saved Amount]])</f>
        <v>0</v>
      </c>
      <c r="H62" s="2"/>
      <c r="I62" s="4"/>
      <c r="J62" s="2"/>
      <c r="K62" s="2"/>
      <c r="L62" s="2"/>
    </row>
    <row r="63" spans="1:12" x14ac:dyDescent="0.3">
      <c r="A63" s="1"/>
      <c r="B63" s="2"/>
      <c r="C63" s="2"/>
      <c r="D63" s="2"/>
      <c r="E63" s="2"/>
      <c r="F63" s="1">
        <f t="shared" si="0"/>
      </c>
      <c r="G63" s="1">
        <f>MAX(0,tblGoals[[#This Row],[Target Amount]]-tblGoals[[#This Row],[Current Saved Amount]])</f>
        <v>0</v>
      </c>
      <c r="H63" s="2"/>
      <c r="I63" s="4"/>
      <c r="J63" s="2"/>
      <c r="K63" s="2"/>
      <c r="L63" s="2"/>
    </row>
    <row r="64" spans="1:12" x14ac:dyDescent="0.3">
      <c r="A64" s="1"/>
      <c r="B64" s="2"/>
      <c r="C64" s="2"/>
      <c r="D64" s="2"/>
      <c r="E64" s="2"/>
      <c r="F64" s="1">
        <f t="shared" si="0"/>
      </c>
      <c r="G64" s="1">
        <f>MAX(0,tblGoals[[#This Row],[Target Amount]]-tblGoals[[#This Row],[Current Saved Amount]])</f>
        <v>0</v>
      </c>
      <c r="H64" s="2"/>
      <c r="I64" s="4"/>
      <c r="J64" s="2"/>
      <c r="K64" s="2"/>
      <c r="L64" s="2"/>
    </row>
    <row r="65" spans="1:12" x14ac:dyDescent="0.3">
      <c r="A65" s="1"/>
      <c r="B65" s="2"/>
      <c r="C65" s="2"/>
      <c r="D65" s="2"/>
      <c r="E65" s="2"/>
      <c r="F65" s="1">
        <f t="shared" si="0"/>
      </c>
      <c r="G65" s="1">
        <f>MAX(0,tblGoals[[#This Row],[Target Amount]]-tblGoals[[#This Row],[Current Saved Amount]])</f>
        <v>0</v>
      </c>
      <c r="H65" s="2"/>
      <c r="I65" s="4"/>
      <c r="J65" s="2"/>
      <c r="K65" s="2"/>
      <c r="L65" s="2"/>
    </row>
    <row r="66" spans="1:12" x14ac:dyDescent="0.3">
      <c r="A66" s="1"/>
      <c r="B66" s="2"/>
      <c r="C66" s="2"/>
      <c r="D66" s="2"/>
      <c r="E66" s="2"/>
      <c r="F66" s="1">
        <f t="shared" si="0"/>
      </c>
      <c r="G66" s="1">
        <f>MAX(0,tblGoals[[#This Row],[Target Amount]]-tblGoals[[#This Row],[Current Saved Amount]])</f>
        <v>0</v>
      </c>
      <c r="H66" s="2"/>
      <c r="I66" s="4"/>
      <c r="J66" s="2"/>
      <c r="K66" s="2"/>
      <c r="L66" s="2"/>
    </row>
    <row r="67" spans="1:12" x14ac:dyDescent="0.3">
      <c r="A67" s="1"/>
      <c r="B67" s="2"/>
      <c r="C67" s="2"/>
      <c r="D67" s="2"/>
      <c r="E67" s="2"/>
      <c r="F67" s="1">
        <f t="shared" si="0"/>
      </c>
      <c r="G67" s="1">
        <f>MAX(0,tblGoals[[#This Row],[Target Amount]]-tblGoals[[#This Row],[Current Saved Amount]])</f>
        <v>0</v>
      </c>
      <c r="H67" s="2"/>
      <c r="I67" s="4"/>
      <c r="J67" s="2"/>
      <c r="K67" s="2"/>
      <c r="L67" s="2"/>
    </row>
    <row r="68" spans="1:12" x14ac:dyDescent="0.3">
      <c r="A68" s="1"/>
      <c r="B68" s="2"/>
      <c r="C68" s="2"/>
      <c r="D68" s="2"/>
      <c r="E68" s="2"/>
      <c r="F68" s="1">
        <f t="shared" si="0"/>
      </c>
      <c r="G68" s="1">
        <f>MAX(0,tblGoals[[#This Row],[Target Amount]]-tblGoals[[#This Row],[Current Saved Amount]])</f>
        <v>0</v>
      </c>
      <c r="H68" s="2"/>
      <c r="I68" s="4"/>
      <c r="J68" s="2"/>
      <c r="K68" s="2"/>
      <c r="L68" s="2"/>
    </row>
    <row r="69" spans="1:12" x14ac:dyDescent="0.3">
      <c r="A69" s="1"/>
      <c r="B69" s="2"/>
      <c r="C69" s="2"/>
      <c r="D69" s="2"/>
      <c r="E69" s="2"/>
      <c r="F69" s="1">
        <f t="shared" si="0"/>
      </c>
      <c r="G69" s="1">
        <f>MAX(0,tblGoals[[#This Row],[Target Amount]]-tblGoals[[#This Row],[Current Saved Amount]])</f>
        <v>0</v>
      </c>
      <c r="H69" s="2"/>
      <c r="I69" s="4"/>
      <c r="J69" s="2"/>
      <c r="K69" s="2"/>
      <c r="L69" s="2"/>
    </row>
    <row r="70" spans="1:12" x14ac:dyDescent="0.3">
      <c r="A70" s="1"/>
      <c r="B70" s="2"/>
      <c r="C70" s="2"/>
      <c r="D70" s="2"/>
      <c r="E70" s="2"/>
      <c r="F70" s="1">
        <f t="shared" si="0"/>
      </c>
      <c r="G70" s="1">
        <f>MAX(0,tblGoals[[#This Row],[Target Amount]]-tblGoals[[#This Row],[Current Saved Amount]])</f>
        <v>0</v>
      </c>
      <c r="H70" s="2"/>
      <c r="I70" s="4"/>
      <c r="J70" s="2"/>
      <c r="K70" s="2"/>
      <c r="L70" s="2"/>
    </row>
    <row r="71" spans="1:12" x14ac:dyDescent="0.3">
      <c r="A71" s="1"/>
      <c r="B71" s="2"/>
      <c r="C71" s="2"/>
      <c r="D71" s="2"/>
      <c r="E71" s="2"/>
      <c r="F71" s="1">
        <f t="shared" si="0"/>
      </c>
      <c r="G71" s="1">
        <f>MAX(0,tblGoals[[#This Row],[Target Amount]]-tblGoals[[#This Row],[Current Saved Amount]])</f>
        <v>0</v>
      </c>
      <c r="H71" s="2"/>
      <c r="I71" s="4"/>
      <c r="J71" s="2"/>
      <c r="K71" s="2"/>
      <c r="L71" s="2"/>
    </row>
    <row r="72" spans="1:12" x14ac:dyDescent="0.3">
      <c r="A72" s="1"/>
      <c r="B72" s="2"/>
      <c r="C72" s="2"/>
      <c r="D72" s="2"/>
      <c r="E72" s="2"/>
      <c r="F72" s="1">
        <f t="shared" si="0"/>
      </c>
      <c r="G72" s="1">
        <f>MAX(0,tblGoals[[#This Row],[Target Amount]]-tblGoals[[#This Row],[Current Saved Amount]])</f>
        <v>0</v>
      </c>
      <c r="H72" s="2"/>
      <c r="I72" s="4"/>
      <c r="J72" s="2"/>
      <c r="K72" s="2"/>
      <c r="L72" s="2"/>
    </row>
    <row r="73" spans="1:12" x14ac:dyDescent="0.3">
      <c r="A73" s="1"/>
      <c r="B73" s="2"/>
      <c r="C73" s="2"/>
      <c r="D73" s="2"/>
      <c r="E73" s="2"/>
      <c r="F73" s="1">
        <f t="shared" si="0"/>
      </c>
      <c r="G73" s="1">
        <f>MAX(0,tblGoals[[#This Row],[Target Amount]]-tblGoals[[#This Row],[Current Saved Amount]])</f>
        <v>0</v>
      </c>
      <c r="H73" s="2"/>
      <c r="I73" s="4"/>
      <c r="J73" s="2"/>
      <c r="K73" s="2"/>
      <c r="L73" s="2"/>
    </row>
    <row r="74" spans="1:12" x14ac:dyDescent="0.3">
      <c r="A74" s="1"/>
      <c r="B74" s="2"/>
      <c r="C74" s="2"/>
      <c r="D74" s="2"/>
      <c r="E74" s="2"/>
      <c r="F74" s="1">
        <f t="shared" si="0"/>
      </c>
      <c r="G74" s="1">
        <f>MAX(0,tblGoals[[#This Row],[Target Amount]]-tblGoals[[#This Row],[Current Saved Amount]])</f>
        <v>0</v>
      </c>
      <c r="H74" s="2"/>
      <c r="I74" s="4"/>
      <c r="J74" s="2"/>
      <c r="K74" s="2"/>
      <c r="L74" s="2"/>
    </row>
    <row r="75" spans="1:12" x14ac:dyDescent="0.3">
      <c r="A75" s="1"/>
      <c r="B75" s="2"/>
      <c r="C75" s="2"/>
      <c r="D75" s="2"/>
      <c r="E75" s="2"/>
      <c r="F75" s="1">
        <f t="shared" si="0"/>
      </c>
      <c r="G75" s="1">
        <f>MAX(0,tblGoals[[#This Row],[Target Amount]]-tblGoals[[#This Row],[Current Saved Amount]])</f>
        <v>0</v>
      </c>
      <c r="H75" s="2"/>
      <c r="I75" s="4"/>
      <c r="J75" s="2"/>
      <c r="K75" s="2"/>
      <c r="L75" s="2"/>
    </row>
    <row r="76" spans="1:12" x14ac:dyDescent="0.3">
      <c r="A76" s="1"/>
      <c r="B76" s="2"/>
      <c r="C76" s="2"/>
      <c r="D76" s="2"/>
      <c r="E76" s="2"/>
      <c r="F76" s="1">
        <f t="shared" si="0"/>
      </c>
      <c r="G76" s="1">
        <f>MAX(0,tblGoals[[#This Row],[Target Amount]]-tblGoals[[#This Row],[Current Saved Amount]])</f>
        <v>0</v>
      </c>
      <c r="H76" s="2"/>
      <c r="I76" s="4"/>
      <c r="J76" s="2"/>
      <c r="K76" s="2"/>
      <c r="L76" s="2"/>
    </row>
    <row r="77" spans="1:12" x14ac:dyDescent="0.3">
      <c r="A77" s="1"/>
      <c r="B77" s="2"/>
      <c r="C77" s="2"/>
      <c r="D77" s="2"/>
      <c r="E77" s="2"/>
      <c r="F77" s="1">
        <f t="shared" si="0"/>
      </c>
      <c r="G77" s="1">
        <f>MAX(0,tblGoals[[#This Row],[Target Amount]]-tblGoals[[#This Row],[Current Saved Amount]])</f>
        <v>0</v>
      </c>
      <c r="H77" s="2"/>
      <c r="I77" s="4"/>
      <c r="J77" s="2"/>
      <c r="K77" s="2"/>
      <c r="L77" s="2"/>
    </row>
    <row r="78" spans="1:12" x14ac:dyDescent="0.3">
      <c r="A78" s="1"/>
      <c r="B78" s="2"/>
      <c r="C78" s="2"/>
      <c r="D78" s="2"/>
      <c r="E78" s="2"/>
      <c r="F78" s="1">
        <f t="shared" si="0"/>
      </c>
      <c r="G78" s="1">
        <f>MAX(0,tblGoals[[#This Row],[Target Amount]]-tblGoals[[#This Row],[Current Saved Amount]])</f>
        <v>0</v>
      </c>
      <c r="H78" s="2"/>
      <c r="I78" s="4"/>
      <c r="J78" s="2"/>
      <c r="K78" s="2"/>
      <c r="L78" s="2"/>
    </row>
    <row r="79" spans="1:12" x14ac:dyDescent="0.3">
      <c r="A79" s="1"/>
      <c r="B79" s="2"/>
      <c r="C79" s="2"/>
      <c r="D79" s="2"/>
      <c r="E79" s="2"/>
      <c r="F79" s="1">
        <f t="shared" si="0"/>
      </c>
      <c r="G79" s="1">
        <f>MAX(0,tblGoals[[#This Row],[Target Amount]]-tblGoals[[#This Row],[Current Saved Amount]])</f>
        <v>0</v>
      </c>
      <c r="H79" s="2"/>
      <c r="I79" s="4"/>
      <c r="J79" s="2"/>
      <c r="K79" s="2"/>
      <c r="L79" s="2"/>
    </row>
    <row r="80" spans="1:12" x14ac:dyDescent="0.3">
      <c r="A80" s="1"/>
      <c r="B80" s="2"/>
      <c r="C80" s="2"/>
      <c r="D80" s="2"/>
      <c r="E80" s="2"/>
      <c r="F80" s="1">
        <f t="shared" si="0"/>
      </c>
      <c r="G80" s="1">
        <f>MAX(0,tblGoals[[#This Row],[Target Amount]]-tblGoals[[#This Row],[Current Saved Amount]])</f>
        <v>0</v>
      </c>
      <c r="H80" s="2"/>
      <c r="I80" s="4"/>
      <c r="J80" s="2"/>
      <c r="K80" s="2"/>
      <c r="L80" s="2"/>
    </row>
    <row r="81" spans="1:12" x14ac:dyDescent="0.3">
      <c r="A81" s="1"/>
      <c r="B81" s="2"/>
      <c r="C81" s="2"/>
      <c r="D81" s="2"/>
      <c r="E81" s="2"/>
      <c r="F81" s="1">
        <f t="shared" si="0"/>
      </c>
      <c r="G81" s="1">
        <f>MAX(0,tblGoals[[#This Row],[Target Amount]]-tblGoals[[#This Row],[Current Saved Amount]])</f>
        <v>0</v>
      </c>
      <c r="H81" s="2"/>
      <c r="I81" s="4"/>
      <c r="J81" s="2"/>
      <c r="K81" s="2"/>
      <c r="L81" s="2"/>
    </row>
    <row r="82" spans="1:12" x14ac:dyDescent="0.3">
      <c r="A82" s="1"/>
      <c r="B82" s="2"/>
      <c r="C82" s="2"/>
      <c r="D82" s="2"/>
      <c r="E82" s="2"/>
      <c r="F82" s="1">
        <f t="shared" si="0"/>
      </c>
      <c r="G82" s="1">
        <f>MAX(0,tblGoals[[#This Row],[Target Amount]]-tblGoals[[#This Row],[Current Saved Amount]])</f>
        <v>0</v>
      </c>
      <c r="H82" s="2"/>
      <c r="I82" s="4"/>
      <c r="J82" s="2"/>
      <c r="K82" s="2"/>
      <c r="L82" s="2"/>
    </row>
    <row r="83" spans="1:12" x14ac:dyDescent="0.3">
      <c r="A83" s="1"/>
      <c r="B83" s="2"/>
      <c r="C83" s="2"/>
      <c r="D83" s="2"/>
      <c r="E83" s="2"/>
      <c r="F83" s="1">
        <f t="shared" si="0"/>
      </c>
      <c r="G83" s="1">
        <f>MAX(0,tblGoals[[#This Row],[Target Amount]]-tblGoals[[#This Row],[Current Saved Amount]])</f>
        <v>0</v>
      </c>
      <c r="H83" s="2"/>
      <c r="I83" s="4"/>
      <c r="J83" s="2"/>
      <c r="K83" s="2"/>
      <c r="L83" s="2"/>
    </row>
    <row r="84" spans="1:12" x14ac:dyDescent="0.3">
      <c r="A84" s="1"/>
      <c r="B84" s="2"/>
      <c r="C84" s="2"/>
      <c r="D84" s="2"/>
      <c r="E84" s="2"/>
      <c r="F84" s="1">
        <f t="shared" si="0"/>
      </c>
      <c r="G84" s="1">
        <f>MAX(0,tblGoals[[#This Row],[Target Amount]]-tblGoals[[#This Row],[Current Saved Amount]])</f>
        <v>0</v>
      </c>
      <c r="H84" s="2"/>
      <c r="I84" s="4"/>
      <c r="J84" s="2"/>
      <c r="K84" s="2"/>
      <c r="L84" s="2"/>
    </row>
    <row r="85" spans="1:12" x14ac:dyDescent="0.3">
      <c r="A85" s="1"/>
      <c r="B85" s="2"/>
      <c r="C85" s="2"/>
      <c r="D85" s="2"/>
      <c r="E85" s="2"/>
      <c r="F85" s="1">
        <f t="shared" si="0"/>
      </c>
      <c r="G85" s="1">
        <f>MAX(0,tblGoals[[#This Row],[Target Amount]]-tblGoals[[#This Row],[Current Saved Amount]])</f>
        <v>0</v>
      </c>
      <c r="H85" s="2"/>
      <c r="I85" s="4"/>
      <c r="J85" s="2"/>
      <c r="K85" s="2"/>
      <c r="L85" s="2"/>
    </row>
    <row r="86" spans="1:12" x14ac:dyDescent="0.3">
      <c r="A86" s="1"/>
      <c r="B86" s="2"/>
      <c r="C86" s="2"/>
      <c r="D86" s="2"/>
      <c r="E86" s="2"/>
      <c r="F86" s="1">
        <f t="shared" si="0"/>
      </c>
      <c r="G86" s="1">
        <f>MAX(0,tblGoals[[#This Row],[Target Amount]]-tblGoals[[#This Row],[Current Saved Amount]])</f>
        <v>0</v>
      </c>
      <c r="H86" s="2"/>
      <c r="I86" s="4"/>
      <c r="J86" s="2"/>
      <c r="K86" s="2"/>
      <c r="L86" s="2"/>
    </row>
    <row r="87" spans="1:12" x14ac:dyDescent="0.3">
      <c r="A87" s="1"/>
      <c r="B87" s="2"/>
      <c r="C87" s="2"/>
      <c r="D87" s="2"/>
      <c r="E87" s="2"/>
      <c r="F87" s="1">
        <f t="shared" si="0"/>
      </c>
      <c r="G87" s="1">
        <f>MAX(0,tblGoals[[#This Row],[Target Amount]]-tblGoals[[#This Row],[Current Saved Amount]])</f>
        <v>0</v>
      </c>
      <c r="H87" s="2"/>
      <c r="I87" s="4"/>
      <c r="J87" s="2"/>
      <c r="K87" s="2"/>
      <c r="L87" s="2"/>
    </row>
    <row r="88" spans="1:12" x14ac:dyDescent="0.3">
      <c r="A88" s="1"/>
      <c r="B88" s="2"/>
      <c r="C88" s="2"/>
      <c r="D88" s="2"/>
      <c r="E88" s="2"/>
      <c r="F88" s="1">
        <f t="shared" si="0"/>
      </c>
      <c r="G88" s="1">
        <f>MAX(0,tblGoals[[#This Row],[Target Amount]]-tblGoals[[#This Row],[Current Saved Amount]])</f>
        <v>0</v>
      </c>
      <c r="H88" s="2"/>
      <c r="I88" s="4"/>
      <c r="J88" s="2"/>
      <c r="K88" s="2"/>
      <c r="L88" s="2"/>
    </row>
    <row r="89" spans="1:12" x14ac:dyDescent="0.3">
      <c r="A89" s="1"/>
      <c r="B89" s="2"/>
      <c r="C89" s="2"/>
      <c r="D89" s="2"/>
      <c r="E89" s="2"/>
      <c r="F89" s="1">
        <f t="shared" si="0"/>
      </c>
      <c r="G89" s="1">
        <f>MAX(0,tblGoals[[#This Row],[Target Amount]]-tblGoals[[#This Row],[Current Saved Amount]])</f>
        <v>0</v>
      </c>
      <c r="H89" s="2"/>
      <c r="I89" s="4"/>
      <c r="J89" s="2"/>
      <c r="K89" s="2"/>
      <c r="L89" s="2"/>
    </row>
    <row r="90" spans="1:12" x14ac:dyDescent="0.3">
      <c r="A90" s="1"/>
      <c r="B90" s="2"/>
      <c r="C90" s="2"/>
      <c r="D90" s="2"/>
      <c r="E90" s="2"/>
      <c r="F90" s="1">
        <f t="shared" si="0"/>
      </c>
      <c r="G90" s="1">
        <f>MAX(0,tblGoals[[#This Row],[Target Amount]]-tblGoals[[#This Row],[Current Saved Amount]])</f>
        <v>0</v>
      </c>
      <c r="H90" s="2"/>
      <c r="I90" s="4"/>
      <c r="J90" s="2"/>
      <c r="K90" s="2"/>
      <c r="L90" s="2"/>
    </row>
    <row r="91" spans="1:12" x14ac:dyDescent="0.3">
      <c r="A91" s="1"/>
      <c r="B91" s="2"/>
      <c r="C91" s="2"/>
      <c r="D91" s="2"/>
      <c r="E91" s="2"/>
      <c r="F91" s="1">
        <f t="shared" si="0"/>
      </c>
      <c r="G91" s="1">
        <f>MAX(0,tblGoals[[#This Row],[Target Amount]]-tblGoals[[#This Row],[Current Saved Amount]])</f>
        <v>0</v>
      </c>
      <c r="H91" s="2"/>
      <c r="I91" s="4"/>
      <c r="J91" s="2"/>
      <c r="K91" s="2"/>
      <c r="L91" s="2"/>
    </row>
    <row r="92" spans="1:12" x14ac:dyDescent="0.3">
      <c r="A92" s="1"/>
      <c r="B92" s="2"/>
      <c r="C92" s="2"/>
      <c r="D92" s="2"/>
      <c r="E92" s="2"/>
      <c r="F92" s="1">
        <f t="shared" si="0"/>
      </c>
      <c r="G92" s="1">
        <f>MAX(0,tblGoals[[#This Row],[Target Amount]]-tblGoals[[#This Row],[Current Saved Amount]])</f>
        <v>0</v>
      </c>
      <c r="H92" s="2"/>
      <c r="I92" s="4"/>
      <c r="J92" s="2"/>
      <c r="K92" s="2"/>
      <c r="L92" s="2"/>
    </row>
    <row r="93" spans="1:12" x14ac:dyDescent="0.3">
      <c r="A93" s="1"/>
      <c r="B93" s="2"/>
      <c r="C93" s="2"/>
      <c r="D93" s="2"/>
      <c r="E93" s="2"/>
      <c r="F93" s="1">
        <f t="shared" si="0"/>
      </c>
      <c r="G93" s="1">
        <f>MAX(0,tblGoals[[#This Row],[Target Amount]]-tblGoals[[#This Row],[Current Saved Amount]])</f>
        <v>0</v>
      </c>
      <c r="H93" s="2"/>
      <c r="I93" s="4"/>
      <c r="J93" s="2"/>
      <c r="K93" s="2"/>
      <c r="L93" s="2"/>
    </row>
    <row r="94" spans="1:12" x14ac:dyDescent="0.3">
      <c r="A94" s="1"/>
      <c r="B94" s="2"/>
      <c r="C94" s="2"/>
      <c r="D94" s="2"/>
      <c r="E94" s="2"/>
      <c r="F94" s="1">
        <f t="shared" si="0"/>
      </c>
      <c r="G94" s="1">
        <f>MAX(0,tblGoals[[#This Row],[Target Amount]]-tblGoals[[#This Row],[Current Saved Amount]])</f>
        <v>0</v>
      </c>
      <c r="H94" s="2"/>
      <c r="I94" s="4"/>
      <c r="J94" s="2"/>
      <c r="K94" s="2"/>
      <c r="L94" s="2"/>
    </row>
    <row r="95" spans="1:12" x14ac:dyDescent="0.3">
      <c r="A95" s="1"/>
      <c r="B95" s="2"/>
      <c r="C95" s="2"/>
      <c r="D95" s="2"/>
      <c r="E95" s="2"/>
      <c r="F95" s="1">
        <f t="shared" si="0"/>
      </c>
      <c r="G95" s="1">
        <f>MAX(0,tblGoals[[#This Row],[Target Amount]]-tblGoals[[#This Row],[Current Saved Amount]])</f>
        <v>0</v>
      </c>
      <c r="H95" s="2"/>
      <c r="I95" s="4"/>
      <c r="J95" s="2"/>
      <c r="K95" s="2"/>
      <c r="L95" s="2"/>
    </row>
    <row r="96" spans="1:12" x14ac:dyDescent="0.3">
      <c r="A96" s="1"/>
      <c r="B96" s="2"/>
      <c r="C96" s="2"/>
      <c r="D96" s="2"/>
      <c r="E96" s="2"/>
      <c r="F96" s="1">
        <f t="shared" si="0"/>
      </c>
      <c r="G96" s="1">
        <f>MAX(0,tblGoals[[#This Row],[Target Amount]]-tblGoals[[#This Row],[Current Saved Amount]])</f>
        <v>0</v>
      </c>
      <c r="H96" s="2"/>
      <c r="I96" s="4"/>
      <c r="J96" s="2"/>
      <c r="K96" s="2"/>
      <c r="L96" s="2"/>
    </row>
    <row r="97" spans="1:12" x14ac:dyDescent="0.3">
      <c r="A97" s="1"/>
      <c r="B97" s="2"/>
      <c r="C97" s="2"/>
      <c r="D97" s="2"/>
      <c r="E97" s="2"/>
      <c r="F97" s="1">
        <f t="shared" si="0"/>
      </c>
      <c r="G97" s="1">
        <f>MAX(0,tblGoals[[#This Row],[Target Amount]]-tblGoals[[#This Row],[Current Saved Amount]])</f>
        <v>0</v>
      </c>
      <c r="H97" s="2"/>
      <c r="I97" s="4"/>
      <c r="J97" s="2"/>
      <c r="K97" s="2"/>
      <c r="L97" s="2"/>
    </row>
    <row r="98" spans="1:12" x14ac:dyDescent="0.3">
      <c r="A98" s="1"/>
      <c r="B98" s="2"/>
      <c r="C98" s="2"/>
      <c r="D98" s="2"/>
      <c r="E98" s="2"/>
      <c r="F98" s="1">
        <f t="shared" si="0"/>
      </c>
      <c r="G98" s="1">
        <f>MAX(0,tblGoals[[#This Row],[Target Amount]]-tblGoals[[#This Row],[Current Saved Amount]])</f>
        <v>0</v>
      </c>
      <c r="H98" s="2"/>
      <c r="I98" s="4"/>
      <c r="J98" s="2"/>
      <c r="K98" s="2"/>
      <c r="L98" s="2"/>
    </row>
    <row r="99" spans="1:12" x14ac:dyDescent="0.3">
      <c r="A99" s="1"/>
      <c r="B99" s="2"/>
      <c r="C99" s="2"/>
      <c r="D99" s="2"/>
      <c r="E99" s="2"/>
      <c r="F99" s="1">
        <f t="shared" si="0"/>
      </c>
      <c r="G99" s="1">
        <f>MAX(0,tblGoals[[#This Row],[Target Amount]]-tblGoals[[#This Row],[Current Saved Amount]])</f>
        <v>0</v>
      </c>
      <c r="H99" s="2"/>
      <c r="I99" s="4"/>
      <c r="J99" s="2"/>
      <c r="K99" s="2"/>
      <c r="L99" s="2"/>
    </row>
    <row r="100" spans="1:12" x14ac:dyDescent="0.3">
      <c r="A100" s="1"/>
      <c r="B100" s="2"/>
      <c r="C100" s="2"/>
      <c r="D100" s="2"/>
      <c r="E100" s="2"/>
      <c r="F100" s="1">
        <f t="shared" si="0"/>
      </c>
      <c r="G100" s="1">
        <f>MAX(0,tblGoals[[#This Row],[Target Amount]]-tblGoals[[#This Row],[Current Saved Amount]])</f>
        <v>0</v>
      </c>
      <c r="H100" s="2"/>
      <c r="I100" s="4"/>
      <c r="J100" s="2"/>
      <c r="K100" s="2"/>
      <c r="L100" s="2"/>
    </row>
    <row r="101" spans="1:12" x14ac:dyDescent="0.3">
      <c r="A101" s="1"/>
      <c r="B101" s="2"/>
      <c r="C101" s="2"/>
      <c r="D101" s="2"/>
      <c r="E101" s="2"/>
      <c r="F101" s="1">
        <f t="shared" si="0"/>
      </c>
      <c r="G101" s="1">
        <f>MAX(0,tblGoals[[#This Row],[Target Amount]]-tblGoals[[#This Row],[Current Saved Amount]])</f>
        <v>0</v>
      </c>
      <c r="H101" s="2"/>
      <c r="I101" s="4"/>
      <c r="J101" s="2"/>
      <c r="K101" s="2"/>
      <c r="L101" s="2"/>
    </row>
    <row r="102" spans="1:12" x14ac:dyDescent="0.3">
      <c r="A102" s="1"/>
      <c r="B102" s="2"/>
      <c r="C102" s="2"/>
      <c r="D102" s="2"/>
      <c r="E102" s="2"/>
      <c r="F102" s="1">
        <f t="shared" si="0"/>
      </c>
      <c r="G102" s="1">
        <f>MAX(0,tblGoals[[#This Row],[Target Amount]]-tblGoals[[#This Row],[Current Saved Amount]])</f>
        <v>0</v>
      </c>
      <c r="H102" s="2"/>
      <c r="I102" s="4"/>
      <c r="J102" s="2"/>
      <c r="K102" s="2"/>
      <c r="L102" s="2"/>
    </row>
    <row r="103" spans="1:12" x14ac:dyDescent="0.3">
      <c r="A103" s="1"/>
      <c r="B103" s="2"/>
      <c r="C103" s="2"/>
      <c r="D103" s="2"/>
      <c r="E103" s="2"/>
      <c r="F103" s="1">
        <f t="shared" si="0"/>
      </c>
      <c r="G103" s="1">
        <f>MAX(0,tblGoals[[#This Row],[Target Amount]]-tblGoals[[#This Row],[Current Saved Amount]])</f>
        <v>0</v>
      </c>
      <c r="H103" s="2"/>
      <c r="I103" s="4"/>
      <c r="J103" s="2"/>
      <c r="K103" s="2"/>
      <c r="L103" s="2"/>
    </row>
    <row r="104" spans="1:12" x14ac:dyDescent="0.3">
      <c r="A104" s="1"/>
      <c r="B104" s="2"/>
      <c r="C104" s="2"/>
      <c r="D104" s="2"/>
      <c r="E104" s="2"/>
      <c r="F104" s="1">
        <f t="shared" si="0"/>
      </c>
      <c r="G104" s="1">
        <f>MAX(0,tblGoals[[#This Row],[Target Amount]]-tblGoals[[#This Row],[Current Saved Amount]])</f>
        <v>0</v>
      </c>
      <c r="H104" s="2"/>
      <c r="I104" s="4"/>
      <c r="J104" s="2"/>
      <c r="K104" s="2"/>
      <c r="L104" s="2"/>
    </row>
    <row r="105" spans="1:12" x14ac:dyDescent="0.3">
      <c r="A105" s="1"/>
      <c r="B105" s="2"/>
      <c r="C105" s="2"/>
      <c r="D105" s="2"/>
      <c r="E105" s="2"/>
      <c r="F105" s="1">
        <f t="shared" si="0"/>
      </c>
      <c r="G105" s="1">
        <f>MAX(0,tblGoals[[#This Row],[Target Amount]]-tblGoals[[#This Row],[Current Saved Amount]])</f>
        <v>0</v>
      </c>
      <c r="H105" s="2"/>
      <c r="I105" s="4"/>
      <c r="J105" s="2"/>
      <c r="K105" s="2"/>
      <c r="L105" s="2"/>
    </row>
    <row r="106" spans="1:12" x14ac:dyDescent="0.3">
      <c r="A106" s="1"/>
      <c r="B106" s="2"/>
      <c r="C106" s="2"/>
      <c r="D106" s="2"/>
      <c r="E106" s="2"/>
      <c r="F106" s="1">
        <f t="shared" si="0"/>
      </c>
      <c r="G106" s="1">
        <f>MAX(0,tblGoals[[#This Row],[Target Amount]]-tblGoals[[#This Row],[Current Saved Amount]])</f>
        <v>0</v>
      </c>
      <c r="H106" s="2"/>
      <c r="I106" s="4"/>
      <c r="J106" s="2"/>
      <c r="K106" s="2"/>
      <c r="L106" s="2"/>
    </row>
    <row r="107" spans="1:12" x14ac:dyDescent="0.3">
      <c r="A107" s="1"/>
      <c r="B107" s="2"/>
      <c r="C107" s="2"/>
      <c r="D107" s="2"/>
      <c r="E107" s="2"/>
      <c r="F107" s="1">
        <f t="shared" si="0"/>
      </c>
      <c r="G107" s="1">
        <f>MAX(0,tblGoals[[#This Row],[Target Amount]]-tblGoals[[#This Row],[Current Saved Amount]])</f>
        <v>0</v>
      </c>
      <c r="H107" s="2"/>
      <c r="I107" s="4"/>
      <c r="J107" s="2"/>
      <c r="K107" s="2"/>
      <c r="L107" s="2"/>
    </row>
    <row r="108" spans="1:12" x14ac:dyDescent="0.3">
      <c r="A108" s="1"/>
      <c r="B108" s="2"/>
      <c r="C108" s="2"/>
      <c r="D108" s="2"/>
      <c r="E108" s="2"/>
      <c r="F108" s="1">
        <f t="shared" si="0"/>
      </c>
      <c r="G108" s="1">
        <f>MAX(0,tblGoals[[#This Row],[Target Amount]]-tblGoals[[#This Row],[Current Saved Amount]])</f>
        <v>0</v>
      </c>
      <c r="H108" s="2"/>
      <c r="I108" s="4"/>
      <c r="J108" s="2"/>
      <c r="K108" s="2"/>
      <c r="L108" s="2"/>
    </row>
    <row r="109" spans="1:12" x14ac:dyDescent="0.3">
      <c r="A109" s="1"/>
      <c r="B109" s="2"/>
      <c r="C109" s="2"/>
      <c r="D109" s="2"/>
      <c r="E109" s="2"/>
      <c r="F109" s="1">
        <f t="shared" si="0"/>
      </c>
      <c r="G109" s="1">
        <f>MAX(0,tblGoals[[#This Row],[Target Amount]]-tblGoals[[#This Row],[Current Saved Amount]])</f>
        <v>0</v>
      </c>
      <c r="H109" s="2"/>
      <c r="I109" s="4"/>
      <c r="J109" s="2"/>
      <c r="K109" s="2"/>
      <c r="L109" s="2"/>
    </row>
    <row r="110" spans="1:12" x14ac:dyDescent="0.3">
      <c r="A110" s="1"/>
      <c r="B110" s="2"/>
      <c r="C110" s="2"/>
      <c r="D110" s="2"/>
      <c r="E110" s="2"/>
      <c r="F110" s="1">
        <f t="shared" si="0"/>
      </c>
      <c r="G110" s="1">
        <f>MAX(0,tblGoals[[#This Row],[Target Amount]]-tblGoals[[#This Row],[Current Saved Amount]])</f>
        <v>0</v>
      </c>
      <c r="H110" s="2"/>
      <c r="I110" s="4"/>
      <c r="J110" s="2"/>
      <c r="K110" s="2"/>
      <c r="L110" s="2"/>
    </row>
    <row r="111" spans="1:12" x14ac:dyDescent="0.3">
      <c r="A111" s="1"/>
      <c r="B111" s="2"/>
      <c r="C111" s="2"/>
      <c r="D111" s="2"/>
      <c r="E111" s="2"/>
      <c r="F111" s="1">
        <f t="shared" si="0"/>
      </c>
      <c r="G111" s="1">
        <f>MAX(0,tblGoals[[#This Row],[Target Amount]]-tblGoals[[#This Row],[Current Saved Amount]])</f>
        <v>0</v>
      </c>
      <c r="H111" s="2"/>
      <c r="I111" s="4"/>
      <c r="J111" s="2"/>
      <c r="K111" s="2"/>
      <c r="L111" s="2"/>
    </row>
    <row r="112" spans="1:12" x14ac:dyDescent="0.3">
      <c r="A112" s="1"/>
      <c r="B112" s="2"/>
      <c r="C112" s="2"/>
      <c r="D112" s="2"/>
      <c r="E112" s="2"/>
      <c r="F112" s="1">
        <f t="shared" si="0"/>
      </c>
      <c r="G112" s="1">
        <f>MAX(0,tblGoals[[#This Row],[Target Amount]]-tblGoals[[#This Row],[Current Saved Amount]])</f>
        <v>0</v>
      </c>
      <c r="H112" s="2"/>
      <c r="I112" s="4"/>
      <c r="J112" s="2"/>
      <c r="K112" s="2"/>
      <c r="L112" s="2"/>
    </row>
    <row r="113" spans="1:12" x14ac:dyDescent="0.3">
      <c r="A113" s="1"/>
      <c r="B113" s="2"/>
      <c r="C113" s="2"/>
      <c r="D113" s="2"/>
      <c r="E113" s="2"/>
      <c r="F113" s="1">
        <f t="shared" si="0"/>
      </c>
      <c r="G113" s="1">
        <f>MAX(0,tblGoals[[#This Row],[Target Amount]]-tblGoals[[#This Row],[Current Saved Amount]])</f>
        <v>0</v>
      </c>
      <c r="H113" s="2"/>
      <c r="I113" s="4"/>
      <c r="J113" s="2"/>
      <c r="K113" s="2"/>
      <c r="L113" s="2"/>
    </row>
    <row r="114" spans="1:12" x14ac:dyDescent="0.3">
      <c r="A114" s="1"/>
      <c r="B114" s="2"/>
      <c r="C114" s="2"/>
      <c r="D114" s="2"/>
      <c r="E114" s="2"/>
      <c r="F114" s="1">
        <f t="shared" si="0"/>
      </c>
      <c r="G114" s="1">
        <f>MAX(0,tblGoals[[#This Row],[Target Amount]]-tblGoals[[#This Row],[Current Saved Amount]])</f>
        <v>0</v>
      </c>
      <c r="H114" s="2"/>
      <c r="I114" s="4"/>
      <c r="J114" s="2"/>
      <c r="K114" s="2"/>
      <c r="L114" s="2"/>
    </row>
    <row r="115" spans="1:12" x14ac:dyDescent="0.3">
      <c r="A115" s="1"/>
      <c r="B115" s="2"/>
      <c r="C115" s="2"/>
      <c r="D115" s="2"/>
      <c r="E115" s="2"/>
      <c r="F115" s="1">
        <f t="shared" si="0"/>
      </c>
      <c r="G115" s="1">
        <f>MAX(0,tblGoals[[#This Row],[Target Amount]]-tblGoals[[#This Row],[Current Saved Amount]])</f>
        <v>0</v>
      </c>
      <c r="H115" s="2"/>
      <c r="I115" s="4"/>
      <c r="J115" s="2"/>
      <c r="K115" s="2"/>
      <c r="L115" s="2"/>
    </row>
    <row r="116" spans="1:12" x14ac:dyDescent="0.3">
      <c r="A116" s="1"/>
      <c r="B116" s="2"/>
      <c r="C116" s="2"/>
      <c r="D116" s="2"/>
      <c r="E116" s="2"/>
      <c r="F116" s="1">
        <f t="shared" si="0"/>
      </c>
      <c r="G116" s="1">
        <f>MAX(0,tblGoals[[#This Row],[Target Amount]]-tblGoals[[#This Row],[Current Saved Amount]])</f>
        <v>0</v>
      </c>
      <c r="H116" s="2"/>
      <c r="I116" s="4"/>
      <c r="J116" s="2"/>
      <c r="K116" s="2"/>
      <c r="L116" s="2"/>
    </row>
    <row r="117" spans="1:12" x14ac:dyDescent="0.3">
      <c r="A117" s="1"/>
      <c r="B117" s="2"/>
      <c r="C117" s="2"/>
      <c r="D117" s="2"/>
      <c r="E117" s="2"/>
      <c r="F117" s="1">
        <f t="shared" si="0"/>
      </c>
      <c r="G117" s="1">
        <f>MAX(0,tblGoals[[#This Row],[Target Amount]]-tblGoals[[#This Row],[Current Saved Amount]])</f>
        <v>0</v>
      </c>
      <c r="H117" s="2"/>
      <c r="I117" s="4"/>
      <c r="J117" s="2"/>
      <c r="K117" s="2"/>
      <c r="L117" s="2"/>
    </row>
    <row r="118" spans="1:12" x14ac:dyDescent="0.3">
      <c r="A118" s="1"/>
      <c r="B118" s="2"/>
      <c r="C118" s="2"/>
      <c r="D118" s="2"/>
      <c r="E118" s="2"/>
      <c r="F118" s="1">
        <f t="shared" si="0"/>
      </c>
      <c r="G118" s="1">
        <f>MAX(0,tblGoals[[#This Row],[Target Amount]]-tblGoals[[#This Row],[Current Saved Amount]])</f>
        <v>0</v>
      </c>
      <c r="H118" s="2"/>
      <c r="I118" s="4"/>
      <c r="J118" s="2"/>
      <c r="K118" s="2"/>
      <c r="L118" s="2"/>
    </row>
    <row r="119" spans="1:12" x14ac:dyDescent="0.3">
      <c r="A119" s="1"/>
      <c r="B119" s="2"/>
      <c r="C119" s="2"/>
      <c r="D119" s="2"/>
      <c r="E119" s="2"/>
      <c r="F119" s="1">
        <f t="shared" si="0"/>
      </c>
      <c r="G119" s="1">
        <f>MAX(0,tblGoals[[#This Row],[Target Amount]]-tblGoals[[#This Row],[Current Saved Amount]])</f>
        <v>0</v>
      </c>
      <c r="H119" s="2"/>
      <c r="I119" s="4"/>
      <c r="J119" s="2"/>
      <c r="K119" s="2"/>
      <c r="L119" s="2"/>
    </row>
    <row r="120" spans="1:12" x14ac:dyDescent="0.3">
      <c r="A120" s="1"/>
      <c r="B120" s="2"/>
      <c r="C120" s="2"/>
      <c r="D120" s="2"/>
      <c r="E120" s="2"/>
      <c r="F120" s="1">
        <f t="shared" si="0"/>
      </c>
      <c r="G120" s="1">
        <f>MAX(0,tblGoals[[#This Row],[Target Amount]]-tblGoals[[#This Row],[Current Saved Amount]])</f>
        <v>0</v>
      </c>
      <c r="H120" s="2"/>
      <c r="I120" s="4"/>
      <c r="J120" s="2"/>
      <c r="K120" s="2"/>
      <c r="L120" s="2"/>
    </row>
    <row r="121" spans="1:12" x14ac:dyDescent="0.3">
      <c r="A121" s="1"/>
      <c r="B121" s="2"/>
      <c r="C121" s="2"/>
      <c r="D121" s="2"/>
      <c r="E121" s="2"/>
      <c r="F121" s="1">
        <f t="shared" si="0"/>
      </c>
      <c r="G121" s="1">
        <f>MAX(0,tblGoals[[#This Row],[Target Amount]]-tblGoals[[#This Row],[Current Saved Amount]])</f>
        <v>0</v>
      </c>
      <c r="H121" s="2"/>
      <c r="I121" s="4"/>
      <c r="J121" s="2"/>
      <c r="K121" s="2"/>
      <c r="L121" s="2"/>
    </row>
    <row r="122" spans="1:12" x14ac:dyDescent="0.3">
      <c r="A122" s="1"/>
      <c r="B122" s="2"/>
      <c r="C122" s="2"/>
      <c r="D122" s="2"/>
      <c r="E122" s="2"/>
      <c r="F122" s="1">
        <f t="shared" si="0"/>
      </c>
      <c r="G122" s="1">
        <f>MAX(0,tblGoals[[#This Row],[Target Amount]]-tblGoals[[#This Row],[Current Saved Amount]])</f>
        <v>0</v>
      </c>
      <c r="H122" s="2"/>
      <c r="I122" s="4"/>
      <c r="J122" s="2"/>
      <c r="K122" s="2"/>
      <c r="L122" s="2"/>
    </row>
    <row r="123" spans="1:12" x14ac:dyDescent="0.3">
      <c r="A123" s="1"/>
      <c r="B123" s="2"/>
      <c r="C123" s="2"/>
      <c r="D123" s="2"/>
      <c r="E123" s="2"/>
      <c r="F123" s="1">
        <f t="shared" si="0"/>
      </c>
      <c r="G123" s="1">
        <f>MAX(0,tblGoals[[#This Row],[Target Amount]]-tblGoals[[#This Row],[Current Saved Amount]])</f>
        <v>0</v>
      </c>
      <c r="H123" s="2"/>
      <c r="I123" s="4"/>
      <c r="J123" s="2"/>
      <c r="K123" s="2"/>
      <c r="L123" s="2"/>
    </row>
    <row r="124" spans="1:12" x14ac:dyDescent="0.3">
      <c r="A124" s="1"/>
      <c r="B124" s="2"/>
      <c r="C124" s="2"/>
      <c r="D124" s="2"/>
      <c r="E124" s="2"/>
      <c r="F124" s="1">
        <f t="shared" si="0"/>
      </c>
      <c r="G124" s="1">
        <f>MAX(0,tblGoals[[#This Row],[Target Amount]]-tblGoals[[#This Row],[Current Saved Amount]])</f>
        <v>0</v>
      </c>
      <c r="H124" s="2"/>
      <c r="I124" s="4"/>
      <c r="J124" s="2"/>
      <c r="K124" s="2"/>
      <c r="L124" s="2"/>
    </row>
    <row r="125" spans="1:12" x14ac:dyDescent="0.3">
      <c r="A125" s="1"/>
      <c r="B125" s="2"/>
      <c r="C125" s="2"/>
      <c r="D125" s="2"/>
      <c r="E125" s="2"/>
      <c r="F125" s="1">
        <f t="shared" si="0"/>
      </c>
      <c r="G125" s="1">
        <f>MAX(0,tblGoals[[#This Row],[Target Amount]]-tblGoals[[#This Row],[Current Saved Amount]])</f>
        <v>0</v>
      </c>
      <c r="H125" s="2"/>
      <c r="I125" s="4"/>
      <c r="J125" s="2"/>
      <c r="K125" s="2"/>
      <c r="L125" s="2"/>
    </row>
    <row r="126" spans="1:12" x14ac:dyDescent="0.3">
      <c r="A126" s="1"/>
      <c r="B126" s="2"/>
      <c r="C126" s="2"/>
      <c r="D126" s="2"/>
      <c r="E126" s="2"/>
      <c r="F126" s="1">
        <f t="shared" si="0"/>
      </c>
      <c r="G126" s="1">
        <f>MAX(0,tblGoals[[#This Row],[Target Amount]]-tblGoals[[#This Row],[Current Saved Amount]])</f>
        <v>0</v>
      </c>
      <c r="H126" s="2"/>
      <c r="I126" s="4"/>
      <c r="J126" s="2"/>
      <c r="K126" s="2"/>
      <c r="L126" s="2"/>
    </row>
    <row r="127" spans="1:12" x14ac:dyDescent="0.3">
      <c r="A127" s="1"/>
      <c r="B127" s="2"/>
      <c r="C127" s="2"/>
      <c r="D127" s="2"/>
      <c r="E127" s="2"/>
      <c r="F127" s="1">
        <f t="shared" si="0"/>
      </c>
      <c r="G127" s="1">
        <f>MAX(0,tblGoals[[#This Row],[Target Amount]]-tblGoals[[#This Row],[Current Saved Amount]])</f>
        <v>0</v>
      </c>
      <c r="H127" s="2"/>
      <c r="I127" s="4"/>
      <c r="J127" s="2"/>
      <c r="K127" s="2"/>
      <c r="L127" s="2"/>
    </row>
    <row r="128" spans="1:12" x14ac:dyDescent="0.3">
      <c r="A128" s="1"/>
      <c r="B128" s="2"/>
      <c r="C128" s="2"/>
      <c r="D128" s="2"/>
      <c r="E128" s="2"/>
      <c r="F128" s="1">
        <f t="shared" si="0"/>
      </c>
      <c r="G128" s="1">
        <f>MAX(0,tblGoals[[#This Row],[Target Amount]]-tblGoals[[#This Row],[Current Saved Amount]])</f>
        <v>0</v>
      </c>
      <c r="H128" s="2"/>
      <c r="I128" s="4"/>
      <c r="J128" s="2"/>
      <c r="K128" s="2"/>
      <c r="L128" s="2"/>
    </row>
    <row r="129" spans="1:12" x14ac:dyDescent="0.3">
      <c r="A129" s="1"/>
      <c r="B129" s="2"/>
      <c r="C129" s="2"/>
      <c r="D129" s="2"/>
      <c r="E129" s="2"/>
      <c r="F129" s="1">
        <f t="shared" si="0"/>
      </c>
      <c r="G129" s="1">
        <f>MAX(0,tblGoals[[#This Row],[Target Amount]]-tblGoals[[#This Row],[Current Saved Amount]])</f>
        <v>0</v>
      </c>
      <c r="H129" s="2"/>
      <c r="I129" s="4"/>
      <c r="J129" s="2"/>
      <c r="K129" s="2"/>
      <c r="L129" s="2"/>
    </row>
    <row r="130" spans="1:12" x14ac:dyDescent="0.3">
      <c r="A130" s="1"/>
      <c r="B130" s="2"/>
      <c r="C130" s="2"/>
      <c r="D130" s="2"/>
      <c r="E130" s="2"/>
      <c r="F130" s="1">
        <f t="shared" si="0"/>
      </c>
      <c r="G130" s="1">
        <f>MAX(0,tblGoals[[#This Row],[Target Amount]]-tblGoals[[#This Row],[Current Saved Amount]])</f>
        <v>0</v>
      </c>
      <c r="H130" s="2"/>
      <c r="I130" s="4"/>
      <c r="J130" s="2"/>
      <c r="K130" s="2"/>
      <c r="L130" s="2"/>
    </row>
    <row r="131" spans="1:12" x14ac:dyDescent="0.3">
      <c r="A131" s="1"/>
      <c r="B131" s="2"/>
      <c r="C131" s="2"/>
      <c r="D131" s="2"/>
      <c r="E131" s="2"/>
      <c r="F131" s="1">
        <f t="shared" si="0"/>
      </c>
      <c r="G131" s="1">
        <f>MAX(0,tblGoals[[#This Row],[Target Amount]]-tblGoals[[#This Row],[Current Saved Amount]])</f>
        <v>0</v>
      </c>
      <c r="H131" s="2"/>
      <c r="I131" s="4"/>
      <c r="J131" s="2"/>
      <c r="K131" s="2"/>
      <c r="L131" s="2"/>
    </row>
    <row r="132" spans="1:12" x14ac:dyDescent="0.3">
      <c r="A132" s="1"/>
      <c r="B132" s="2"/>
      <c r="C132" s="2"/>
      <c r="D132" s="2"/>
      <c r="E132" s="2"/>
      <c r="F132" s="1">
        <f t="shared" si="0"/>
      </c>
      <c r="G132" s="1">
        <f>MAX(0,tblGoals[[#This Row],[Target Amount]]-tblGoals[[#This Row],[Current Saved Amount]])</f>
        <v>0</v>
      </c>
      <c r="H132" s="2"/>
      <c r="I132" s="4"/>
      <c r="J132" s="2"/>
      <c r="K132" s="2"/>
      <c r="L132" s="2"/>
    </row>
    <row r="133" spans="1:12" x14ac:dyDescent="0.3">
      <c r="A133" s="1"/>
      <c r="B133" s="2"/>
      <c r="C133" s="2"/>
      <c r="D133" s="2"/>
      <c r="E133" s="2"/>
      <c r="F133" s="1">
        <f t="shared" si="0"/>
      </c>
      <c r="G133" s="1">
        <f>MAX(0,tblGoals[[#This Row],[Target Amount]]-tblGoals[[#This Row],[Current Saved Amount]])</f>
        <v>0</v>
      </c>
      <c r="H133" s="2"/>
      <c r="I133" s="4"/>
      <c r="J133" s="2"/>
      <c r="K133" s="2"/>
      <c r="L133" s="2"/>
    </row>
    <row r="134" spans="1:12" x14ac:dyDescent="0.3">
      <c r="A134" s="1"/>
      <c r="B134" s="2"/>
      <c r="C134" s="2"/>
      <c r="D134" s="2"/>
      <c r="E134" s="2"/>
      <c r="F134" s="1">
        <f t="shared" si="0"/>
      </c>
      <c r="G134" s="1">
        <f>MAX(0,tblGoals[[#This Row],[Target Amount]]-tblGoals[[#This Row],[Current Saved Amount]])</f>
        <v>0</v>
      </c>
      <c r="H134" s="2"/>
      <c r="I134" s="4"/>
      <c r="J134" s="2"/>
      <c r="K134" s="2"/>
      <c r="L134" s="2"/>
    </row>
    <row r="135" spans="1:12" x14ac:dyDescent="0.3">
      <c r="A135" s="1"/>
      <c r="B135" s="2"/>
      <c r="C135" s="2"/>
      <c r="D135" s="2"/>
      <c r="E135" s="2"/>
      <c r="F135" s="1">
        <f t="shared" si="0"/>
      </c>
      <c r="G135" s="1">
        <f>MAX(0,tblGoals[[#This Row],[Target Amount]]-tblGoals[[#This Row],[Current Saved Amount]])</f>
        <v>0</v>
      </c>
      <c r="H135" s="2"/>
      <c r="I135" s="4"/>
      <c r="J135" s="2"/>
      <c r="K135" s="2"/>
      <c r="L135" s="2"/>
    </row>
    <row r="136" spans="1:12" x14ac:dyDescent="0.3">
      <c r="A136" s="1"/>
      <c r="B136" s="2"/>
      <c r="C136" s="2"/>
      <c r="D136" s="2"/>
      <c r="E136" s="2"/>
      <c r="F136" s="1">
        <f t="shared" si="0"/>
      </c>
      <c r="G136" s="1">
        <f>MAX(0,tblGoals[[#This Row],[Target Amount]]-tblGoals[[#This Row],[Current Saved Amount]])</f>
        <v>0</v>
      </c>
      <c r="H136" s="2"/>
      <c r="I136" s="4"/>
      <c r="J136" s="2"/>
      <c r="K136" s="2"/>
      <c r="L136" s="2"/>
    </row>
    <row r="137" spans="1:12" x14ac:dyDescent="0.3">
      <c r="A137" s="1"/>
      <c r="B137" s="2"/>
      <c r="C137" s="2"/>
      <c r="D137" s="2"/>
      <c r="E137" s="2"/>
      <c r="F137" s="1">
        <f t="shared" si="0"/>
      </c>
      <c r="G137" s="1">
        <f>MAX(0,tblGoals[[#This Row],[Target Amount]]-tblGoals[[#This Row],[Current Saved Amount]])</f>
        <v>0</v>
      </c>
      <c r="H137" s="2"/>
      <c r="I137" s="4"/>
      <c r="J137" s="2"/>
      <c r="K137" s="2"/>
      <c r="L137" s="2"/>
    </row>
    <row r="138" spans="1:12" x14ac:dyDescent="0.3">
      <c r="A138" s="1"/>
      <c r="B138" s="2"/>
      <c r="C138" s="2"/>
      <c r="D138" s="2"/>
      <c r="E138" s="2"/>
      <c r="F138" s="1">
        <f t="shared" si="0"/>
      </c>
      <c r="G138" s="1">
        <f>MAX(0,tblGoals[[#This Row],[Target Amount]]-tblGoals[[#This Row],[Current Saved Amount]])</f>
        <v>0</v>
      </c>
      <c r="H138" s="2"/>
      <c r="I138" s="4"/>
      <c r="J138" s="2"/>
      <c r="K138" s="2"/>
      <c r="L138" s="2"/>
    </row>
    <row r="139" spans="1:12" x14ac:dyDescent="0.3">
      <c r="A139" s="1"/>
      <c r="B139" s="2"/>
      <c r="C139" s="2"/>
      <c r="D139" s="2"/>
      <c r="E139" s="2"/>
      <c r="F139" s="1">
        <f t="shared" si="0"/>
      </c>
      <c r="G139" s="1">
        <f>MAX(0,tblGoals[[#This Row],[Target Amount]]-tblGoals[[#This Row],[Current Saved Amount]])</f>
        <v>0</v>
      </c>
      <c r="H139" s="2"/>
      <c r="I139" s="4"/>
      <c r="J139" s="2"/>
      <c r="K139" s="2"/>
      <c r="L139" s="2"/>
    </row>
    <row r="140" spans="1:12" x14ac:dyDescent="0.3">
      <c r="A140" s="1"/>
      <c r="B140" s="2"/>
      <c r="C140" s="2"/>
      <c r="D140" s="2"/>
      <c r="E140" s="2"/>
      <c r="F140" s="1">
        <f t="shared" si="0"/>
      </c>
      <c r="G140" s="1">
        <f>MAX(0,tblGoals[[#This Row],[Target Amount]]-tblGoals[[#This Row],[Current Saved Amount]])</f>
        <v>0</v>
      </c>
      <c r="H140" s="2"/>
      <c r="I140" s="4"/>
      <c r="J140" s="2"/>
      <c r="K140" s="2"/>
      <c r="L140" s="2"/>
    </row>
    <row r="141" spans="1:12" x14ac:dyDescent="0.3">
      <c r="A141" s="1"/>
      <c r="B141" s="2"/>
      <c r="C141" s="2"/>
      <c r="D141" s="2"/>
      <c r="E141" s="2"/>
      <c r="F141" s="1">
        <f t="shared" si="0"/>
      </c>
      <c r="G141" s="1">
        <f>MAX(0,tblGoals[[#This Row],[Target Amount]]-tblGoals[[#This Row],[Current Saved Amount]])</f>
        <v>0</v>
      </c>
      <c r="H141" s="2"/>
      <c r="I141" s="4"/>
      <c r="J141" s="2"/>
      <c r="K141" s="2"/>
      <c r="L141" s="2"/>
    </row>
    <row r="142" spans="1:12" x14ac:dyDescent="0.3">
      <c r="A142" s="1"/>
      <c r="B142" s="2"/>
      <c r="C142" s="2"/>
      <c r="D142" s="2"/>
      <c r="E142" s="2"/>
      <c r="F142" s="1">
        <f t="shared" si="0"/>
      </c>
      <c r="G142" s="1">
        <f>MAX(0,tblGoals[[#This Row],[Target Amount]]-tblGoals[[#This Row],[Current Saved Amount]])</f>
        <v>0</v>
      </c>
      <c r="H142" s="2"/>
      <c r="I142" s="4"/>
      <c r="J142" s="2"/>
      <c r="K142" s="2"/>
      <c r="L142" s="2"/>
    </row>
    <row r="143" spans="1:12" x14ac:dyDescent="0.3">
      <c r="A143" s="1"/>
      <c r="B143" s="2"/>
      <c r="C143" s="2"/>
      <c r="D143" s="2"/>
      <c r="E143" s="2"/>
      <c r="F143" s="1">
        <f t="shared" si="0"/>
      </c>
      <c r="G143" s="1">
        <f>MAX(0,tblGoals[[#This Row],[Target Amount]]-tblGoals[[#This Row],[Current Saved Amount]])</f>
        <v>0</v>
      </c>
      <c r="H143" s="2"/>
      <c r="I143" s="4"/>
      <c r="J143" s="2"/>
      <c r="K143" s="2"/>
      <c r="L143" s="2"/>
    </row>
    <row r="144" spans="1:12" x14ac:dyDescent="0.3">
      <c r="A144" s="1"/>
      <c r="B144" s="2"/>
      <c r="C144" s="2"/>
      <c r="D144" s="2"/>
      <c r="E144" s="2"/>
      <c r="F144" s="1">
        <f t="shared" si="0"/>
      </c>
      <c r="G144" s="1">
        <f>MAX(0,tblGoals[[#This Row],[Target Amount]]-tblGoals[[#This Row],[Current Saved Amount]])</f>
        <v>0</v>
      </c>
      <c r="H144" s="2"/>
      <c r="I144" s="4"/>
      <c r="J144" s="2"/>
      <c r="K144" s="2"/>
      <c r="L144" s="2"/>
    </row>
    <row r="145" spans="1:12" x14ac:dyDescent="0.3">
      <c r="A145" s="1"/>
      <c r="B145" s="2"/>
      <c r="C145" s="2"/>
      <c r="D145" s="2"/>
      <c r="E145" s="2"/>
      <c r="F145" s="1">
        <f t="shared" si="0"/>
      </c>
      <c r="G145" s="1">
        <f>MAX(0,tblGoals[[#This Row],[Target Amount]]-tblGoals[[#This Row],[Current Saved Amount]])</f>
        <v>0</v>
      </c>
      <c r="H145" s="2"/>
      <c r="I145" s="4"/>
      <c r="J145" s="2"/>
      <c r="K145" s="2"/>
      <c r="L145" s="2"/>
    </row>
    <row r="146" spans="1:12" x14ac:dyDescent="0.3">
      <c r="A146" s="1"/>
      <c r="B146" s="2"/>
      <c r="C146" s="2"/>
      <c r="D146" s="2"/>
      <c r="E146" s="2"/>
      <c r="F146" s="1">
        <f t="shared" si="0"/>
      </c>
      <c r="G146" s="1">
        <f>MAX(0,tblGoals[[#This Row],[Target Amount]]-tblGoals[[#This Row],[Current Saved Amount]])</f>
        <v>0</v>
      </c>
      <c r="H146" s="2"/>
      <c r="I146" s="4"/>
      <c r="J146" s="2"/>
      <c r="K146" s="2"/>
      <c r="L146" s="2"/>
    </row>
    <row r="147" spans="1:12" x14ac:dyDescent="0.3">
      <c r="A147" s="1"/>
      <c r="B147" s="2"/>
      <c r="C147" s="2"/>
      <c r="D147" s="2"/>
      <c r="E147" s="2"/>
      <c r="F147" s="1">
        <f t="shared" si="0"/>
      </c>
      <c r="G147" s="1">
        <f>MAX(0,tblGoals[[#This Row],[Target Amount]]-tblGoals[[#This Row],[Current Saved Amount]])</f>
        <v>0</v>
      </c>
      <c r="H147" s="2"/>
      <c r="I147" s="4"/>
      <c r="J147" s="2"/>
      <c r="K147" s="2"/>
      <c r="L147" s="2"/>
    </row>
    <row r="148" spans="1:12" x14ac:dyDescent="0.3">
      <c r="A148" s="1"/>
      <c r="B148" s="2"/>
      <c r="C148" s="2"/>
      <c r="D148" s="2"/>
      <c r="E148" s="2"/>
      <c r="F148" s="1">
        <f t="shared" si="0"/>
      </c>
      <c r="G148" s="1">
        <f>MAX(0,tblGoals[[#This Row],[Target Amount]]-tblGoals[[#This Row],[Current Saved Amount]])</f>
        <v>0</v>
      </c>
      <c r="H148" s="2"/>
      <c r="I148" s="4"/>
      <c r="J148" s="2"/>
      <c r="K148" s="2"/>
      <c r="L148" s="2"/>
    </row>
    <row r="149" spans="1:12" x14ac:dyDescent="0.3">
      <c r="A149" s="1"/>
      <c r="B149" s="2"/>
      <c r="C149" s="2"/>
      <c r="D149" s="2"/>
      <c r="E149" s="2"/>
      <c r="F149" s="1">
        <f t="shared" si="0"/>
      </c>
      <c r="G149" s="1">
        <f>MAX(0,tblGoals[[#This Row],[Target Amount]]-tblGoals[[#This Row],[Current Saved Amount]])</f>
        <v>0</v>
      </c>
      <c r="H149" s="2"/>
      <c r="I149" s="4"/>
      <c r="J149" s="2"/>
      <c r="K149" s="2"/>
      <c r="L149" s="2"/>
    </row>
    <row r="150" spans="1:12" x14ac:dyDescent="0.3">
      <c r="A150" s="1"/>
      <c r="B150" s="2"/>
      <c r="C150" s="2"/>
      <c r="D150" s="2"/>
      <c r="E150" s="2"/>
      <c r="F150" s="1">
        <f t="shared" si="0"/>
      </c>
      <c r="G150" s="1">
        <f>MAX(0,tblGoals[[#This Row],[Target Amount]]-tblGoals[[#This Row],[Current Saved Amount]])</f>
        <v>0</v>
      </c>
      <c r="H150" s="2"/>
      <c r="I150" s="4"/>
      <c r="J150" s="2"/>
      <c r="K150" s="2"/>
      <c r="L150" s="2"/>
    </row>
    <row r="151" spans="1:12" x14ac:dyDescent="0.3">
      <c r="A151" s="1"/>
      <c r="B151" s="2"/>
      <c r="C151" s="2"/>
      <c r="D151" s="2"/>
      <c r="E151" s="2"/>
      <c r="F151" s="1">
        <f t="shared" si="0"/>
      </c>
      <c r="G151" s="1">
        <f>MAX(0,tblGoals[[#This Row],[Target Amount]]-tblGoals[[#This Row],[Current Saved Amount]])</f>
        <v>0</v>
      </c>
      <c r="H151" s="2"/>
      <c r="I151" s="4"/>
      <c r="J151" s="2"/>
      <c r="K151" s="2"/>
      <c r="L151" s="2"/>
    </row>
    <row r="152" spans="1:12" x14ac:dyDescent="0.3">
      <c r="A152" s="1"/>
      <c r="B152" s="2"/>
      <c r="C152" s="2"/>
      <c r="D152" s="2"/>
      <c r="E152" s="2"/>
      <c r="F152" s="1">
        <f t="shared" si="0"/>
      </c>
      <c r="G152" s="1">
        <f>MAX(0,tblGoals[[#This Row],[Target Amount]]-tblGoals[[#This Row],[Current Saved Amount]])</f>
        <v>0</v>
      </c>
      <c r="H152" s="2"/>
      <c r="I152" s="4"/>
      <c r="J152" s="2"/>
      <c r="K152" s="2"/>
      <c r="L152" s="2"/>
    </row>
    <row r="153" spans="1:12" x14ac:dyDescent="0.3">
      <c r="A153" s="1"/>
      <c r="B153" s="2"/>
      <c r="C153" s="2"/>
      <c r="D153" s="2"/>
      <c r="E153" s="2"/>
      <c r="F153" s="1">
        <f t="shared" si="0"/>
      </c>
      <c r="G153" s="1">
        <f>MAX(0,tblGoals[[#This Row],[Target Amount]]-tblGoals[[#This Row],[Current Saved Amount]])</f>
        <v>0</v>
      </c>
      <c r="H153" s="2"/>
      <c r="I153" s="4"/>
      <c r="J153" s="2"/>
      <c r="K153" s="2"/>
      <c r="L153" s="2"/>
    </row>
    <row r="154" spans="1:12" x14ac:dyDescent="0.3">
      <c r="A154" s="1"/>
      <c r="B154" s="2"/>
      <c r="C154" s="2"/>
      <c r="D154" s="2"/>
      <c r="E154" s="2"/>
      <c r="F154" s="1">
        <f t="shared" si="0"/>
      </c>
      <c r="G154" s="1">
        <f>MAX(0,tblGoals[[#This Row],[Target Amount]]-tblGoals[[#This Row],[Current Saved Amount]])</f>
        <v>0</v>
      </c>
      <c r="H154" s="2"/>
      <c r="I154" s="4"/>
      <c r="J154" s="2"/>
      <c r="K154" s="2"/>
      <c r="L154" s="2"/>
    </row>
    <row r="155" spans="1:12" x14ac:dyDescent="0.3">
      <c r="A155" s="1"/>
      <c r="B155" s="2"/>
      <c r="C155" s="2"/>
      <c r="D155" s="2"/>
      <c r="E155" s="2"/>
      <c r="F155" s="1">
        <f t="shared" si="0"/>
      </c>
      <c r="G155" s="1">
        <f>MAX(0,tblGoals[[#This Row],[Target Amount]]-tblGoals[[#This Row],[Current Saved Amount]])</f>
        <v>0</v>
      </c>
      <c r="H155" s="2"/>
      <c r="I155" s="4"/>
      <c r="J155" s="2"/>
      <c r="K155" s="2"/>
      <c r="L155" s="2"/>
    </row>
    <row r="156" spans="1:12" x14ac:dyDescent="0.3">
      <c r="A156" s="1"/>
      <c r="B156" s="2"/>
      <c r="C156" s="2"/>
      <c r="D156" s="2"/>
      <c r="E156" s="2"/>
      <c r="F156" s="1">
        <f t="shared" si="0"/>
      </c>
      <c r="G156" s="1">
        <f>MAX(0,tblGoals[[#This Row],[Target Amount]]-tblGoals[[#This Row],[Current Saved Amount]])</f>
        <v>0</v>
      </c>
      <c r="H156" s="2"/>
      <c r="I156" s="4"/>
      <c r="J156" s="2"/>
      <c r="K156" s="2"/>
      <c r="L156" s="2"/>
    </row>
    <row r="157" spans="1:12" x14ac:dyDescent="0.3">
      <c r="A157" s="1"/>
      <c r="B157" s="2"/>
      <c r="C157" s="2"/>
      <c r="D157" s="2"/>
      <c r="E157" s="2"/>
      <c r="F157" s="1">
        <f t="shared" si="0"/>
      </c>
      <c r="G157" s="1">
        <f>MAX(0,tblGoals[[#This Row],[Target Amount]]-tblGoals[[#This Row],[Current Saved Amount]])</f>
        <v>0</v>
      </c>
      <c r="H157" s="2"/>
      <c r="I157" s="4"/>
      <c r="J157" s="2"/>
      <c r="K157" s="2"/>
      <c r="L157" s="2"/>
    </row>
    <row r="158" spans="1:12" x14ac:dyDescent="0.3">
      <c r="A158" s="1"/>
      <c r="B158" s="2"/>
      <c r="C158" s="2"/>
      <c r="D158" s="2"/>
      <c r="E158" s="2"/>
      <c r="F158" s="1">
        <f t="shared" si="0"/>
      </c>
      <c r="G158" s="1">
        <f>MAX(0,tblGoals[[#This Row],[Target Amount]]-tblGoals[[#This Row],[Current Saved Amount]])</f>
        <v>0</v>
      </c>
      <c r="H158" s="2"/>
      <c r="I158" s="4"/>
      <c r="J158" s="2"/>
      <c r="K158" s="2"/>
      <c r="L158" s="2"/>
    </row>
    <row r="159" spans="1:12" x14ac:dyDescent="0.3">
      <c r="A159" s="1"/>
      <c r="B159" s="2"/>
      <c r="C159" s="2"/>
      <c r="D159" s="2"/>
      <c r="E159" s="2"/>
      <c r="F159" s="1">
        <f t="shared" si="0"/>
      </c>
      <c r="G159" s="1">
        <f>MAX(0,tblGoals[[#This Row],[Target Amount]]-tblGoals[[#This Row],[Current Saved Amount]])</f>
        <v>0</v>
      </c>
      <c r="H159" s="2"/>
      <c r="I159" s="4"/>
      <c r="J159" s="2"/>
      <c r="K159" s="2"/>
      <c r="L159" s="2"/>
    </row>
    <row r="160" spans="1:12" x14ac:dyDescent="0.3">
      <c r="A160" s="1"/>
      <c r="B160" s="2"/>
      <c r="C160" s="2"/>
      <c r="D160" s="2"/>
      <c r="E160" s="2"/>
      <c r="F160" s="1">
        <f t="shared" si="0"/>
      </c>
      <c r="G160" s="1">
        <f>MAX(0,tblGoals[[#This Row],[Target Amount]]-tblGoals[[#This Row],[Current Saved Amount]])</f>
        <v>0</v>
      </c>
      <c r="H160" s="2"/>
      <c r="I160" s="4"/>
      <c r="J160" s="2"/>
      <c r="K160" s="2"/>
      <c r="L160" s="2"/>
    </row>
    <row r="161" spans="1:12" x14ac:dyDescent="0.3">
      <c r="A161" s="1"/>
      <c r="B161" s="2"/>
      <c r="C161" s="2"/>
      <c r="D161" s="2"/>
      <c r="E161" s="2"/>
      <c r="F161" s="1">
        <f t="shared" si="0"/>
      </c>
      <c r="G161" s="1">
        <f>MAX(0,tblGoals[[#This Row],[Target Amount]]-tblGoals[[#This Row],[Current Saved Amount]])</f>
        <v>0</v>
      </c>
      <c r="H161" s="2"/>
      <c r="I161" s="4"/>
      <c r="J161" s="2"/>
      <c r="K161" s="2"/>
      <c r="L161" s="2"/>
    </row>
    <row r="162" spans="1:12" x14ac:dyDescent="0.3">
      <c r="A162" s="1"/>
      <c r="B162" s="2"/>
      <c r="C162" s="2"/>
      <c r="D162" s="2"/>
      <c r="E162" s="2"/>
      <c r="F162" s="1">
        <f t="shared" si="0"/>
      </c>
      <c r="G162" s="1">
        <f>MAX(0,tblGoals[[#This Row],[Target Amount]]-tblGoals[[#This Row],[Current Saved Amount]])</f>
        <v>0</v>
      </c>
      <c r="H162" s="2"/>
      <c r="I162" s="4"/>
      <c r="J162" s="2"/>
      <c r="K162" s="2"/>
      <c r="L162" s="2"/>
    </row>
    <row r="163" spans="1:12" x14ac:dyDescent="0.3">
      <c r="A163" s="1"/>
      <c r="B163" s="2"/>
      <c r="C163" s="2"/>
      <c r="D163" s="2"/>
      <c r="E163" s="2"/>
      <c r="F163" s="1">
        <f t="shared" si="0"/>
      </c>
      <c r="G163" s="1">
        <f>MAX(0,tblGoals[[#This Row],[Target Amount]]-tblGoals[[#This Row],[Current Saved Amount]])</f>
        <v>0</v>
      </c>
      <c r="H163" s="2"/>
      <c r="I163" s="4"/>
      <c r="J163" s="2"/>
      <c r="K163" s="2"/>
      <c r="L163" s="2"/>
    </row>
    <row r="164" spans="1:12" x14ac:dyDescent="0.3">
      <c r="A164" s="1"/>
      <c r="B164" s="2"/>
      <c r="C164" s="2"/>
      <c r="D164" s="2"/>
      <c r="E164" s="2"/>
      <c r="F164" s="1">
        <f t="shared" si="0"/>
      </c>
      <c r="G164" s="1">
        <f>MAX(0,tblGoals[[#This Row],[Target Amount]]-tblGoals[[#This Row],[Current Saved Amount]])</f>
        <v>0</v>
      </c>
      <c r="H164" s="2"/>
      <c r="I164" s="4"/>
      <c r="J164" s="2"/>
      <c r="K164" s="2"/>
      <c r="L164" s="2"/>
    </row>
    <row r="165" spans="1:12" x14ac:dyDescent="0.3">
      <c r="A165" s="1"/>
      <c r="B165" s="2"/>
      <c r="C165" s="2"/>
      <c r="D165" s="2"/>
      <c r="E165" s="2"/>
      <c r="F165" s="1">
        <f t="shared" si="0"/>
      </c>
      <c r="G165" s="1">
        <f>MAX(0,tblGoals[[#This Row],[Target Amount]]-tblGoals[[#This Row],[Current Saved Amount]])</f>
        <v>0</v>
      </c>
      <c r="H165" s="2"/>
      <c r="I165" s="4"/>
      <c r="J165" s="2"/>
      <c r="K165" s="2"/>
      <c r="L165" s="2"/>
    </row>
    <row r="166" spans="1:12" x14ac:dyDescent="0.3">
      <c r="A166" s="1"/>
      <c r="B166" s="2"/>
      <c r="C166" s="2"/>
      <c r="D166" s="2"/>
      <c r="E166" s="2"/>
      <c r="F166" s="1">
        <f t="shared" si="0"/>
      </c>
      <c r="G166" s="1">
        <f>MAX(0,tblGoals[[#This Row],[Target Amount]]-tblGoals[[#This Row],[Current Saved Amount]])</f>
        <v>0</v>
      </c>
      <c r="H166" s="2"/>
      <c r="I166" s="4"/>
      <c r="J166" s="2"/>
      <c r="K166" s="2"/>
      <c r="L166" s="2"/>
    </row>
    <row r="167" spans="1:12" x14ac:dyDescent="0.3">
      <c r="A167" s="1"/>
      <c r="B167" s="2"/>
      <c r="C167" s="2"/>
      <c r="D167" s="2"/>
      <c r="E167" s="2"/>
      <c r="F167" s="1">
        <f t="shared" si="0"/>
      </c>
      <c r="G167" s="1">
        <f>MAX(0,tblGoals[[#This Row],[Target Amount]]-tblGoals[[#This Row],[Current Saved Amount]])</f>
        <v>0</v>
      </c>
      <c r="H167" s="2"/>
      <c r="I167" s="4"/>
      <c r="J167" s="2"/>
      <c r="K167" s="2"/>
      <c r="L167" s="2"/>
    </row>
    <row r="168" spans="1:12" x14ac:dyDescent="0.3">
      <c r="A168" s="1"/>
      <c r="B168" s="2"/>
      <c r="C168" s="2"/>
      <c r="D168" s="2"/>
      <c r="E168" s="2"/>
      <c r="F168" s="1">
        <f t="shared" si="0"/>
      </c>
      <c r="G168" s="1">
        <f>MAX(0,tblGoals[[#This Row],[Target Amount]]-tblGoals[[#This Row],[Current Saved Amount]])</f>
        <v>0</v>
      </c>
      <c r="H168" s="2"/>
      <c r="I168" s="4"/>
      <c r="J168" s="2"/>
      <c r="K168" s="2"/>
      <c r="L168" s="2"/>
    </row>
    <row r="169" spans="1:12" x14ac:dyDescent="0.3">
      <c r="A169" s="1"/>
      <c r="B169" s="2"/>
      <c r="C169" s="2"/>
      <c r="D169" s="2"/>
      <c r="E169" s="2"/>
      <c r="F169" s="1">
        <f t="shared" si="0"/>
      </c>
      <c r="G169" s="1">
        <f>MAX(0,tblGoals[[#This Row],[Target Amount]]-tblGoals[[#This Row],[Current Saved Amount]])</f>
        <v>0</v>
      </c>
      <c r="H169" s="2"/>
      <c r="I169" s="4"/>
      <c r="J169" s="2"/>
      <c r="K169" s="2"/>
      <c r="L169" s="2"/>
    </row>
    <row r="170" spans="1:12" x14ac:dyDescent="0.3">
      <c r="A170" s="1"/>
      <c r="B170" s="2"/>
      <c r="C170" s="2"/>
      <c r="D170" s="2"/>
      <c r="E170" s="2"/>
      <c r="F170" s="1">
        <f t="shared" si="0"/>
      </c>
      <c r="G170" s="1">
        <f>MAX(0,tblGoals[[#This Row],[Target Amount]]-tblGoals[[#This Row],[Current Saved Amount]])</f>
        <v>0</v>
      </c>
      <c r="H170" s="2"/>
      <c r="I170" s="4"/>
      <c r="J170" s="2"/>
      <c r="K170" s="2"/>
      <c r="L170" s="2"/>
    </row>
    <row r="171" spans="1:12" x14ac:dyDescent="0.3">
      <c r="A171" s="1"/>
      <c r="B171" s="2"/>
      <c r="C171" s="2"/>
      <c r="D171" s="2"/>
      <c r="E171" s="2"/>
      <c r="F171" s="1">
        <f t="shared" si="0"/>
      </c>
      <c r="G171" s="1">
        <f>MAX(0,tblGoals[[#This Row],[Target Amount]]-tblGoals[[#This Row],[Current Saved Amount]])</f>
        <v>0</v>
      </c>
      <c r="H171" s="2"/>
      <c r="I171" s="4"/>
      <c r="J171" s="2"/>
      <c r="K171" s="2"/>
      <c r="L171" s="2"/>
    </row>
    <row r="172" spans="1:12" x14ac:dyDescent="0.3">
      <c r="A172" s="1"/>
      <c r="B172" s="2"/>
      <c r="C172" s="2"/>
      <c r="D172" s="2"/>
      <c r="E172" s="2"/>
      <c r="F172" s="1">
        <f t="shared" si="0"/>
      </c>
      <c r="G172" s="1">
        <f>MAX(0,tblGoals[[#This Row],[Target Amount]]-tblGoals[[#This Row],[Current Saved Amount]])</f>
        <v>0</v>
      </c>
      <c r="H172" s="2"/>
      <c r="I172" s="4"/>
      <c r="J172" s="2"/>
      <c r="K172" s="2"/>
      <c r="L172" s="2"/>
    </row>
    <row r="173" spans="1:12" x14ac:dyDescent="0.3">
      <c r="A173" s="1"/>
      <c r="B173" s="2"/>
      <c r="C173" s="2"/>
      <c r="D173" s="2"/>
      <c r="E173" s="2"/>
      <c r="F173" s="1">
        <f t="shared" si="0"/>
      </c>
      <c r="G173" s="1">
        <f>MAX(0,tblGoals[[#This Row],[Target Amount]]-tblGoals[[#This Row],[Current Saved Amount]])</f>
        <v>0</v>
      </c>
      <c r="H173" s="2"/>
      <c r="I173" s="4"/>
      <c r="J173" s="2"/>
      <c r="K173" s="2"/>
      <c r="L173" s="2"/>
    </row>
    <row r="174" spans="1:12" x14ac:dyDescent="0.3">
      <c r="A174" s="1"/>
      <c r="B174" s="2"/>
      <c r="C174" s="2"/>
      <c r="D174" s="2"/>
      <c r="E174" s="2"/>
      <c r="F174" s="1">
        <f t="shared" si="0"/>
      </c>
      <c r="G174" s="1">
        <f>MAX(0,tblGoals[[#This Row],[Target Amount]]-tblGoals[[#This Row],[Current Saved Amount]])</f>
        <v>0</v>
      </c>
      <c r="H174" s="2"/>
      <c r="I174" s="4"/>
      <c r="J174" s="2"/>
      <c r="K174" s="2"/>
      <c r="L174" s="2"/>
    </row>
    <row r="175" spans="1:12" x14ac:dyDescent="0.3">
      <c r="A175" s="1"/>
      <c r="B175" s="2"/>
      <c r="C175" s="2"/>
      <c r="D175" s="2"/>
      <c r="E175" s="2"/>
      <c r="F175" s="1">
        <f t="shared" si="0"/>
      </c>
      <c r="G175" s="1">
        <f>MAX(0,tblGoals[[#This Row],[Target Amount]]-tblGoals[[#This Row],[Current Saved Amount]])</f>
        <v>0</v>
      </c>
      <c r="H175" s="2"/>
      <c r="I175" s="4"/>
      <c r="J175" s="2"/>
      <c r="K175" s="2"/>
      <c r="L175" s="2"/>
    </row>
    <row r="176" spans="1:12" x14ac:dyDescent="0.3">
      <c r="A176" s="1"/>
      <c r="B176" s="2"/>
      <c r="C176" s="2"/>
      <c r="D176" s="2"/>
      <c r="E176" s="2"/>
      <c r="F176" s="1">
        <f t="shared" si="0"/>
      </c>
      <c r="G176" s="1">
        <f>MAX(0,tblGoals[[#This Row],[Target Amount]]-tblGoals[[#This Row],[Current Saved Amount]])</f>
        <v>0</v>
      </c>
      <c r="H176" s="2"/>
      <c r="I176" s="4"/>
      <c r="J176" s="2"/>
      <c r="K176" s="2"/>
      <c r="L176" s="2"/>
    </row>
    <row r="177" spans="1:12" x14ac:dyDescent="0.3">
      <c r="A177" s="1"/>
      <c r="B177" s="2"/>
      <c r="C177" s="2"/>
      <c r="D177" s="2"/>
      <c r="E177" s="2"/>
      <c r="F177" s="1">
        <f t="shared" si="0"/>
      </c>
      <c r="G177" s="1">
        <f>MAX(0,tblGoals[[#This Row],[Target Amount]]-tblGoals[[#This Row],[Current Saved Amount]])</f>
        <v>0</v>
      </c>
      <c r="H177" s="2"/>
      <c r="I177" s="4"/>
      <c r="J177" s="2"/>
      <c r="K177" s="2"/>
      <c r="L177" s="2"/>
    </row>
    <row r="178" spans="1:12" x14ac:dyDescent="0.3">
      <c r="A178" s="1"/>
      <c r="B178" s="2"/>
      <c r="C178" s="2"/>
      <c r="D178" s="2"/>
      <c r="E178" s="2"/>
      <c r="F178" s="1">
        <f t="shared" si="0"/>
      </c>
      <c r="G178" s="1">
        <f>MAX(0,tblGoals[[#This Row],[Target Amount]]-tblGoals[[#This Row],[Current Saved Amount]])</f>
        <v>0</v>
      </c>
      <c r="H178" s="2"/>
      <c r="I178" s="4"/>
      <c r="J178" s="2"/>
      <c r="K178" s="2"/>
      <c r="L178" s="2"/>
    </row>
    <row r="179" spans="1:12" x14ac:dyDescent="0.3">
      <c r="A179" s="1"/>
      <c r="B179" s="2"/>
      <c r="C179" s="2"/>
      <c r="D179" s="2"/>
      <c r="E179" s="2"/>
      <c r="F179" s="1">
        <f t="shared" si="0"/>
      </c>
      <c r="G179" s="1">
        <f>MAX(0,tblGoals[[#This Row],[Target Amount]]-tblGoals[[#This Row],[Current Saved Amount]])</f>
        <v>0</v>
      </c>
      <c r="H179" s="2"/>
      <c r="I179" s="4"/>
      <c r="J179" s="2"/>
      <c r="K179" s="2"/>
      <c r="L179" s="2"/>
    </row>
    <row r="180" spans="1:12" x14ac:dyDescent="0.3">
      <c r="A180" s="1"/>
      <c r="B180" s="2"/>
      <c r="C180" s="2"/>
      <c r="D180" s="2"/>
      <c r="E180" s="2"/>
      <c r="F180" s="1">
        <f t="shared" si="0"/>
      </c>
      <c r="G180" s="1">
        <f>MAX(0,tblGoals[[#This Row],[Target Amount]]-tblGoals[[#This Row],[Current Saved Amount]])</f>
        <v>0</v>
      </c>
      <c r="H180" s="2"/>
      <c r="I180" s="4"/>
      <c r="J180" s="2"/>
      <c r="K180" s="2"/>
      <c r="L180" s="2"/>
    </row>
    <row r="181" spans="1:12" x14ac:dyDescent="0.3">
      <c r="A181" s="1"/>
      <c r="B181" s="2"/>
      <c r="C181" s="2"/>
      <c r="D181" s="2"/>
      <c r="E181" s="2"/>
      <c r="F181" s="1">
        <f t="shared" si="0"/>
      </c>
      <c r="G181" s="1">
        <f>MAX(0,tblGoals[[#This Row],[Target Amount]]-tblGoals[[#This Row],[Current Saved Amount]])</f>
        <v>0</v>
      </c>
      <c r="H181" s="2"/>
      <c r="I181" s="4"/>
      <c r="J181" s="2"/>
      <c r="K181" s="2"/>
      <c r="L181" s="2"/>
    </row>
    <row r="182" spans="1:12" x14ac:dyDescent="0.3">
      <c r="A182" s="1"/>
      <c r="B182" s="2"/>
      <c r="C182" s="2"/>
      <c r="D182" s="2"/>
      <c r="E182" s="2"/>
      <c r="F182" s="1">
        <f t="shared" si="0"/>
      </c>
      <c r="G182" s="1">
        <f>MAX(0,tblGoals[[#This Row],[Target Amount]]-tblGoals[[#This Row],[Current Saved Amount]])</f>
        <v>0</v>
      </c>
      <c r="H182" s="2"/>
      <c r="I182" s="4"/>
      <c r="J182" s="2"/>
      <c r="K182" s="2"/>
      <c r="L182" s="2"/>
    </row>
    <row r="183" spans="1:12" x14ac:dyDescent="0.3">
      <c r="A183" s="1"/>
      <c r="B183" s="2"/>
      <c r="C183" s="2"/>
      <c r="D183" s="2"/>
      <c r="E183" s="2"/>
      <c r="F183" s="1">
        <f t="shared" si="0"/>
      </c>
      <c r="G183" s="1">
        <f>MAX(0,tblGoals[[#This Row],[Target Amount]]-tblGoals[[#This Row],[Current Saved Amount]])</f>
        <v>0</v>
      </c>
      <c r="H183" s="2"/>
      <c r="I183" s="4"/>
      <c r="J183" s="2"/>
      <c r="K183" s="2"/>
      <c r="L183" s="2"/>
    </row>
    <row r="184" spans="1:12" x14ac:dyDescent="0.3">
      <c r="A184" s="1"/>
      <c r="B184" s="2"/>
      <c r="C184" s="2"/>
      <c r="D184" s="2"/>
      <c r="E184" s="2"/>
      <c r="F184" s="1">
        <f t="shared" si="0"/>
      </c>
      <c r="G184" s="1">
        <f>MAX(0,tblGoals[[#This Row],[Target Amount]]-tblGoals[[#This Row],[Current Saved Amount]])</f>
        <v>0</v>
      </c>
      <c r="H184" s="2"/>
      <c r="I184" s="4"/>
      <c r="J184" s="2"/>
      <c r="K184" s="2"/>
      <c r="L184" s="2"/>
    </row>
    <row r="185" spans="1:12" x14ac:dyDescent="0.3">
      <c r="A185" s="1"/>
      <c r="B185" s="2"/>
      <c r="C185" s="2"/>
      <c r="D185" s="2"/>
      <c r="E185" s="2"/>
      <c r="F185" s="1">
        <f t="shared" si="0"/>
      </c>
      <c r="G185" s="1">
        <f>MAX(0,tblGoals[[#This Row],[Target Amount]]-tblGoals[[#This Row],[Current Saved Amount]])</f>
        <v>0</v>
      </c>
      <c r="H185" s="2"/>
      <c r="I185" s="4"/>
      <c r="J185" s="2"/>
      <c r="K185" s="2"/>
      <c r="L185" s="2"/>
    </row>
    <row r="186" spans="1:12" x14ac:dyDescent="0.3">
      <c r="A186" s="1"/>
      <c r="B186" s="2"/>
      <c r="C186" s="2"/>
      <c r="D186" s="2"/>
      <c r="E186" s="2"/>
      <c r="F186" s="1">
        <f t="shared" si="0"/>
      </c>
      <c r="G186" s="1">
        <f>MAX(0,tblGoals[[#This Row],[Target Amount]]-tblGoals[[#This Row],[Current Saved Amount]])</f>
        <v>0</v>
      </c>
      <c r="H186" s="2"/>
      <c r="I186" s="4"/>
      <c r="J186" s="2"/>
      <c r="K186" s="2"/>
      <c r="L186" s="2"/>
    </row>
    <row r="187" spans="1:12" x14ac:dyDescent="0.3">
      <c r="A187" s="1"/>
      <c r="B187" s="2"/>
      <c r="C187" s="2"/>
      <c r="D187" s="2"/>
      <c r="E187" s="2"/>
      <c r="F187" s="1">
        <f t="shared" si="0"/>
      </c>
      <c r="G187" s="1">
        <f>MAX(0,tblGoals[[#This Row],[Target Amount]]-tblGoals[[#This Row],[Current Saved Amount]])</f>
        <v>0</v>
      </c>
      <c r="H187" s="2"/>
      <c r="I187" s="4"/>
      <c r="J187" s="2"/>
      <c r="K187" s="2"/>
      <c r="L187" s="2"/>
    </row>
    <row r="188" spans="1:12" x14ac:dyDescent="0.3">
      <c r="A188" s="1"/>
      <c r="B188" s="2"/>
      <c r="C188" s="2"/>
      <c r="D188" s="2"/>
      <c r="E188" s="2"/>
      <c r="F188" s="1">
        <f t="shared" si="0"/>
      </c>
      <c r="G188" s="1">
        <f>MAX(0,tblGoals[[#This Row],[Target Amount]]-tblGoals[[#This Row],[Current Saved Amount]])</f>
        <v>0</v>
      </c>
      <c r="H188" s="2"/>
      <c r="I188" s="4"/>
      <c r="J188" s="2"/>
      <c r="K188" s="2"/>
      <c r="L188" s="2"/>
    </row>
    <row r="189" spans="1:12" x14ac:dyDescent="0.3">
      <c r="A189" s="1"/>
      <c r="B189" s="2"/>
      <c r="C189" s="2"/>
      <c r="D189" s="2"/>
      <c r="E189" s="2"/>
      <c r="F189" s="1">
        <f t="shared" si="0"/>
      </c>
      <c r="G189" s="1">
        <f>MAX(0,tblGoals[[#This Row],[Target Amount]]-tblGoals[[#This Row],[Current Saved Amount]])</f>
        <v>0</v>
      </c>
      <c r="H189" s="2"/>
      <c r="I189" s="4"/>
      <c r="J189" s="2"/>
      <c r="K189" s="2"/>
      <c r="L189" s="2"/>
    </row>
    <row r="190" spans="1:12" x14ac:dyDescent="0.3">
      <c r="A190" s="1"/>
      <c r="B190" s="2"/>
      <c r="C190" s="2"/>
      <c r="D190" s="2"/>
      <c r="E190" s="2"/>
      <c r="F190" s="1">
        <f t="shared" si="0"/>
      </c>
      <c r="G190" s="1">
        <f>MAX(0,tblGoals[[#This Row],[Target Amount]]-tblGoals[[#This Row],[Current Saved Amount]])</f>
        <v>0</v>
      </c>
      <c r="H190" s="2"/>
      <c r="I190" s="4"/>
      <c r="J190" s="2"/>
      <c r="K190" s="2"/>
      <c r="L190" s="2"/>
    </row>
    <row r="191" spans="1:12" x14ac:dyDescent="0.3">
      <c r="A191" s="1"/>
      <c r="B191" s="2"/>
      <c r="C191" s="2"/>
      <c r="D191" s="2"/>
      <c r="E191" s="2"/>
      <c r="F191" s="1">
        <f t="shared" si="0"/>
      </c>
      <c r="G191" s="1">
        <f>MAX(0,tblGoals[[#This Row],[Target Amount]]-tblGoals[[#This Row],[Current Saved Amount]])</f>
        <v>0</v>
      </c>
      <c r="H191" s="2"/>
      <c r="I191" s="4"/>
      <c r="J191" s="2"/>
      <c r="K191" s="2"/>
      <c r="L191" s="2"/>
    </row>
    <row r="192" spans="1:12" x14ac:dyDescent="0.3">
      <c r="A192" s="1"/>
      <c r="B192" s="2"/>
      <c r="C192" s="2"/>
      <c r="D192" s="2"/>
      <c r="E192" s="2"/>
      <c r="F192" s="1">
        <f t="shared" si="0"/>
      </c>
      <c r="G192" s="1">
        <f>MAX(0,tblGoals[[#This Row],[Target Amount]]-tblGoals[[#This Row],[Current Saved Amount]])</f>
        <v>0</v>
      </c>
      <c r="H192" s="2"/>
      <c r="I192" s="4"/>
      <c r="J192" s="2"/>
      <c r="K192" s="2"/>
      <c r="L192" s="2"/>
    </row>
    <row r="193" spans="1:12" x14ac:dyDescent="0.3">
      <c r="A193" s="1"/>
      <c r="B193" s="2"/>
      <c r="C193" s="2"/>
      <c r="D193" s="2"/>
      <c r="E193" s="2"/>
      <c r="F193" s="1">
        <f t="shared" si="0"/>
      </c>
      <c r="G193" s="1">
        <f>MAX(0,tblGoals[[#This Row],[Target Amount]]-tblGoals[[#This Row],[Current Saved Amount]])</f>
        <v>0</v>
      </c>
      <c r="H193" s="2"/>
      <c r="I193" s="4"/>
      <c r="J193" s="2"/>
      <c r="K193" s="2"/>
      <c r="L193" s="2"/>
    </row>
    <row r="194" spans="1:12" x14ac:dyDescent="0.3">
      <c r="A194" s="1"/>
      <c r="B194" s="2"/>
      <c r="C194" s="2"/>
      <c r="D194" s="2"/>
      <c r="E194" s="2"/>
      <c r="F194" s="1">
        <f t="shared" si="0"/>
      </c>
      <c r="G194" s="1">
        <f>MAX(0,tblGoals[[#This Row],[Target Amount]]-tblGoals[[#This Row],[Current Saved Amount]])</f>
        <v>0</v>
      </c>
      <c r="H194" s="2"/>
      <c r="I194" s="4"/>
      <c r="J194" s="2"/>
      <c r="K194" s="2"/>
      <c r="L194" s="2"/>
    </row>
    <row r="195" spans="1:12" x14ac:dyDescent="0.3">
      <c r="A195" s="1"/>
      <c r="B195" s="2"/>
      <c r="C195" s="2"/>
      <c r="D195" s="2"/>
      <c r="E195" s="2"/>
      <c r="F195" s="1">
        <f t="shared" si="0"/>
      </c>
      <c r="G195" s="1">
        <f>MAX(0,tblGoals[[#This Row],[Target Amount]]-tblGoals[[#This Row],[Current Saved Amount]])</f>
        <v>0</v>
      </c>
      <c r="H195" s="2"/>
      <c r="I195" s="4"/>
      <c r="J195" s="2"/>
      <c r="K195" s="2"/>
      <c r="L195" s="2"/>
    </row>
    <row r="196" spans="1:12" x14ac:dyDescent="0.3">
      <c r="A196" s="1"/>
      <c r="B196" s="2"/>
      <c r="C196" s="2"/>
      <c r="D196" s="2"/>
      <c r="E196" s="2"/>
      <c r="F196" s="1">
        <f t="shared" si="0"/>
      </c>
      <c r="G196" s="1">
        <f>MAX(0,tblGoals[[#This Row],[Target Amount]]-tblGoals[[#This Row],[Current Saved Amount]])</f>
        <v>0</v>
      </c>
      <c r="H196" s="2"/>
      <c r="I196" s="4"/>
      <c r="J196" s="2"/>
      <c r="K196" s="2"/>
      <c r="L196" s="2"/>
    </row>
    <row r="197" spans="1:12" x14ac:dyDescent="0.3">
      <c r="A197" s="1"/>
      <c r="B197" s="2"/>
      <c r="C197" s="2"/>
      <c r="D197" s="2"/>
      <c r="E197" s="2"/>
      <c r="F197" s="1">
        <f t="shared" si="0"/>
      </c>
      <c r="G197" s="1">
        <f>MAX(0,tblGoals[[#This Row],[Target Amount]]-tblGoals[[#This Row],[Current Saved Amount]])</f>
        <v>0</v>
      </c>
      <c r="H197" s="2"/>
      <c r="I197" s="4"/>
      <c r="J197" s="2"/>
      <c r="K197" s="2"/>
      <c r="L197" s="2"/>
    </row>
    <row r="198" spans="1:12" x14ac:dyDescent="0.3">
      <c r="A198" s="1"/>
      <c r="B198" s="2"/>
      <c r="C198" s="2"/>
      <c r="D198" s="2"/>
      <c r="E198" s="2"/>
      <c r="F198" s="1">
        <f t="shared" si="0"/>
      </c>
      <c r="G198" s="1">
        <f>MAX(0,tblGoals[[#This Row],[Target Amount]]-tblGoals[[#This Row],[Current Saved Amount]])</f>
        <v>0</v>
      </c>
      <c r="H198" s="2"/>
      <c r="I198" s="4"/>
      <c r="J198" s="2"/>
      <c r="K198" s="2"/>
      <c r="L198" s="2"/>
    </row>
    <row r="199" spans="1:12" x14ac:dyDescent="0.3">
      <c r="A199" s="1"/>
      <c r="B199" s="2"/>
      <c r="C199" s="2"/>
      <c r="D199" s="2"/>
      <c r="E199" s="2"/>
      <c r="F199" s="1">
        <f t="shared" si="0"/>
      </c>
      <c r="G199" s="1">
        <f>MAX(0,tblGoals[[#This Row],[Target Amount]]-tblGoals[[#This Row],[Current Saved Amount]])</f>
        <v>0</v>
      </c>
      <c r="H199" s="2"/>
      <c r="I199" s="4"/>
      <c r="J199" s="2"/>
      <c r="K199" s="2"/>
      <c r="L199" s="2"/>
    </row>
    <row r="200" spans="1:12" x14ac:dyDescent="0.3">
      <c r="A200" s="1"/>
      <c r="B200" s="2"/>
      <c r="C200" s="2"/>
      <c r="D200" s="2"/>
      <c r="E200" s="2"/>
      <c r="F200" s="1">
        <f t="shared" si="0"/>
      </c>
      <c r="G200" s="1">
        <f>MAX(0,tblGoals[[#This Row],[Target Amount]]-tblGoals[[#This Row],[Current Saved Amount]])</f>
        <v>0</v>
      </c>
      <c r="H200" s="2"/>
      <c r="I200" s="4"/>
      <c r="J200" s="2"/>
      <c r="K200" s="2"/>
      <c r="L200" s="2"/>
    </row>
  </sheetData>
  <sheetProtection sheet="1" objects="1" scenarios="1" insertRows="0" deleteRows="0" sort="0" autoFilter="0"/>
  <dataValidations count="4">
    <dataValidation type="list" allowBlank="1" showInputMessage="1" showErrorMessage="1" errorTitle="Invalid value" error="Select a value from the list." promptTitle="Select a value" prompt="Choose from the list." sqref="C2:C200" xr:uid="{00000000-0002-0000-0800-000000000000}">
      <formula1>rngCategories</formula1>
    </dataValidation>
    <dataValidation type="list" allowBlank="1" showInputMessage="1" showErrorMessage="1" errorTitle="Invalid value" error="Select a value from the list." promptTitle="Select a value" prompt="Choose from the list." sqref="D2:D200" xr:uid="{00000000-0002-0000-0800-000001000000}">
      <formula1>rngAccounts</formula1>
    </dataValidation>
    <dataValidation type="list" allowBlank="1" showInputMessage="1" showErrorMessage="1" errorTitle="Invalid value" error="Select a value from the list." promptTitle="Select a value" prompt="Choose from the list." sqref="J2:J200" xr:uid="{00000000-0002-0000-0800-000002000000}">
      <formula1>rngPriority</formula1>
    </dataValidation>
    <dataValidation type="list" allowBlank="1" showInputMessage="1" showErrorMessage="1" errorTitle="Invalid value" error="Select a value from the list." promptTitle="Select a value" prompt="Choose from the list." sqref="K2:K200" xr:uid="{00000000-0002-0000-0800-000003000000}">
      <formula1>rngGoalStatus</formula1>
    </dataValidation>
  </dataValidations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I148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5" max="12" width="28" customWidth="1"/>
  </cols>
  <sheetData>
    <row r="1" spans="1:35" x14ac:dyDescent="0.3">
      <c r="A1" t="s">
        <v>79</v>
      </c>
      <c r="B1" t="s">
        <v>80</v>
      </c>
      <c r="C1" t="s">
        <v>81</v>
      </c>
      <c r="D1" s="1" t="s">
        <v>114</v>
      </c>
      <c r="E1" s="1" t="s">
        <v>157</v>
      </c>
      <c r="F1" s="1" t="s">
        <v>158</v>
      </c>
      <c r="G1" s="1" t="s">
        <v>159</v>
      </c>
      <c r="H1" s="1" t="s">
        <v>160</v>
      </c>
      <c r="I1" s="1" t="s">
        <v>161</v>
      </c>
      <c r="J1" s="1" t="s">
        <v>162</v>
      </c>
      <c r="K1" s="1" t="s">
        <v>163</v>
      </c>
      <c r="L1" s="1" t="s">
        <v>356</v>
      </c>
      <c r="AG1" t="s">
        <v>26</v>
      </c>
      <c r="AH1" t="s">
        <v>36</v>
      </c>
      <c r="AI1" t="s">
        <v>179</v>
      </c>
    </row>
    <row r="2" spans="1:35" x14ac:dyDescent="0.3">
      <c r="A2" t="s">
        <v>82</v>
      </c>
      <c r="D2" s="1" t="s">
        <v>341</v>
      </c>
      <c r="E2" s="1">
        <f>IFERROR(SORT(UNIQUE(FILTER(tblCategories[Category Name],(tblCategories[Category Type]="Expense")*(tblCategories[Status]="Active")))),"")</f>
      </c>
      <c r="F2" s="1">
        <f>IFERROR(SORT(UNIQUE(FILTER(tblCategories[Category Name],(tblCategories[Category Type]="Income")*(tblCategories[Status]="Active")))),"")</f>
      </c>
      <c r="G2" s="1">
        <f>IFERROR(SORT(UNIQUE(FILTER(tblAccounts[Account Name],tblAccounts[Status]="Active"))),"")</f>
      </c>
      <c r="H2" s="1">
        <f>IFERROR(SORT(UNIQUE(FILTER(tblGoals[Goal Name],tblGoals[Goal Status]="Active"))),"")</f>
      </c>
      <c r="I2" s="1">
        <f>IFERROR(SORT(UNIQUE(FILTER(tblAssets[Asset Name],tblAssets[Status]="Active"))),"")</f>
      </c>
      <c r="J2" s="1">
        <f>IFERROR(SORT(UNIQUE(FILTER(tblLiabilities[Liability Name],tblLiabilities[Status]="Active"))),"")</f>
      </c>
      <c r="K2" s="1">
        <f>IFERROR(SORT(UNIQUE(FILTER(tblIncomeSources[Income Source Name],tblIncomeSources[Status]="Active"))),"")</f>
      </c>
      <c r="L2" s="1"/>
      <c r="AG2" t="s">
        <v>180</v>
      </c>
      <c r="AH2" t="s">
        <v>204</v>
      </c>
      <c r="AI2" t="s">
        <v>213</v>
      </c>
    </row>
    <row r="3" spans="1:35" x14ac:dyDescent="0.3">
      <c r="A3" t="s">
        <v>83</v>
      </c>
      <c r="D3" s="1" t="s">
        <v>342</v>
      </c>
      <c r="AG3" t="s">
        <v>181</v>
      </c>
      <c r="AH3" t="s">
        <v>205</v>
      </c>
      <c r="AI3" t="s">
        <v>214</v>
      </c>
    </row>
    <row r="4" spans="1:35" x14ac:dyDescent="0.3">
      <c r="A4" t="s">
        <v>84</v>
      </c>
      <c r="D4" s="1" t="s">
        <v>343</v>
      </c>
      <c r="AG4" t="s">
        <v>182</v>
      </c>
      <c r="AH4" t="s">
        <v>206</v>
      </c>
      <c r="AI4" t="s">
        <v>215</v>
      </c>
    </row>
    <row r="5" spans="1:35" x14ac:dyDescent="0.3">
      <c r="A5" t="s">
        <v>85</v>
      </c>
      <c r="AG5" t="s">
        <v>183</v>
      </c>
      <c r="AH5" t="s">
        <v>207</v>
      </c>
      <c r="AI5" t="s">
        <v>216</v>
      </c>
    </row>
    <row r="6" spans="1:35" x14ac:dyDescent="0.3">
      <c r="A6" t="s">
        <v>86</v>
      </c>
      <c r="AG6" t="s">
        <v>184</v>
      </c>
      <c r="AH6" t="s">
        <v>208</v>
      </c>
      <c r="AI6" t="s">
        <v>217</v>
      </c>
    </row>
    <row r="7" spans="1:35" x14ac:dyDescent="0.3">
      <c r="AG7" t="s">
        <v>185</v>
      </c>
      <c r="AH7" t="s">
        <v>91</v>
      </c>
      <c r="AI7" t="s">
        <v>218</v>
      </c>
    </row>
    <row r="8" spans="1:35" x14ac:dyDescent="0.3">
      <c r="AG8" t="s">
        <v>186</v>
      </c>
      <c r="AH8" t="s">
        <v>209</v>
      </c>
      <c r="AI8" t="s">
        <v>219</v>
      </c>
    </row>
    <row r="9" spans="1:35" x14ac:dyDescent="0.3">
      <c r="A9" t="s">
        <v>65</v>
      </c>
      <c r="AG9" t="s">
        <v>187</v>
      </c>
      <c r="AH9" t="s">
        <v>210</v>
      </c>
      <c r="AI9" t="s">
        <v>220</v>
      </c>
    </row>
    <row r="10" spans="1:35" x14ac:dyDescent="0.3">
      <c r="A10" t="s">
        <v>87</v>
      </c>
      <c r="AG10" t="s">
        <v>188</v>
      </c>
      <c r="AH10" t="s">
        <v>211</v>
      </c>
      <c r="AI10" t="s">
        <v>221</v>
      </c>
    </row>
    <row r="11" spans="1:35" x14ac:dyDescent="0.3">
      <c r="A11" t="s">
        <v>88</v>
      </c>
      <c r="AG11" t="s">
        <v>189</v>
      </c>
      <c r="AH11" t="s">
        <v>212</v>
      </c>
    </row>
    <row r="12" spans="1:35" x14ac:dyDescent="0.3">
      <c r="A12" t="s">
        <v>89</v>
      </c>
      <c r="AG12" t="s">
        <v>190</v>
      </c>
    </row>
    <row r="13" spans="1:35" x14ac:dyDescent="0.3">
      <c r="A13" t="s">
        <v>90</v>
      </c>
      <c r="AG13" t="s">
        <v>191</v>
      </c>
    </row>
    <row r="14" spans="1:35" x14ac:dyDescent="0.3">
      <c r="A14" t="s">
        <v>91</v>
      </c>
      <c r="AG14" t="s">
        <v>192</v>
      </c>
    </row>
    <row r="15" spans="1:35" x14ac:dyDescent="0.3">
      <c r="A15" t="s">
        <v>92</v>
      </c>
      <c r="AG15" t="s">
        <v>193</v>
      </c>
    </row>
    <row r="16" spans="1:35" x14ac:dyDescent="0.3">
      <c r="A16" t="s">
        <v>93</v>
      </c>
      <c r="AG16" t="s">
        <v>194</v>
      </c>
    </row>
    <row r="17" spans="1:33" x14ac:dyDescent="0.3">
      <c r="A17" t="s">
        <v>94</v>
      </c>
      <c r="AG17" t="s">
        <v>195</v>
      </c>
    </row>
    <row r="18" spans="1:33" x14ac:dyDescent="0.3">
      <c r="AG18" t="s">
        <v>196</v>
      </c>
    </row>
    <row r="19" spans="1:33" x14ac:dyDescent="0.3">
      <c r="AG19" t="s">
        <v>197</v>
      </c>
    </row>
    <row r="20" spans="1:33" x14ac:dyDescent="0.3">
      <c r="A20" t="s">
        <v>59</v>
      </c>
      <c r="AG20" t="s">
        <v>198</v>
      </c>
    </row>
    <row r="21" spans="1:33" x14ac:dyDescent="0.3">
      <c r="A21" t="s">
        <v>95</v>
      </c>
      <c r="AG21" t="s">
        <v>199</v>
      </c>
    </row>
    <row r="22" spans="1:33" x14ac:dyDescent="0.3">
      <c r="A22" t="s">
        <v>96</v>
      </c>
      <c r="AG22" t="s">
        <v>200</v>
      </c>
    </row>
    <row r="23" spans="1:33" x14ac:dyDescent="0.3">
      <c r="A23" t="s">
        <v>97</v>
      </c>
      <c r="AG23" t="s">
        <v>201</v>
      </c>
    </row>
    <row r="24" spans="1:33" x14ac:dyDescent="0.3">
      <c r="A24" t="s">
        <v>98</v>
      </c>
      <c r="AG24" t="s">
        <v>202</v>
      </c>
    </row>
    <row r="25" spans="1:33" x14ac:dyDescent="0.3">
      <c r="AG25" t="s">
        <v>203</v>
      </c>
    </row>
    <row r="27" spans="1:33" x14ac:dyDescent="0.3">
      <c r="A27" t="s">
        <v>61</v>
      </c>
    </row>
    <row r="28" spans="1:33" x14ac:dyDescent="0.3">
      <c r="A28" t="s">
        <v>99</v>
      </c>
    </row>
    <row r="29" spans="1:33" x14ac:dyDescent="0.3">
      <c r="A29" t="s">
        <v>21</v>
      </c>
    </row>
    <row r="30" spans="1:33" x14ac:dyDescent="0.3">
      <c r="A30" t="s">
        <v>100</v>
      </c>
    </row>
    <row r="31" spans="1:33" x14ac:dyDescent="0.3">
      <c r="A31" t="s">
        <v>101</v>
      </c>
    </row>
    <row r="32" spans="1:33" x14ac:dyDescent="0.3">
      <c r="A32" t="s">
        <v>102</v>
      </c>
    </row>
    <row r="33" spans="1:1" x14ac:dyDescent="0.3">
      <c r="A33" t="s">
        <v>103</v>
      </c>
    </row>
    <row r="34" spans="1:1" x14ac:dyDescent="0.3">
      <c r="A34" t="s">
        <v>94</v>
      </c>
    </row>
    <row r="37" spans="1:1" x14ac:dyDescent="0.3">
      <c r="A37" t="s">
        <v>54</v>
      </c>
    </row>
    <row r="38" spans="1:1" x14ac:dyDescent="0.3">
      <c r="A38" t="s">
        <v>104</v>
      </c>
    </row>
    <row r="39" spans="1:1" x14ac:dyDescent="0.3">
      <c r="A39" t="s">
        <v>105</v>
      </c>
    </row>
    <row r="40" spans="1:1" x14ac:dyDescent="0.3">
      <c r="A40" t="s">
        <v>106</v>
      </c>
    </row>
    <row r="41" spans="1:1" x14ac:dyDescent="0.3">
      <c r="A41" t="s">
        <v>107</v>
      </c>
    </row>
    <row r="44" spans="1:1" x14ac:dyDescent="0.3">
      <c r="A44" t="s">
        <v>77</v>
      </c>
    </row>
    <row r="45" spans="1:1" x14ac:dyDescent="0.3">
      <c r="A45" t="s">
        <v>108</v>
      </c>
    </row>
    <row r="46" spans="1:1" x14ac:dyDescent="0.3">
      <c r="A46" t="s">
        <v>109</v>
      </c>
    </row>
    <row r="47" spans="1:1" x14ac:dyDescent="0.3">
      <c r="A47" t="s">
        <v>110</v>
      </c>
    </row>
    <row r="50" spans="1:1" x14ac:dyDescent="0.3">
      <c r="A50" t="s">
        <v>9</v>
      </c>
    </row>
    <row r="51" spans="1:1" x14ac:dyDescent="0.3">
      <c r="A51" t="s">
        <v>111</v>
      </c>
    </row>
    <row r="52" spans="1:1" x14ac:dyDescent="0.3">
      <c r="A52" t="s">
        <v>112</v>
      </c>
    </row>
    <row r="53" spans="1:1" x14ac:dyDescent="0.3">
      <c r="A53" t="s">
        <v>113</v>
      </c>
    </row>
    <row r="54" spans="1:1" x14ac:dyDescent="0.3">
      <c r="A54" t="s">
        <v>114</v>
      </c>
    </row>
    <row r="55" spans="1:1" x14ac:dyDescent="0.3">
      <c r="A55" t="s">
        <v>115</v>
      </c>
    </row>
    <row r="58" spans="1:1" x14ac:dyDescent="0.3">
      <c r="A58" t="s">
        <v>78</v>
      </c>
    </row>
    <row r="59" spans="1:1" x14ac:dyDescent="0.3">
      <c r="A59" t="s">
        <v>111</v>
      </c>
    </row>
    <row r="60" spans="1:1" x14ac:dyDescent="0.3">
      <c r="A60" t="s">
        <v>113</v>
      </c>
    </row>
    <row r="61" spans="1:1" x14ac:dyDescent="0.3">
      <c r="A61" t="s">
        <v>114</v>
      </c>
    </row>
    <row r="64" spans="1:1" x14ac:dyDescent="0.3">
      <c r="A64" t="s">
        <v>116</v>
      </c>
    </row>
    <row r="65" spans="1:1" x14ac:dyDescent="0.3">
      <c r="A65" t="s">
        <v>111</v>
      </c>
    </row>
    <row r="66" spans="1:1" x14ac:dyDescent="0.3">
      <c r="A66" t="s">
        <v>115</v>
      </c>
    </row>
    <row r="69" spans="1:1" x14ac:dyDescent="0.3">
      <c r="A69" t="s">
        <v>117</v>
      </c>
    </row>
    <row r="70" spans="1:1" x14ac:dyDescent="0.3">
      <c r="A70" t="s">
        <v>111</v>
      </c>
    </row>
    <row r="71" spans="1:1" x14ac:dyDescent="0.3">
      <c r="A71" t="s">
        <v>115</v>
      </c>
    </row>
    <row r="74" spans="1:1" x14ac:dyDescent="0.3">
      <c r="A74" t="s">
        <v>118</v>
      </c>
    </row>
    <row r="75" spans="1:1" x14ac:dyDescent="0.3">
      <c r="A75" t="s">
        <v>111</v>
      </c>
    </row>
    <row r="76" spans="1:1" x14ac:dyDescent="0.3">
      <c r="A76" t="s">
        <v>113</v>
      </c>
    </row>
    <row r="77" spans="1:1" x14ac:dyDescent="0.3">
      <c r="A77" t="s">
        <v>114</v>
      </c>
    </row>
    <row r="80" spans="1:1" x14ac:dyDescent="0.3">
      <c r="A80" t="s">
        <v>33</v>
      </c>
    </row>
    <row r="81" spans="1:1" x14ac:dyDescent="0.3">
      <c r="A81" t="s">
        <v>119</v>
      </c>
    </row>
    <row r="82" spans="1:1" x14ac:dyDescent="0.3">
      <c r="A82" t="s">
        <v>120</v>
      </c>
    </row>
    <row r="85" spans="1:1" x14ac:dyDescent="0.3">
      <c r="A85" t="s">
        <v>121</v>
      </c>
    </row>
    <row r="86" spans="1:1" x14ac:dyDescent="0.3">
      <c r="A86" t="s">
        <v>122</v>
      </c>
    </row>
    <row r="87" spans="1:1" x14ac:dyDescent="0.3">
      <c r="A87" t="s">
        <v>123</v>
      </c>
    </row>
    <row r="90" spans="1:1" x14ac:dyDescent="0.3">
      <c r="A90" t="s">
        <v>14</v>
      </c>
    </row>
    <row r="91" spans="1:1" x14ac:dyDescent="0.3">
      <c r="A91" t="s">
        <v>124</v>
      </c>
    </row>
    <row r="92" spans="1:1" x14ac:dyDescent="0.3">
      <c r="A92" t="s">
        <v>125</v>
      </c>
    </row>
    <row r="93" spans="1:1" x14ac:dyDescent="0.3">
      <c r="A93" t="s">
        <v>88</v>
      </c>
    </row>
    <row r="94" spans="1:1" x14ac:dyDescent="0.3">
      <c r="A94" t="s">
        <v>92</v>
      </c>
    </row>
    <row r="95" spans="1:1" x14ac:dyDescent="0.3">
      <c r="A95" t="s">
        <v>89</v>
      </c>
    </row>
    <row r="96" spans="1:1" x14ac:dyDescent="0.3">
      <c r="A96" t="s">
        <v>91</v>
      </c>
    </row>
    <row r="97" spans="1:3" x14ac:dyDescent="0.3">
      <c r="A97" t="s">
        <v>126</v>
      </c>
    </row>
    <row r="98" spans="1:3" x14ac:dyDescent="0.3">
      <c r="A98" t="s">
        <v>94</v>
      </c>
    </row>
    <row r="101" spans="1:3" x14ac:dyDescent="0.3">
      <c r="A101" t="s">
        <v>7</v>
      </c>
    </row>
    <row r="102" spans="1:3" x14ac:dyDescent="0.3">
      <c r="A102" t="s">
        <v>95</v>
      </c>
    </row>
    <row r="103" spans="1:3" x14ac:dyDescent="0.3">
      <c r="A103" t="s">
        <v>96</v>
      </c>
    </row>
    <row r="106" spans="1:3" x14ac:dyDescent="0.3">
      <c r="A106" t="s">
        <v>127</v>
      </c>
    </row>
    <row r="107" spans="1:3" x14ac:dyDescent="0.3">
      <c r="A107" t="s">
        <v>128</v>
      </c>
    </row>
    <row r="110" spans="1:3" x14ac:dyDescent="0.3">
      <c r="A110" t="s">
        <v>129</v>
      </c>
      <c r="B110" t="s">
        <v>130</v>
      </c>
      <c r="C110" t="s">
        <v>131</v>
      </c>
    </row>
    <row r="111" spans="1:3" x14ac:dyDescent="0.3">
      <c r="A111">
        <v>1</v>
      </c>
      <c r="B111" t="s">
        <v>132</v>
      </c>
      <c r="C111" t="s">
        <v>133</v>
      </c>
    </row>
    <row r="112" spans="1:3" x14ac:dyDescent="0.3">
      <c r="A112">
        <v>2</v>
      </c>
      <c r="B112" t="s">
        <v>134</v>
      </c>
      <c r="C112" t="s">
        <v>135</v>
      </c>
    </row>
    <row r="113" spans="1:3" x14ac:dyDescent="0.3">
      <c r="A113">
        <v>3</v>
      </c>
      <c r="B113" t="s">
        <v>136</v>
      </c>
      <c r="C113" t="s">
        <v>137</v>
      </c>
    </row>
    <row r="114" spans="1:3" x14ac:dyDescent="0.3">
      <c r="A114">
        <v>4</v>
      </c>
      <c r="B114" t="s">
        <v>138</v>
      </c>
      <c r="C114" t="s">
        <v>139</v>
      </c>
    </row>
    <row r="115" spans="1:3" x14ac:dyDescent="0.3">
      <c r="A115">
        <v>5</v>
      </c>
      <c r="B115" t="s">
        <v>140</v>
      </c>
      <c r="C115" t="s">
        <v>140</v>
      </c>
    </row>
    <row r="116" spans="1:3" x14ac:dyDescent="0.3">
      <c r="A116">
        <v>6</v>
      </c>
      <c r="B116" t="s">
        <v>141</v>
      </c>
      <c r="C116" t="s">
        <v>142</v>
      </c>
    </row>
    <row r="117" spans="1:3" x14ac:dyDescent="0.3">
      <c r="A117">
        <v>7</v>
      </c>
      <c r="B117" t="s">
        <v>143</v>
      </c>
      <c r="C117" t="s">
        <v>144</v>
      </c>
    </row>
    <row r="118" spans="1:3" x14ac:dyDescent="0.3">
      <c r="A118">
        <v>8</v>
      </c>
      <c r="B118" t="s">
        <v>145</v>
      </c>
      <c r="C118" t="s">
        <v>146</v>
      </c>
    </row>
    <row r="119" spans="1:3" x14ac:dyDescent="0.3">
      <c r="A119">
        <v>9</v>
      </c>
      <c r="B119" t="s">
        <v>147</v>
      </c>
      <c r="C119" t="s">
        <v>148</v>
      </c>
    </row>
    <row r="120" spans="1:3" x14ac:dyDescent="0.3">
      <c r="A120">
        <v>10</v>
      </c>
      <c r="B120" t="s">
        <v>149</v>
      </c>
      <c r="C120" t="s">
        <v>150</v>
      </c>
    </row>
    <row r="121" spans="1:3" x14ac:dyDescent="0.3">
      <c r="A121">
        <v>11</v>
      </c>
      <c r="B121" t="s">
        <v>151</v>
      </c>
      <c r="C121" t="s">
        <v>152</v>
      </c>
    </row>
    <row r="122" spans="1:3" x14ac:dyDescent="0.3">
      <c r="A122">
        <v>12</v>
      </c>
      <c r="B122" t="s">
        <v>153</v>
      </c>
      <c r="C122" t="s">
        <v>154</v>
      </c>
    </row>
    <row r="125" spans="1:3" x14ac:dyDescent="0.3">
      <c r="A125" t="s">
        <v>155</v>
      </c>
    </row>
    <row r="129" spans="1:1" x14ac:dyDescent="0.3">
      <c r="A129" t="s">
        <v>156</v>
      </c>
    </row>
    <row r="130" spans="1:1" x14ac:dyDescent="0.3">
      <c r="A130" t="s">
        <v>157</v>
      </c>
    </row>
    <row r="131" spans="1:1" x14ac:dyDescent="0.3">
      <c r="A131" t="s">
        <v>158</v>
      </c>
    </row>
    <row r="132" spans="1:1" x14ac:dyDescent="0.3">
      <c r="A132" t="s">
        <v>159</v>
      </c>
    </row>
    <row r="133" spans="1:1" x14ac:dyDescent="0.3">
      <c r="A133" t="s">
        <v>160</v>
      </c>
    </row>
    <row r="134" spans="1:1" x14ac:dyDescent="0.3">
      <c r="A134" t="s">
        <v>161</v>
      </c>
    </row>
    <row r="135" spans="1:1" x14ac:dyDescent="0.3">
      <c r="A135" t="s">
        <v>162</v>
      </c>
    </row>
    <row r="136" spans="1:1" x14ac:dyDescent="0.3">
      <c r="A136" t="s">
        <v>163</v>
      </c>
    </row>
    <row r="137" spans="1:1" x14ac:dyDescent="0.3">
      <c r="A137" t="s">
        <v>164</v>
      </c>
    </row>
    <row r="138" spans="1:1" x14ac:dyDescent="0.3">
      <c r="A138" t="s">
        <v>165</v>
      </c>
    </row>
    <row r="139" spans="1:1" x14ac:dyDescent="0.3">
      <c r="A139" t="s">
        <v>166</v>
      </c>
    </row>
    <row r="140" spans="1:1" x14ac:dyDescent="0.3">
      <c r="A140" t="s">
        <v>167</v>
      </c>
    </row>
    <row r="141" spans="1:1" x14ac:dyDescent="0.3">
      <c r="A141" t="s">
        <v>168</v>
      </c>
    </row>
    <row r="142" spans="1:1" x14ac:dyDescent="0.3">
      <c r="A142" t="s">
        <v>169</v>
      </c>
    </row>
    <row r="143" spans="1:1" x14ac:dyDescent="0.3">
      <c r="A143" t="s">
        <v>170</v>
      </c>
    </row>
    <row r="144" spans="1:1" x14ac:dyDescent="0.3">
      <c r="A144" t="s">
        <v>171</v>
      </c>
    </row>
    <row r="145" spans="1:1" x14ac:dyDescent="0.3">
      <c r="A145" t="s">
        <v>172</v>
      </c>
    </row>
    <row r="146" spans="1:1" x14ac:dyDescent="0.3">
      <c r="A146" t="s">
        <v>173</v>
      </c>
    </row>
    <row r="147" spans="1:1" x14ac:dyDescent="0.3">
      <c r="A147" t="s">
        <v>174</v>
      </c>
    </row>
    <row r="148" spans="1:1" x14ac:dyDescent="0.3">
      <c r="A148" t="s">
        <v>175</v>
      </c>
    </row>
  </sheetData>
  <sheetProtection sheet="1" objects="1" scenarios="1"/>
  <pageMargins left="0.7" right="0.7" top="0.75" bottom="0.75" header="0.3" footer="0.3"/>
  <pageSetup orientation="portrait" horizontalDpi="4294967295" verticalDpi="4294967295"/>
  <tableParts count="21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200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42" customWidth="1"/>
    <col min="2" max="2" width="16" customWidth="1"/>
    <col min="4" max="4" width="24" customWidth="1"/>
    <col min="5" max="8" width="16" customWidth="1"/>
    <col min="9" max="12" width="18" customWidth="1"/>
  </cols>
  <sheetData>
    <row r="1" spans="1:12" x14ac:dyDescent="0.3">
      <c r="A1" s="1" t="s">
        <v>222</v>
      </c>
      <c r="B1" s="4"/>
      <c r="D1" s="1" t="s">
        <v>13</v>
      </c>
      <c r="E1" s="1" t="s">
        <v>16</v>
      </c>
      <c r="F1" s="1" t="s">
        <v>344</v>
      </c>
      <c r="G1" s="1" t="s">
        <v>345</v>
      </c>
      <c r="H1" s="1" t="s">
        <v>17</v>
      </c>
      <c r="I1" s="1" t="s">
        <v>346</v>
      </c>
      <c r="J1" s="1" t="s">
        <v>14</v>
      </c>
      <c r="K1" s="1" t="s">
        <v>347</v>
      </c>
      <c r="L1" s="1" t="s">
        <v>9</v>
      </c>
    </row>
    <row r="2" spans="1:12" x14ac:dyDescent="0.3">
      <c r="D2" s="1">
        <f t="shared" ref="D2:D200" si="0">IF(INDEX(tblAccounts[Account Name],ROW()-1)="","",INDEX(tblAccounts[Account Name],ROW()-1))</f>
      </c>
      <c r="E2" s="1">
        <f t="shared" ref="E2:E200" si="1">IF($D2="","",IFERROR(INDEX(tblAccounts[Opening Balance],ROW()-1),0))</f>
      </c>
      <c r="F2" s="1">
        <f t="shared" ref="F2:F200" si="2">IF($D2="","",SUMIFS(tblTransactions[Amount],tblTransactions[Transaction Type],"Income",tblTransactions[Transaction Status],"Completed",tblTransactions[Source Account],$D2)+SUMIFS(tblTransactions[Amount],tblTransactions[Transaction Type],"Income",tblTransactions[Transaction Status],"Reconciled",tblTransactions[Source Account],$D2)+SUMIFS(tblTransactions[Amount],tblTransactions[Transaction Type],"Transfer",tblTransactions[Transaction Status],"Completed",tblTransactions[Destination Type],"Account",tblTransactions[Destination Name],$D2)+SUMIFS(tblTransactions[Amount],tblTransactions[Transaction Type],"Transfer",tblTransactions[Transaction Status],"Reconciled",tblTransactions[Destination Type],"Account",tblTransactions[Destination Name],$D2)+SUMIFS(tblTransactions[Amount],tblTransactions[Transaction Type],"Adjustment",tblTransactions[Transaction Status],"Completed",tblTransactions[Source Account],$D2,tblTransactions[Amount],"&gt;0")+SUMIFS(tblTransactions[Amount],tblTransactions[Transaction Type],"Adjustment",tblTransactions[Transaction Status],"Reconciled",tblTransactions[Source Account],$D2,tblTransactions[Amount],"&gt;0"))</f>
      </c>
      <c r="G2" s="1">
        <f t="shared" ref="G2:G200" si="3">IF($D2="","",SUMIFS(tblTransactions[Amount],tblTransactions[Transaction Type],"Expense",tblTransactions[Transaction Status],"Completed",tblTransactions[Source Account],$D2)+SUMIFS(tblTransactions[Amount],tblTransactions[Transaction Type],"Expense",tblTransactions[Transaction Status],"Reconciled",tblTransactions[Source Account],$D2)+SUMIFS(tblTransactions[Amount],tblTransactions[Transaction Type],"Transfer",tblTransactions[Transaction Status],"Completed",tblTransactions[Source Account],$D2)+SUMIFS(tblTransactions[Amount],tblTransactions[Transaction Type],"Transfer",tblTransactions[Transaction Status],"Reconciled",tblTransactions[Source Account],$D2)-SUMIFS(tblTransactions[Amount],tblTransactions[Transaction Type],"Adjustment",tblTransactions[Transaction Status],"Completed",tblTransactions[Source Account],$D2,tblTransactions[Amount],"&lt;0")-SUMIFS(tblTransactions[Amount],tblTransactions[Transaction Type],"Adjustment",tblTransactions[Transaction Status],"Reconciled",tblTransactions[Source Account],$D2,tblTransactions[Amount],"&lt;0"))</f>
      </c>
      <c r="H2" s="1">
        <f t="shared" ref="H2:H200" si="4">IF($D2="","",$E2+$F2-$G2)</f>
      </c>
      <c r="I2" s="4" t="e">
        <f t="shared" ref="I2:I200" si="5">#N/A</f>
        <v>#N/A</v>
      </c>
      <c r="J2" s="1">
        <f t="shared" ref="J2:J200" si="6">IF($D2="","",IFERROR(INDEX(tblAccounts[Account Type],ROW()-1),""))</f>
      </c>
      <c r="K2" s="1">
        <f t="shared" ref="K2:K200" si="7">IF($D2="","",IFERROR(INDEX(tblAccounts[Include in Dashboard],ROW()-1),""))</f>
      </c>
      <c r="L2" s="1">
        <f t="shared" ref="L2:L200" si="8">IF($D2="","",IFERROR(INDEX(tblAccounts[Status],ROW()-1),""))</f>
      </c>
    </row>
    <row r="3" spans="1:12" x14ac:dyDescent="0.3">
      <c r="A3" s="1" t="s">
        <v>223</v>
      </c>
      <c r="D3" s="1">
        <f t="shared" si="0"/>
      </c>
      <c r="E3" s="1">
        <f t="shared" si="1"/>
      </c>
      <c r="F3" s="1">
        <f t="shared" si="2"/>
      </c>
      <c r="G3" s="1">
        <f t="shared" si="3"/>
      </c>
      <c r="H3" s="1">
        <f t="shared" si="4"/>
      </c>
      <c r="I3" s="4" t="e">
        <f t="shared" si="5"/>
        <v>#N/A</v>
      </c>
      <c r="J3" s="1">
        <f t="shared" si="6"/>
      </c>
      <c r="K3" s="1">
        <f t="shared" si="7"/>
      </c>
      <c r="L3" s="1">
        <f t="shared" si="8"/>
      </c>
    </row>
    <row r="4" spans="1:12" x14ac:dyDescent="0.3">
      <c r="A4" s="1" t="s">
        <v>224</v>
      </c>
      <c r="B4" s="1">
        <f>IFERROR(SUMIFS($H$2:$H$200,$L$2:$L$200,"Active",$K$2:$K$200,"Yes"),0)</f>
        <v>0</v>
      </c>
      <c r="D4" s="1">
        <f t="shared" si="0"/>
      </c>
      <c r="E4" s="1">
        <f t="shared" si="1"/>
      </c>
      <c r="F4" s="1">
        <f t="shared" si="2"/>
      </c>
      <c r="G4" s="1">
        <f t="shared" si="3"/>
      </c>
      <c r="H4" s="1">
        <f t="shared" si="4"/>
      </c>
      <c r="I4" s="4" t="e">
        <f t="shared" si="5"/>
        <v>#N/A</v>
      </c>
      <c r="J4" s="1">
        <f t="shared" si="6"/>
      </c>
      <c r="K4" s="1">
        <f t="shared" si="7"/>
      </c>
      <c r="L4" s="1">
        <f t="shared" si="8"/>
      </c>
    </row>
    <row r="5" spans="1:12" x14ac:dyDescent="0.3">
      <c r="A5" s="1" t="s">
        <v>225</v>
      </c>
      <c r="B5" s="1">
        <f>COUNTIFS($D$2:$D$200,"&lt;&gt;",$L$2:$L$200,"Active",$K$2:$K$200,"Yes")</f>
        <v>0</v>
      </c>
      <c r="D5" s="1">
        <f t="shared" si="0"/>
      </c>
      <c r="E5" s="1">
        <f t="shared" si="1"/>
      </c>
      <c r="F5" s="1">
        <f t="shared" si="2"/>
      </c>
      <c r="G5" s="1">
        <f t="shared" si="3"/>
      </c>
      <c r="H5" s="1">
        <f t="shared" si="4"/>
      </c>
      <c r="I5" s="4" t="e">
        <f t="shared" si="5"/>
        <v>#N/A</v>
      </c>
      <c r="J5" s="1">
        <f t="shared" si="6"/>
      </c>
      <c r="K5" s="1">
        <f t="shared" si="7"/>
      </c>
      <c r="L5" s="1">
        <f t="shared" si="8"/>
      </c>
    </row>
    <row r="6" spans="1:12" x14ac:dyDescent="0.3">
      <c r="A6" s="1" t="s">
        <v>226</v>
      </c>
      <c r="B6" s="1">
        <f>IFERROR(SUMIFS($H$2:$H$200,$J$2:$J$200,"Cash",$L$2:$L$200,"Active",$K$2:$K$200,"Yes"),0)</f>
        <v>0</v>
      </c>
      <c r="D6" s="1">
        <f t="shared" si="0"/>
      </c>
      <c r="E6" s="1">
        <f t="shared" si="1"/>
      </c>
      <c r="F6" s="1">
        <f t="shared" si="2"/>
      </c>
      <c r="G6" s="1">
        <f t="shared" si="3"/>
      </c>
      <c r="H6" s="1">
        <f t="shared" si="4"/>
      </c>
      <c r="I6" s="4" t="e">
        <f t="shared" si="5"/>
        <v>#N/A</v>
      </c>
      <c r="J6" s="1">
        <f t="shared" si="6"/>
      </c>
      <c r="K6" s="1">
        <f t="shared" si="7"/>
      </c>
      <c r="L6" s="1">
        <f t="shared" si="8"/>
      </c>
    </row>
    <row r="7" spans="1:12" x14ac:dyDescent="0.3">
      <c r="A7" s="1" t="s">
        <v>227</v>
      </c>
      <c r="B7" s="1">
        <f>IFERROR(SUMIFS($H$2:$H$200,$J$2:$J$200,"Savings Bank",$L$2:$L$200,"Active",$K$2:$K$200,"Yes"),0)</f>
        <v>0</v>
      </c>
      <c r="D7" s="1">
        <f t="shared" si="0"/>
      </c>
      <c r="E7" s="1">
        <f t="shared" si="1"/>
      </c>
      <c r="F7" s="1">
        <f t="shared" si="2"/>
      </c>
      <c r="G7" s="1">
        <f t="shared" si="3"/>
      </c>
      <c r="H7" s="1">
        <f t="shared" si="4"/>
      </c>
      <c r="I7" s="4" t="e">
        <f t="shared" si="5"/>
        <v>#N/A</v>
      </c>
      <c r="J7" s="1">
        <f t="shared" si="6"/>
      </c>
      <c r="K7" s="1">
        <f t="shared" si="7"/>
      </c>
      <c r="L7" s="1">
        <f t="shared" si="8"/>
      </c>
    </row>
    <row r="8" spans="1:12" x14ac:dyDescent="0.3">
      <c r="A8" s="1" t="s">
        <v>228</v>
      </c>
      <c r="B8" s="1">
        <f>IFERROR(SUMIFS($H$2:$H$200,$J$2:$J$200,"Investment Account",$L$2:$L$200,"Active",$K$2:$K$200,"Yes"),0)</f>
        <v>0</v>
      </c>
      <c r="D8" s="1">
        <f t="shared" si="0"/>
      </c>
      <c r="E8" s="1">
        <f t="shared" si="1"/>
      </c>
      <c r="F8" s="1">
        <f t="shared" si="2"/>
      </c>
      <c r="G8" s="1">
        <f t="shared" si="3"/>
      </c>
      <c r="H8" s="1">
        <f t="shared" si="4"/>
      </c>
      <c r="I8" s="4" t="e">
        <f t="shared" si="5"/>
        <v>#N/A</v>
      </c>
      <c r="J8" s="1">
        <f t="shared" si="6"/>
      </c>
      <c r="K8" s="1">
        <f t="shared" si="7"/>
      </c>
      <c r="L8" s="1">
        <f t="shared" si="8"/>
      </c>
    </row>
    <row r="9" spans="1:12" x14ac:dyDescent="0.3">
      <c r="A9" s="1" t="s">
        <v>229</v>
      </c>
      <c r="B9" s="1">
        <f>IFERROR(SUMIFS($H$2:$H$200,$J$2:$J$200,"Credit Card",$L$2:$L$200,"Active",$K$2:$K$200,"Yes"),0)</f>
        <v>0</v>
      </c>
      <c r="D9" s="1">
        <f t="shared" si="0"/>
      </c>
      <c r="E9" s="1">
        <f t="shared" si="1"/>
      </c>
      <c r="F9" s="1">
        <f t="shared" si="2"/>
      </c>
      <c r="G9" s="1">
        <f t="shared" si="3"/>
      </c>
      <c r="H9" s="1">
        <f t="shared" si="4"/>
      </c>
      <c r="I9" s="4" t="e">
        <f t="shared" si="5"/>
        <v>#N/A</v>
      </c>
      <c r="J9" s="1">
        <f t="shared" si="6"/>
      </c>
      <c r="K9" s="1">
        <f t="shared" si="7"/>
      </c>
      <c r="L9" s="1">
        <f t="shared" si="8"/>
      </c>
    </row>
    <row r="10" spans="1:12" x14ac:dyDescent="0.3">
      <c r="D10" s="1">
        <f t="shared" si="0"/>
      </c>
      <c r="E10" s="1">
        <f t="shared" si="1"/>
      </c>
      <c r="F10" s="1">
        <f t="shared" si="2"/>
      </c>
      <c r="G10" s="1">
        <f t="shared" si="3"/>
      </c>
      <c r="H10" s="1">
        <f t="shared" si="4"/>
      </c>
      <c r="I10" s="4" t="e">
        <f t="shared" si="5"/>
        <v>#N/A</v>
      </c>
      <c r="J10" s="1">
        <f t="shared" si="6"/>
      </c>
      <c r="K10" s="1">
        <f t="shared" si="7"/>
      </c>
      <c r="L10" s="1">
        <f t="shared" si="8"/>
      </c>
    </row>
    <row r="11" spans="1:12" x14ac:dyDescent="0.3">
      <c r="A11" s="1" t="s">
        <v>230</v>
      </c>
      <c r="D11" s="1">
        <f t="shared" si="0"/>
      </c>
      <c r="E11" s="1">
        <f t="shared" si="1"/>
      </c>
      <c r="F11" s="1">
        <f t="shared" si="2"/>
      </c>
      <c r="G11" s="1">
        <f t="shared" si="3"/>
      </c>
      <c r="H11" s="1">
        <f t="shared" si="4"/>
      </c>
      <c r="I11" s="4" t="e">
        <f t="shared" si="5"/>
        <v>#N/A</v>
      </c>
      <c r="J11" s="1">
        <f t="shared" si="6"/>
      </c>
      <c r="K11" s="1">
        <f t="shared" si="7"/>
      </c>
      <c r="L11" s="1">
        <f t="shared" si="8"/>
      </c>
    </row>
    <row r="12" spans="1:12" x14ac:dyDescent="0.3">
      <c r="A12" s="1" t="s">
        <v>231</v>
      </c>
      <c r="B12" s="1">
        <f>IFERROR(SUMPRODUCT((tblTransactions[Transaction Type]="Income")*(tblTransactions[Transaction Date]&gt;=DATE(YEAR($B$1),MONTH($B$1),1))*(tblTransactions[Transaction Date]&lt;DATE(YEAR($B$1),MONTH($B$1)+1,1))*(tblTransactions[Amount])*((tblTransactions[Transaction Status]="Completed")+(tblTransactions[Transaction Status]="Reconciled"))*(IFERROR(INDEX(tblIncomeSources[Income Category],MATCH(tblTransactions[Income Source],tblIncomeSources[Income Source Name],0)),"")="Salary")),0)</f>
        <v>0</v>
      </c>
      <c r="D12" s="1">
        <f t="shared" si="0"/>
      </c>
      <c r="E12" s="1">
        <f t="shared" si="1"/>
      </c>
      <c r="F12" s="1">
        <f t="shared" si="2"/>
      </c>
      <c r="G12" s="1">
        <f t="shared" si="3"/>
      </c>
      <c r="H12" s="1">
        <f t="shared" si="4"/>
      </c>
      <c r="I12" s="4" t="e">
        <f t="shared" si="5"/>
        <v>#N/A</v>
      </c>
      <c r="J12" s="1">
        <f t="shared" si="6"/>
      </c>
      <c r="K12" s="1">
        <f t="shared" si="7"/>
      </c>
      <c r="L12" s="1">
        <f t="shared" si="8"/>
      </c>
    </row>
    <row r="13" spans="1:12" x14ac:dyDescent="0.3">
      <c r="A13" s="1" t="s">
        <v>232</v>
      </c>
      <c r="B13" s="1">
        <f>IFERROR(SUMPRODUCT((tblTransactions[Transaction Type]="Income")*(tblTransactions[Transaction Date]&gt;=DATE(YEAR($B$1),MONTH($B$1),1))*(tblTransactions[Transaction Date]&lt;DATE(YEAR($B$1),MONTH($B$1)+1,1))*(tblTransactions[Amount])*((tblTransactions[Transaction Status]="Completed")+(tblTransactions[Transaction Status]="Reconciled"))*(IFERROR(INDEX(tblIncomeSources[Income Category],MATCH(tblTransactions[Income Source],tblIncomeSources[Income Source Name],0)),"")="Business Income")),0)</f>
        <v>0</v>
      </c>
      <c r="D13" s="1">
        <f t="shared" si="0"/>
      </c>
      <c r="E13" s="1">
        <f t="shared" si="1"/>
      </c>
      <c r="F13" s="1">
        <f t="shared" si="2"/>
      </c>
      <c r="G13" s="1">
        <f t="shared" si="3"/>
      </c>
      <c r="H13" s="1">
        <f t="shared" si="4"/>
      </c>
      <c r="I13" s="4" t="e">
        <f t="shared" si="5"/>
        <v>#N/A</v>
      </c>
      <c r="J13" s="1">
        <f t="shared" si="6"/>
      </c>
      <c r="K13" s="1">
        <f t="shared" si="7"/>
      </c>
      <c r="L13" s="1">
        <f t="shared" si="8"/>
      </c>
    </row>
    <row r="14" spans="1:12" x14ac:dyDescent="0.3">
      <c r="A14" s="1" t="s">
        <v>233</v>
      </c>
      <c r="B14" s="1">
        <f>IFERROR(SUMPRODUCT((tblTransactions[Transaction Type]="Income")*(tblTransactions[Transaction Date]&gt;=DATE(YEAR($B$1),MONTH($B$1),1))*(tblTransactions[Transaction Date]&lt;DATE(YEAR($B$1),MONTH($B$1)+1,1))*(tblTransactions[Amount])*((tblTransactions[Transaction Status]="Completed")+(tblTransactions[Transaction Status]="Reconciled"))*(IFERROR(INDEX(tblIncomeSources[Income Category],MATCH(tblTransactions[Income Source],tblIncomeSources[Income Source Name],0)),"")="Freelance")),0)</f>
        <v>0</v>
      </c>
      <c r="D14" s="1">
        <f t="shared" si="0"/>
      </c>
      <c r="E14" s="1">
        <f t="shared" si="1"/>
      </c>
      <c r="F14" s="1">
        <f t="shared" si="2"/>
      </c>
      <c r="G14" s="1">
        <f t="shared" si="3"/>
      </c>
      <c r="H14" s="1">
        <f t="shared" si="4"/>
      </c>
      <c r="I14" s="4" t="e">
        <f t="shared" si="5"/>
        <v>#N/A</v>
      </c>
      <c r="J14" s="1">
        <f t="shared" si="6"/>
      </c>
      <c r="K14" s="1">
        <f t="shared" si="7"/>
      </c>
      <c r="L14" s="1">
        <f t="shared" si="8"/>
      </c>
    </row>
    <row r="15" spans="1:12" x14ac:dyDescent="0.3">
      <c r="A15" s="1" t="s">
        <v>234</v>
      </c>
      <c r="B15" s="1">
        <f>IFERROR(SUMPRODUCT((tblTransactions[Transaction Type]="Income")*(tblTransactions[Transaction Date]&gt;=DATE(YEAR($B$1),MONTH($B$1),1))*(tblTransactions[Transaction Date]&lt;DATE(YEAR($B$1),MONTH($B$1)+1,1))*(tblTransactions[Amount])*((tblTransactions[Transaction Status]="Completed")+(tblTransactions[Transaction Status]="Reconciled"))*(IFERROR(INDEX(tblIncomeSources[Income Category],MATCH(tblTransactions[Income Source],tblIncomeSources[Income Source Name],0)),"")="Investment")),0)</f>
        <v>0</v>
      </c>
      <c r="D15" s="1">
        <f t="shared" si="0"/>
      </c>
      <c r="E15" s="1">
        <f t="shared" si="1"/>
      </c>
      <c r="F15" s="1">
        <f t="shared" si="2"/>
      </c>
      <c r="G15" s="1">
        <f t="shared" si="3"/>
      </c>
      <c r="H15" s="1">
        <f t="shared" si="4"/>
      </c>
      <c r="I15" s="4" t="e">
        <f t="shared" si="5"/>
        <v>#N/A</v>
      </c>
      <c r="J15" s="1">
        <f t="shared" si="6"/>
      </c>
      <c r="K15" s="1">
        <f t="shared" si="7"/>
      </c>
      <c r="L15" s="1">
        <f t="shared" si="8"/>
      </c>
    </row>
    <row r="16" spans="1:12" x14ac:dyDescent="0.3">
      <c r="A16" s="1" t="s">
        <v>235</v>
      </c>
      <c r="B16" s="1">
        <f>IFERROR(SUMIFS(tblTransactions[Amount],tblTransactions[Transaction Type],"Income",tblTransactions[Transaction Status],"Completed",tblTransactions[Transaction Date],"&gt;="&amp;DATE(YEAR($B$1),MONTH($B$1),1),tblTransactions[Transaction Date],"&lt;"&amp;DATE(YEAR($B$1),MONTH($B$1)+1,1))+SUMIFS(tblTransactions[Amount],tblTransactions[Transaction Type],"Income",tblTransactions[Transaction Status],"Reconciled",tblTransactions[Transaction Date],"&gt;="&amp;DATE(YEAR($B$1),MONTH($B$1),1),tblTransactions[Transaction Date],"&lt;"&amp;DATE(YEAR($B$1),MONTH($B$1)+1,1)),0)</f>
        <v>0</v>
      </c>
      <c r="D16" s="1">
        <f t="shared" si="0"/>
      </c>
      <c r="E16" s="1">
        <f t="shared" si="1"/>
      </c>
      <c r="F16" s="1">
        <f t="shared" si="2"/>
      </c>
      <c r="G16" s="1">
        <f t="shared" si="3"/>
      </c>
      <c r="H16" s="1">
        <f t="shared" si="4"/>
      </c>
      <c r="I16" s="4" t="e">
        <f t="shared" si="5"/>
        <v>#N/A</v>
      </c>
      <c r="J16" s="1">
        <f t="shared" si="6"/>
      </c>
      <c r="K16" s="1">
        <f t="shared" si="7"/>
      </c>
      <c r="L16" s="1">
        <f t="shared" si="8"/>
      </c>
    </row>
    <row r="17" spans="1:12" x14ac:dyDescent="0.3">
      <c r="A17" s="1" t="s">
        <v>236</v>
      </c>
      <c r="B17" s="1">
        <f>MAX(0,$B$16-($B$12+$B$13+$B$14+$B$15))</f>
        <v>0</v>
      </c>
      <c r="D17" s="1">
        <f t="shared" si="0"/>
      </c>
      <c r="E17" s="1">
        <f t="shared" si="1"/>
      </c>
      <c r="F17" s="1">
        <f t="shared" si="2"/>
      </c>
      <c r="G17" s="1">
        <f t="shared" si="3"/>
      </c>
      <c r="H17" s="1">
        <f t="shared" si="4"/>
      </c>
      <c r="I17" s="4" t="e">
        <f t="shared" si="5"/>
        <v>#N/A</v>
      </c>
      <c r="J17" s="1">
        <f t="shared" si="6"/>
      </c>
      <c r="K17" s="1">
        <f t="shared" si="7"/>
      </c>
      <c r="L17" s="1">
        <f t="shared" si="8"/>
      </c>
    </row>
    <row r="18" spans="1:12" x14ac:dyDescent="0.3">
      <c r="A18" s="1" t="s">
        <v>237</v>
      </c>
      <c r="B18" s="1">
        <f>IFERROR(SUMIFS(tblTransactions[Amount],tblTransactions[Transaction Type],"Income",tblTransactions[Transaction Status],"Completed",tblTransactions[Transaction Date],"&gt;="&amp;DATE(YEAR($B$1),1,1),tblTransactions[Transaction Date],"&lt;"&amp;DATE(YEAR($B$1)+1,1,1))+SUMIFS(tblTransactions[Amount],tblTransactions[Transaction Type],"Income",tblTransactions[Transaction Status],"Reconciled",tblTransactions[Transaction Date],"&gt;="&amp;DATE(YEAR($B$1),1,1),tblTransactions[Transaction Date],"&lt;"&amp;DATE(YEAR($B$1)+1,1,1)),0)</f>
        <v>0</v>
      </c>
      <c r="D18" s="1">
        <f t="shared" si="0"/>
      </c>
      <c r="E18" s="1">
        <f t="shared" si="1"/>
      </c>
      <c r="F18" s="1">
        <f t="shared" si="2"/>
      </c>
      <c r="G18" s="1">
        <f t="shared" si="3"/>
      </c>
      <c r="H18" s="1">
        <f t="shared" si="4"/>
      </c>
      <c r="I18" s="4" t="e">
        <f t="shared" si="5"/>
        <v>#N/A</v>
      </c>
      <c r="J18" s="1">
        <f t="shared" si="6"/>
      </c>
      <c r="K18" s="1">
        <f t="shared" si="7"/>
      </c>
      <c r="L18" s="1">
        <f t="shared" si="8"/>
      </c>
    </row>
    <row r="19" spans="1:12" x14ac:dyDescent="0.3">
      <c r="A19" s="1" t="s">
        <v>238</v>
      </c>
      <c r="B19" s="1">
        <f>COUNTIFS(tblIncomeSources[Status],"Active")</f>
        <v>0</v>
      </c>
      <c r="D19" s="1">
        <f t="shared" si="0"/>
      </c>
      <c r="E19" s="1">
        <f t="shared" si="1"/>
      </c>
      <c r="F19" s="1">
        <f t="shared" si="2"/>
      </c>
      <c r="G19" s="1">
        <f t="shared" si="3"/>
      </c>
      <c r="H19" s="1">
        <f t="shared" si="4"/>
      </c>
      <c r="I19" s="4" t="e">
        <f t="shared" si="5"/>
        <v>#N/A</v>
      </c>
      <c r="J19" s="1">
        <f t="shared" si="6"/>
      </c>
      <c r="K19" s="1">
        <f t="shared" si="7"/>
      </c>
      <c r="L19" s="1">
        <f t="shared" si="8"/>
      </c>
    </row>
    <row r="20" spans="1:12" x14ac:dyDescent="0.3">
      <c r="D20" s="1">
        <f t="shared" si="0"/>
      </c>
      <c r="E20" s="1">
        <f t="shared" si="1"/>
      </c>
      <c r="F20" s="1">
        <f t="shared" si="2"/>
      </c>
      <c r="G20" s="1">
        <f t="shared" si="3"/>
      </c>
      <c r="H20" s="1">
        <f t="shared" si="4"/>
      </c>
      <c r="I20" s="4" t="e">
        <f t="shared" si="5"/>
        <v>#N/A</v>
      </c>
      <c r="J20" s="1">
        <f t="shared" si="6"/>
      </c>
      <c r="K20" s="1">
        <f t="shared" si="7"/>
      </c>
      <c r="L20" s="1">
        <f t="shared" si="8"/>
      </c>
    </row>
    <row r="21" spans="1:12" x14ac:dyDescent="0.3">
      <c r="A21" s="1" t="s">
        <v>239</v>
      </c>
      <c r="D21" s="1">
        <f t="shared" si="0"/>
      </c>
      <c r="E21" s="1">
        <f t="shared" si="1"/>
      </c>
      <c r="F21" s="1">
        <f t="shared" si="2"/>
      </c>
      <c r="G21" s="1">
        <f t="shared" si="3"/>
      </c>
      <c r="H21" s="1">
        <f t="shared" si="4"/>
      </c>
      <c r="I21" s="4" t="e">
        <f t="shared" si="5"/>
        <v>#N/A</v>
      </c>
      <c r="J21" s="1">
        <f t="shared" si="6"/>
      </c>
      <c r="K21" s="1">
        <f t="shared" si="7"/>
      </c>
      <c r="L21" s="1">
        <f t="shared" si="8"/>
      </c>
    </row>
    <row r="22" spans="1:12" x14ac:dyDescent="0.3">
      <c r="A22" s="1" t="s">
        <v>240</v>
      </c>
      <c r="B22" s="1">
        <f>IFERROR(SUMIFS(tblTransactions[Amount],tblTransactions[Transaction Type],"Expense",tblTransactions[Transaction Status],"Completed",tblTransactions[Transaction Date],"&gt;="&amp;DATE(YEAR($B$1),MONTH($B$1),1),tblTransactions[Transaction Date],"&lt;"&amp;DATE(YEAR($B$1),MONTH($B$1)+1,1))+SUMIFS(tblTransactions[Amount],tblTransactions[Transaction Type],"Expense",tblTransactions[Transaction Status],"Reconciled",tblTransactions[Transaction Date],"&gt;="&amp;DATE(YEAR($B$1),MONTH($B$1),1),tblTransactions[Transaction Date],"&lt;"&amp;DATE(YEAR($B$1),MONTH($B$1)+1,1))-SUMIFS(tblTransactions[Amount],tblTransactions[Transaction Type],"Expense",tblTransactions[Transaction Status],"Completed",tblTransactions[Destination Type],"Asset",tblTransactions[Transaction Date],"&gt;="&amp;DATE(YEAR($B$1),MONTH($B$1),1),tblTransactions[Transaction Date],"&lt;"&amp;DATE(YEAR($B$1),MONTH($B$1)+1,1))-SUMIFS(tblTransactions[Amount],tblTransactions[Transaction Type],"Expense",tblTransactions[Transaction Status],"Reconciled",tblTransactions[Destination Type],"Asset",tblTransactions[Transaction Date],"&gt;="&amp;DATE(YEAR($B$1),MONTH($B$1),1),tblTransactions[Transaction Date],"&lt;"&amp;DATE(YEAR($B$1),MONTH($B$1)+1,1)),0)</f>
        <v>0</v>
      </c>
      <c r="D22" s="1">
        <f t="shared" si="0"/>
      </c>
      <c r="E22" s="1">
        <f t="shared" si="1"/>
      </c>
      <c r="F22" s="1">
        <f t="shared" si="2"/>
      </c>
      <c r="G22" s="1">
        <f t="shared" si="3"/>
      </c>
      <c r="H22" s="1">
        <f t="shared" si="4"/>
      </c>
      <c r="I22" s="4" t="e">
        <f t="shared" si="5"/>
        <v>#N/A</v>
      </c>
      <c r="J22" s="1">
        <f t="shared" si="6"/>
      </c>
      <c r="K22" s="1">
        <f t="shared" si="7"/>
      </c>
      <c r="L22" s="1">
        <f t="shared" si="8"/>
      </c>
    </row>
    <row r="23" spans="1:12" x14ac:dyDescent="0.3">
      <c r="A23" s="1" t="s">
        <v>241</v>
      </c>
      <c r="B23" s="1">
        <f>IFERROR(SUMIFS(tblTransactions[Amount],tblTransactions[Transaction Type],"Expense",tblTransactions[Transaction Status],"Completed",tblTransactions[Transaction Date],"&gt;="&amp;DATE(YEAR($B$1),MONTH($B$1)-1,1),tblTransactions[Transaction Date],"&lt;"&amp;DATE(YEAR($B$1),MONTH($B$1),1))+SUMIFS(tblTransactions[Amount],tblTransactions[Transaction Type],"Expense",tblTransactions[Transaction Status],"Reconciled",tblTransactions[Transaction Date],"&gt;="&amp;DATE(YEAR($B$1),MONTH($B$1)-1,1),tblTransactions[Transaction Date],"&lt;"&amp;DATE(YEAR($B$1),MONTH($B$1),1))-SUMIFS(tblTransactions[Amount],tblTransactions[Transaction Type],"Expense",tblTransactions[Transaction Status],"Completed",tblTransactions[Destination Type],"Asset",tblTransactions[Transaction Date],"&gt;="&amp;DATE(YEAR($B$1),MONTH($B$1)-1,1),tblTransactions[Transaction Date],"&lt;"&amp;DATE(YEAR($B$1),MONTH($B$1),1))-SUMIFS(tblTransactions[Amount],tblTransactions[Transaction Type],"Expense",tblTransactions[Transaction Status],"Reconciled",tblTransactions[Destination Type],"Asset",tblTransactions[Transaction Date],"&gt;="&amp;DATE(YEAR($B$1),MONTH($B$1)-1,1),tblTransactions[Transaction Date],"&lt;"&amp;DATE(YEAR($B$1),MONTH($B$1),1)),0)</f>
        <v>0</v>
      </c>
      <c r="D23" s="1">
        <f t="shared" si="0"/>
      </c>
      <c r="E23" s="1">
        <f t="shared" si="1"/>
      </c>
      <c r="F23" s="1">
        <f t="shared" si="2"/>
      </c>
      <c r="G23" s="1">
        <f t="shared" si="3"/>
      </c>
      <c r="H23" s="1">
        <f t="shared" si="4"/>
      </c>
      <c r="I23" s="4" t="e">
        <f t="shared" si="5"/>
        <v>#N/A</v>
      </c>
      <c r="J23" s="1">
        <f t="shared" si="6"/>
      </c>
      <c r="K23" s="1">
        <f t="shared" si="7"/>
      </c>
      <c r="L23" s="1">
        <f t="shared" si="8"/>
      </c>
    </row>
    <row r="24" spans="1:12" x14ac:dyDescent="0.3">
      <c r="A24" s="1" t="s">
        <v>242</v>
      </c>
      <c r="B24" s="1">
        <f>IFERROR(SUMIFS(tblTransactions[Amount],tblTransactions[Transaction Type],"Expense",tblTransactions[Transaction Status],"Completed",tblTransactions[Transaction Date],"&gt;="&amp;DATE(YEAR($B$1),1,1),tblTransactions[Transaction Date],"&lt;="&amp;$B$1)+SUMIFS(tblTransactions[Amount],tblTransactions[Transaction Type],"Expense",tblTransactions[Transaction Status],"Reconciled",tblTransactions[Transaction Date],"&gt;="&amp;DATE(YEAR($B$1),1,1),tblTransactions[Transaction Date],"&lt;="&amp;$B$1)-SUMIFS(tblTransactions[Amount],tblTransactions[Transaction Type],"Expense",tblTransactions[Transaction Status],"Completed",tblTransactions[Destination Type],"Asset",tblTransactions[Transaction Date],"&gt;="&amp;DATE(YEAR($B$1),1,1),tblTransactions[Transaction Date],"&lt;="&amp;$B$1)-SUMIFS(tblTransactions[Amount],tblTransactions[Transaction Type],"Expense",tblTransactions[Transaction Status],"Reconciled",tblTransactions[Destination Type],"Asset",tblTransactions[Transaction Date],"&gt;="&amp;DATE(YEAR($B$1),1,1),tblTransactions[Transaction Date],"&lt;="&amp;$B$1),0)</f>
        <v>0</v>
      </c>
      <c r="D24" s="1">
        <f t="shared" si="0"/>
      </c>
      <c r="E24" s="1">
        <f t="shared" si="1"/>
      </c>
      <c r="F24" s="1">
        <f t="shared" si="2"/>
      </c>
      <c r="G24" s="1">
        <f t="shared" si="3"/>
      </c>
      <c r="H24" s="1">
        <f t="shared" si="4"/>
      </c>
      <c r="I24" s="4" t="e">
        <f t="shared" si="5"/>
        <v>#N/A</v>
      </c>
      <c r="J24" s="1">
        <f t="shared" si="6"/>
      </c>
      <c r="K24" s="1">
        <f t="shared" si="7"/>
      </c>
      <c r="L24" s="1">
        <f t="shared" si="8"/>
      </c>
    </row>
    <row r="25" spans="1:12" x14ac:dyDescent="0.3">
      <c r="A25" s="1" t="s">
        <v>243</v>
      </c>
      <c r="B25" s="1">
        <f>COUNTIFS(tblTransactions[Transaction Type],"Expense",tblTransactions[Transaction Status],"Completed",tblTransactions[Transaction Date],"&gt;="&amp;DATE(YEAR($B$1),MONTH($B$1),1),tblTransactions[Transaction Date],"&lt;"&amp;DATE(YEAR($B$1),MONTH($B$1)+1,1))+COUNTIFS(tblTransactions[Transaction Type],"Expense",tblTransactions[Transaction Status],"Reconciled",tblTransactions[Transaction Date],"&gt;="&amp;DATE(YEAR($B$1),MONTH($B$1),1),tblTransactions[Transaction Date],"&lt;"&amp;DATE(YEAR($B$1),MONTH($B$1)+1,1))-COUNTIFS(tblTransactions[Transaction Type],"Expense",tblTransactions[Transaction Status],"Completed",tblTransactions[Destination Type],"Asset",tblTransactions[Transaction Date],"&gt;="&amp;DATE(YEAR($B$1),MONTH($B$1),1),tblTransactions[Transaction Date],"&lt;"&amp;DATE(YEAR($B$1),MONTH($B$1)+1,1))-COUNTIFS(tblTransactions[Transaction Type],"Expense",tblTransactions[Transaction Status],"Reconciled",tblTransactions[Destination Type],"Asset",tblTransactions[Transaction Date],"&gt;="&amp;DATE(YEAR($B$1),MONTH($B$1),1),tblTransactions[Transaction Date],"&lt;"&amp;DATE(YEAR($B$1),MONTH($B$1)+1,1))</f>
        <v>0</v>
      </c>
      <c r="D25" s="1">
        <f t="shared" si="0"/>
      </c>
      <c r="E25" s="1">
        <f t="shared" si="1"/>
      </c>
      <c r="F25" s="1">
        <f t="shared" si="2"/>
      </c>
      <c r="G25" s="1">
        <f t="shared" si="3"/>
      </c>
      <c r="H25" s="1">
        <f t="shared" si="4"/>
      </c>
      <c r="I25" s="4" t="e">
        <f t="shared" si="5"/>
        <v>#N/A</v>
      </c>
      <c r="J25" s="1">
        <f t="shared" si="6"/>
      </c>
      <c r="K25" s="1">
        <f t="shared" si="7"/>
      </c>
      <c r="L25" s="1">
        <f t="shared" si="8"/>
      </c>
    </row>
    <row r="26" spans="1:12" x14ac:dyDescent="0.3">
      <c r="D26" s="1">
        <f t="shared" si="0"/>
      </c>
      <c r="E26" s="1">
        <f t="shared" si="1"/>
      </c>
      <c r="F26" s="1">
        <f t="shared" si="2"/>
      </c>
      <c r="G26" s="1">
        <f t="shared" si="3"/>
      </c>
      <c r="H26" s="1">
        <f t="shared" si="4"/>
      </c>
      <c r="I26" s="4" t="e">
        <f t="shared" si="5"/>
        <v>#N/A</v>
      </c>
      <c r="J26" s="1">
        <f t="shared" si="6"/>
      </c>
      <c r="K26" s="1">
        <f t="shared" si="7"/>
      </c>
      <c r="L26" s="1">
        <f t="shared" si="8"/>
      </c>
    </row>
    <row r="27" spans="1:12" x14ac:dyDescent="0.3">
      <c r="A27" s="1" t="s">
        <v>244</v>
      </c>
      <c r="D27" s="1">
        <f t="shared" si="0"/>
      </c>
      <c r="E27" s="1">
        <f t="shared" si="1"/>
      </c>
      <c r="F27" s="1">
        <f t="shared" si="2"/>
      </c>
      <c r="G27" s="1">
        <f t="shared" si="3"/>
      </c>
      <c r="H27" s="1">
        <f t="shared" si="4"/>
      </c>
      <c r="I27" s="4" t="e">
        <f t="shared" si="5"/>
        <v>#N/A</v>
      </c>
      <c r="J27" s="1">
        <f t="shared" si="6"/>
      </c>
      <c r="K27" s="1">
        <f t="shared" si="7"/>
      </c>
      <c r="L27" s="1">
        <f t="shared" si="8"/>
      </c>
    </row>
    <row r="28" spans="1:12" x14ac:dyDescent="0.3">
      <c r="A28" s="1" t="s">
        <v>245</v>
      </c>
      <c r="B28" s="1">
        <f>$B$16</f>
        <v>0</v>
      </c>
      <c r="D28" s="1">
        <f t="shared" si="0"/>
      </c>
      <c r="E28" s="1">
        <f t="shared" si="1"/>
      </c>
      <c r="F28" s="1">
        <f t="shared" si="2"/>
      </c>
      <c r="G28" s="1">
        <f t="shared" si="3"/>
      </c>
      <c r="H28" s="1">
        <f t="shared" si="4"/>
      </c>
      <c r="I28" s="4" t="e">
        <f t="shared" si="5"/>
        <v>#N/A</v>
      </c>
      <c r="J28" s="1">
        <f t="shared" si="6"/>
      </c>
      <c r="K28" s="1">
        <f t="shared" si="7"/>
      </c>
      <c r="L28" s="1">
        <f t="shared" si="8"/>
      </c>
    </row>
    <row r="29" spans="1:12" x14ac:dyDescent="0.3">
      <c r="A29" s="1" t="s">
        <v>246</v>
      </c>
      <c r="B29" s="1">
        <f>$B$28-$B$22</f>
        <v>0</v>
      </c>
      <c r="D29" s="1">
        <f t="shared" si="0"/>
      </c>
      <c r="E29" s="1">
        <f t="shared" si="1"/>
      </c>
      <c r="F29" s="1">
        <f t="shared" si="2"/>
      </c>
      <c r="G29" s="1">
        <f t="shared" si="3"/>
      </c>
      <c r="H29" s="1">
        <f t="shared" si="4"/>
      </c>
      <c r="I29" s="4" t="e">
        <f t="shared" si="5"/>
        <v>#N/A</v>
      </c>
      <c r="J29" s="1">
        <f t="shared" si="6"/>
      </c>
      <c r="K29" s="1">
        <f t="shared" si="7"/>
      </c>
      <c r="L29" s="1">
        <f t="shared" si="8"/>
      </c>
    </row>
    <row r="30" spans="1:12" x14ac:dyDescent="0.3">
      <c r="A30" s="1" t="s">
        <v>247</v>
      </c>
      <c r="B30" s="1">
        <f>IFERROR($B$29/$B$28,0)</f>
        <v>0</v>
      </c>
      <c r="D30" s="1">
        <f t="shared" si="0"/>
      </c>
      <c r="E30" s="1">
        <f t="shared" si="1"/>
      </c>
      <c r="F30" s="1">
        <f t="shared" si="2"/>
      </c>
      <c r="G30" s="1">
        <f t="shared" si="3"/>
      </c>
      <c r="H30" s="1">
        <f t="shared" si="4"/>
      </c>
      <c r="I30" s="4" t="e">
        <f t="shared" si="5"/>
        <v>#N/A</v>
      </c>
      <c r="J30" s="1">
        <f t="shared" si="6"/>
      </c>
      <c r="K30" s="1">
        <f t="shared" si="7"/>
      </c>
      <c r="L30" s="1">
        <f t="shared" si="8"/>
      </c>
    </row>
    <row r="31" spans="1:12" x14ac:dyDescent="0.3">
      <c r="A31" s="1" t="s">
        <v>248</v>
      </c>
      <c r="B31" s="1">
        <f>IFERROR(($B$18-$B$24)/MAX(1,MONTH($B$1)),0)</f>
        <v>0</v>
      </c>
      <c r="D31" s="1">
        <f t="shared" si="0"/>
      </c>
      <c r="E31" s="1">
        <f t="shared" si="1"/>
      </c>
      <c r="F31" s="1">
        <f t="shared" si="2"/>
      </c>
      <c r="G31" s="1">
        <f t="shared" si="3"/>
      </c>
      <c r="H31" s="1">
        <f t="shared" si="4"/>
      </c>
      <c r="I31" s="4" t="e">
        <f t="shared" si="5"/>
        <v>#N/A</v>
      </c>
      <c r="J31" s="1">
        <f t="shared" si="6"/>
      </c>
      <c r="K31" s="1">
        <f t="shared" si="7"/>
      </c>
      <c r="L31" s="1">
        <f t="shared" si="8"/>
      </c>
    </row>
    <row r="32" spans="1:12" x14ac:dyDescent="0.3">
      <c r="D32" s="1">
        <f t="shared" si="0"/>
      </c>
      <c r="E32" s="1">
        <f t="shared" si="1"/>
      </c>
      <c r="F32" s="1">
        <f t="shared" si="2"/>
      </c>
      <c r="G32" s="1">
        <f t="shared" si="3"/>
      </c>
      <c r="H32" s="1">
        <f t="shared" si="4"/>
      </c>
      <c r="I32" s="4" t="e">
        <f t="shared" si="5"/>
        <v>#N/A</v>
      </c>
      <c r="J32" s="1">
        <f t="shared" si="6"/>
      </c>
      <c r="K32" s="1">
        <f t="shared" si="7"/>
      </c>
      <c r="L32" s="1">
        <f t="shared" si="8"/>
      </c>
    </row>
    <row r="33" spans="1:12" x14ac:dyDescent="0.3">
      <c r="A33" s="1" t="s">
        <v>249</v>
      </c>
      <c r="D33" s="1">
        <f t="shared" si="0"/>
      </c>
      <c r="E33" s="1">
        <f t="shared" si="1"/>
      </c>
      <c r="F33" s="1">
        <f t="shared" si="2"/>
      </c>
      <c r="G33" s="1">
        <f t="shared" si="3"/>
      </c>
      <c r="H33" s="1">
        <f t="shared" si="4"/>
      </c>
      <c r="I33" s="4" t="e">
        <f t="shared" si="5"/>
        <v>#N/A</v>
      </c>
      <c r="J33" s="1">
        <f t="shared" si="6"/>
      </c>
      <c r="K33" s="1">
        <f t="shared" si="7"/>
      </c>
      <c r="L33" s="1">
        <f t="shared" si="8"/>
      </c>
    </row>
    <row r="34" spans="1:12" x14ac:dyDescent="0.3">
      <c r="A34" s="1" t="s">
        <v>250</v>
      </c>
      <c r="B34" s="1">
        <f>IFERROR(SUMIFS(tblAssets[Purchase Value],tblAssets[Status],"Active"),0)</f>
        <v>0</v>
      </c>
      <c r="D34" s="1">
        <f t="shared" si="0"/>
      </c>
      <c r="E34" s="1">
        <f t="shared" si="1"/>
      </c>
      <c r="F34" s="1">
        <f t="shared" si="2"/>
      </c>
      <c r="G34" s="1">
        <f t="shared" si="3"/>
      </c>
      <c r="H34" s="1">
        <f t="shared" si="4"/>
      </c>
      <c r="I34" s="4" t="e">
        <f t="shared" si="5"/>
        <v>#N/A</v>
      </c>
      <c r="J34" s="1">
        <f t="shared" si="6"/>
      </c>
      <c r="K34" s="1">
        <f t="shared" si="7"/>
      </c>
      <c r="L34" s="1">
        <f t="shared" si="8"/>
      </c>
    </row>
    <row r="35" spans="1:12" x14ac:dyDescent="0.3">
      <c r="A35" s="1" t="s">
        <v>251</v>
      </c>
      <c r="B35" s="1">
        <f>IFERROR(SUMIFS(tblAssets[Current Value],tblAssets[Status],"Active"),0)</f>
        <v>0</v>
      </c>
      <c r="D35" s="1">
        <f t="shared" si="0"/>
      </c>
      <c r="E35" s="1">
        <f t="shared" si="1"/>
      </c>
      <c r="F35" s="1">
        <f t="shared" si="2"/>
      </c>
      <c r="G35" s="1">
        <f t="shared" si="3"/>
      </c>
      <c r="H35" s="1">
        <f t="shared" si="4"/>
      </c>
      <c r="I35" s="4" t="e">
        <f t="shared" si="5"/>
        <v>#N/A</v>
      </c>
      <c r="J35" s="1">
        <f t="shared" si="6"/>
      </c>
      <c r="K35" s="1">
        <f t="shared" si="7"/>
      </c>
      <c r="L35" s="1">
        <f t="shared" si="8"/>
      </c>
    </row>
    <row r="36" spans="1:12" x14ac:dyDescent="0.3">
      <c r="A36" s="1" t="s">
        <v>252</v>
      </c>
      <c r="B36" s="1">
        <f>IFERROR(SUMIFS(tblAssets[Appreciation Amount],tblAssets[Status],"Active"),0)</f>
        <v>0</v>
      </c>
      <c r="D36" s="1">
        <f t="shared" si="0"/>
      </c>
      <c r="E36" s="1">
        <f t="shared" si="1"/>
      </c>
      <c r="F36" s="1">
        <f t="shared" si="2"/>
      </c>
      <c r="G36" s="1">
        <f t="shared" si="3"/>
      </c>
      <c r="H36" s="1">
        <f t="shared" si="4"/>
      </c>
      <c r="I36" s="4" t="e">
        <f t="shared" si="5"/>
        <v>#N/A</v>
      </c>
      <c r="J36" s="1">
        <f t="shared" si="6"/>
      </c>
      <c r="K36" s="1">
        <f t="shared" si="7"/>
      </c>
      <c r="L36" s="1">
        <f t="shared" si="8"/>
      </c>
    </row>
    <row r="37" spans="1:12" x14ac:dyDescent="0.3">
      <c r="A37" s="1" t="s">
        <v>253</v>
      </c>
      <c r="B37" s="1">
        <f>IFERROR($B$36/$B$34,0)</f>
        <v>0</v>
      </c>
      <c r="D37" s="1">
        <f t="shared" si="0"/>
      </c>
      <c r="E37" s="1">
        <f t="shared" si="1"/>
      </c>
      <c r="F37" s="1">
        <f t="shared" si="2"/>
      </c>
      <c r="G37" s="1">
        <f t="shared" si="3"/>
      </c>
      <c r="H37" s="1">
        <f t="shared" si="4"/>
      </c>
      <c r="I37" s="4" t="e">
        <f t="shared" si="5"/>
        <v>#N/A</v>
      </c>
      <c r="J37" s="1">
        <f t="shared" si="6"/>
      </c>
      <c r="K37" s="1">
        <f t="shared" si="7"/>
      </c>
      <c r="L37" s="1">
        <f t="shared" si="8"/>
      </c>
    </row>
    <row r="38" spans="1:12" x14ac:dyDescent="0.3">
      <c r="A38" s="1" t="s">
        <v>254</v>
      </c>
      <c r="B38" s="1">
        <f>COUNTIFS(tblAssets[Status],"Active")</f>
        <v>0</v>
      </c>
      <c r="D38" s="1">
        <f t="shared" si="0"/>
      </c>
      <c r="E38" s="1">
        <f t="shared" si="1"/>
      </c>
      <c r="F38" s="1">
        <f t="shared" si="2"/>
      </c>
      <c r="G38" s="1">
        <f t="shared" si="3"/>
      </c>
      <c r="H38" s="1">
        <f t="shared" si="4"/>
      </c>
      <c r="I38" s="4" t="e">
        <f t="shared" si="5"/>
        <v>#N/A</v>
      </c>
      <c r="J38" s="1">
        <f t="shared" si="6"/>
      </c>
      <c r="K38" s="1">
        <f t="shared" si="7"/>
      </c>
      <c r="L38" s="1">
        <f t="shared" si="8"/>
      </c>
    </row>
    <row r="39" spans="1:12" x14ac:dyDescent="0.3">
      <c r="A39" s="1" t="s">
        <v>358</v>
      </c>
      <c r="B39" s="1">
        <f>IFERROR(SUMIFS(tblTransactions[Amount],tblTransactions[Transaction Type],"Expense",tblTransactions[Destination Type],"Asset",tblTransactions[Transaction Status],"Completed")+SUMIFS(tblTransactions[Amount],tblTransactions[Transaction Type],"Expense",tblTransactions[Destination Type],"Asset",tblTransactions[Transaction Status],"Reconciled"),0)</f>
        <v>0</v>
      </c>
      <c r="D39" s="1">
        <f t="shared" si="0"/>
      </c>
      <c r="E39" s="1">
        <f t="shared" si="1"/>
      </c>
      <c r="F39" s="1">
        <f t="shared" si="2"/>
      </c>
      <c r="G39" s="1">
        <f t="shared" si="3"/>
      </c>
      <c r="H39" s="1">
        <f t="shared" si="4"/>
      </c>
      <c r="I39" s="4" t="e">
        <f t="shared" si="5"/>
        <v>#N/A</v>
      </c>
      <c r="J39" s="1">
        <f t="shared" si="6"/>
      </c>
      <c r="K39" s="1">
        <f t="shared" si="7"/>
      </c>
      <c r="L39" s="1">
        <f t="shared" si="8"/>
      </c>
    </row>
    <row r="40" spans="1:12" x14ac:dyDescent="0.3">
      <c r="A40" s="1" t="s">
        <v>255</v>
      </c>
      <c r="D40" s="1">
        <f t="shared" si="0"/>
      </c>
      <c r="E40" s="1">
        <f t="shared" si="1"/>
      </c>
      <c r="F40" s="1">
        <f t="shared" si="2"/>
      </c>
      <c r="G40" s="1">
        <f t="shared" si="3"/>
      </c>
      <c r="H40" s="1">
        <f t="shared" si="4"/>
      </c>
      <c r="I40" s="4" t="e">
        <f t="shared" si="5"/>
        <v>#N/A</v>
      </c>
      <c r="J40" s="1">
        <f t="shared" si="6"/>
      </c>
      <c r="K40" s="1">
        <f t="shared" si="7"/>
      </c>
      <c r="L40" s="1">
        <f t="shared" si="8"/>
      </c>
    </row>
    <row r="41" spans="1:12" x14ac:dyDescent="0.3">
      <c r="A41" s="1" t="s">
        <v>256</v>
      </c>
      <c r="B41" s="1">
        <f>IFERROR(SUMIFS(tblLiabilities[Original Amount],tblLiabilities[Status],"Active"),0)</f>
        <v>0</v>
      </c>
      <c r="D41" s="1">
        <f t="shared" si="0"/>
      </c>
      <c r="E41" s="1">
        <f t="shared" si="1"/>
      </c>
      <c r="F41" s="1">
        <f t="shared" si="2"/>
      </c>
      <c r="G41" s="1">
        <f t="shared" si="3"/>
      </c>
      <c r="H41" s="1">
        <f t="shared" si="4"/>
      </c>
      <c r="I41" s="4" t="e">
        <f t="shared" si="5"/>
        <v>#N/A</v>
      </c>
      <c r="J41" s="1">
        <f t="shared" si="6"/>
      </c>
      <c r="K41" s="1">
        <f t="shared" si="7"/>
      </c>
      <c r="L41" s="1">
        <f t="shared" si="8"/>
      </c>
    </row>
    <row r="42" spans="1:12" x14ac:dyDescent="0.3">
      <c r="A42" s="1" t="s">
        <v>257</v>
      </c>
      <c r="B42" s="1">
        <f>IFERROR(MAX(0,SUMIFS(tblLiabilities[Outstanding Balance],tblLiabilities[Status],"Active")),0)</f>
        <v>0</v>
      </c>
      <c r="D42" s="1">
        <f t="shared" si="0"/>
      </c>
      <c r="E42" s="1">
        <f t="shared" si="1"/>
      </c>
      <c r="F42" s="1">
        <f t="shared" si="2"/>
      </c>
      <c r="G42" s="1">
        <f t="shared" si="3"/>
      </c>
      <c r="H42" s="1">
        <f t="shared" si="4"/>
      </c>
      <c r="I42" s="4" t="e">
        <f t="shared" si="5"/>
        <v>#N/A</v>
      </c>
      <c r="J42" s="1">
        <f t="shared" si="6"/>
      </c>
      <c r="K42" s="1">
        <f t="shared" si="7"/>
      </c>
      <c r="L42" s="1">
        <f t="shared" si="8"/>
      </c>
    </row>
    <row r="43" spans="1:12" x14ac:dyDescent="0.3">
      <c r="A43" s="1" t="s">
        <v>258</v>
      </c>
      <c r="B43" s="1">
        <f>IFERROR(SUMPRODUCT((tblLiabilities[Status]="Active")*(tblLiabilities[EMI Amount])*((tblLiabilities[EMI Frequency]="Monthly")*1+(tblLiabilities[EMI Frequency]="Quarterly")*(1/3)+(tblLiabilities[EMI Frequency]="Half-Yearly")*(1/6)+(tblLiabilities[EMI Frequency]="Yearly")*(1/12))),0)</f>
        <v>0</v>
      </c>
      <c r="D43" s="1">
        <f t="shared" si="0"/>
      </c>
      <c r="E43" s="1">
        <f t="shared" si="1"/>
      </c>
      <c r="F43" s="1">
        <f t="shared" si="2"/>
      </c>
      <c r="G43" s="1">
        <f t="shared" si="3"/>
      </c>
      <c r="H43" s="1">
        <f t="shared" si="4"/>
      </c>
      <c r="I43" s="4" t="e">
        <f t="shared" si="5"/>
        <v>#N/A</v>
      </c>
      <c r="J43" s="1">
        <f t="shared" si="6"/>
      </c>
      <c r="K43" s="1">
        <f t="shared" si="7"/>
      </c>
      <c r="L43" s="1">
        <f t="shared" si="8"/>
      </c>
    </row>
    <row r="44" spans="1:12" x14ac:dyDescent="0.3">
      <c r="A44" s="1" t="s">
        <v>259</v>
      </c>
      <c r="B44" s="1">
        <f>IFERROR(SUMPRODUCT((tblLiabilities[Status]="Active")*(tblLiabilities[Outstanding Balance])*(tblLiabilities[Interest Rate]))/$B$42,0)</f>
        <v>0</v>
      </c>
      <c r="D44" s="1">
        <f t="shared" si="0"/>
      </c>
      <c r="E44" s="1">
        <f t="shared" si="1"/>
      </c>
      <c r="F44" s="1">
        <f t="shared" si="2"/>
      </c>
      <c r="G44" s="1">
        <f t="shared" si="3"/>
      </c>
      <c r="H44" s="1">
        <f t="shared" si="4"/>
      </c>
      <c r="I44" s="4" t="e">
        <f t="shared" si="5"/>
        <v>#N/A</v>
      </c>
      <c r="J44" s="1">
        <f t="shared" si="6"/>
      </c>
      <c r="K44" s="1">
        <f t="shared" si="7"/>
      </c>
      <c r="L44" s="1">
        <f t="shared" si="8"/>
      </c>
    </row>
    <row r="45" spans="1:12" x14ac:dyDescent="0.3">
      <c r="A45" s="1" t="s">
        <v>260</v>
      </c>
      <c r="B45" s="1">
        <f>COUNTIFS(tblLiabilities[Status],"Active")</f>
        <v>0</v>
      </c>
      <c r="D45" s="1">
        <f t="shared" si="0"/>
      </c>
      <c r="E45" s="1">
        <f t="shared" si="1"/>
      </c>
      <c r="F45" s="1">
        <f t="shared" si="2"/>
      </c>
      <c r="G45" s="1">
        <f t="shared" si="3"/>
      </c>
      <c r="H45" s="1">
        <f t="shared" si="4"/>
      </c>
      <c r="I45" s="4" t="e">
        <f t="shared" si="5"/>
        <v>#N/A</v>
      </c>
      <c r="J45" s="1">
        <f t="shared" si="6"/>
      </c>
      <c r="K45" s="1">
        <f t="shared" si="7"/>
      </c>
      <c r="L45" s="1">
        <f t="shared" si="8"/>
      </c>
    </row>
    <row r="46" spans="1:12" x14ac:dyDescent="0.3">
      <c r="A46" s="1" t="s">
        <v>357</v>
      </c>
      <c r="B46" s="1">
        <f>SUM(SUMIFS(tblTransactions[Amount],tblTransactions[Destination Type],"Liability",tblTransactions[Transaction Type],{"Expense","Transfer"},tblTransactions[Transaction Status],"Completed"))+SUM(SUMIFS(tblTransactions[Amount],tblTransactions[Destination Type],"Liability",tblTransactions[Transaction Type],{"Expense","Transfer"},tblTransactions[Transaction Status],"Reconciled"))</f>
        <v>0</v>
      </c>
      <c r="D46" s="1">
        <f t="shared" si="0"/>
      </c>
      <c r="E46" s="1">
        <f t="shared" si="1"/>
      </c>
      <c r="F46" s="1">
        <f t="shared" si="2"/>
      </c>
      <c r="G46" s="1">
        <f t="shared" si="3"/>
      </c>
      <c r="H46" s="1">
        <f t="shared" si="4"/>
      </c>
      <c r="I46" s="4" t="e">
        <f t="shared" si="5"/>
        <v>#N/A</v>
      </c>
      <c r="J46" s="1">
        <f t="shared" si="6"/>
      </c>
      <c r="K46" s="1">
        <f t="shared" si="7"/>
      </c>
      <c r="L46" s="1">
        <f t="shared" si="8"/>
      </c>
    </row>
    <row r="47" spans="1:12" x14ac:dyDescent="0.3">
      <c r="A47" s="1" t="s">
        <v>261</v>
      </c>
      <c r="D47" s="1">
        <f t="shared" si="0"/>
      </c>
      <c r="E47" s="1">
        <f t="shared" si="1"/>
      </c>
      <c r="F47" s="1">
        <f t="shared" si="2"/>
      </c>
      <c r="G47" s="1">
        <f t="shared" si="3"/>
      </c>
      <c r="H47" s="1">
        <f t="shared" si="4"/>
      </c>
      <c r="I47" s="4" t="e">
        <f t="shared" si="5"/>
        <v>#N/A</v>
      </c>
      <c r="J47" s="1">
        <f t="shared" si="6"/>
      </c>
      <c r="K47" s="1">
        <f t="shared" si="7"/>
      </c>
      <c r="L47" s="1">
        <f t="shared" si="8"/>
      </c>
    </row>
    <row r="48" spans="1:12" x14ac:dyDescent="0.3">
      <c r="A48" s="1" t="s">
        <v>262</v>
      </c>
      <c r="B48" s="1">
        <f>$B$4+$B$35-$B$42</f>
        <v>0</v>
      </c>
      <c r="D48" s="1">
        <f t="shared" si="0"/>
      </c>
      <c r="E48" s="1">
        <f t="shared" si="1"/>
      </c>
      <c r="F48" s="1">
        <f t="shared" si="2"/>
      </c>
      <c r="G48" s="1">
        <f t="shared" si="3"/>
      </c>
      <c r="H48" s="1">
        <f t="shared" si="4"/>
      </c>
      <c r="I48" s="4" t="e">
        <f t="shared" si="5"/>
        <v>#N/A</v>
      </c>
      <c r="J48" s="1">
        <f t="shared" si="6"/>
      </c>
      <c r="K48" s="1">
        <f t="shared" si="7"/>
      </c>
      <c r="L48" s="1">
        <f t="shared" si="8"/>
      </c>
    </row>
    <row r="49" spans="1:12" x14ac:dyDescent="0.3">
      <c r="A49" s="1" t="s">
        <v>263</v>
      </c>
      <c r="B49" s="1">
        <f>0</f>
        <v>0</v>
      </c>
      <c r="D49" s="1">
        <f t="shared" si="0"/>
      </c>
      <c r="E49" s="1">
        <f t="shared" si="1"/>
      </c>
      <c r="F49" s="1">
        <f t="shared" si="2"/>
      </c>
      <c r="G49" s="1">
        <f t="shared" si="3"/>
      </c>
      <c r="H49" s="1">
        <f t="shared" si="4"/>
      </c>
      <c r="I49" s="4" t="e">
        <f t="shared" si="5"/>
        <v>#N/A</v>
      </c>
      <c r="J49" s="1">
        <f t="shared" si="6"/>
      </c>
      <c r="K49" s="1">
        <f t="shared" si="7"/>
      </c>
      <c r="L49" s="1">
        <f t="shared" si="8"/>
      </c>
    </row>
    <row r="50" spans="1:12" x14ac:dyDescent="0.3">
      <c r="A50" s="1" t="s">
        <v>264</v>
      </c>
      <c r="B50" s="1">
        <f>$B$35</f>
        <v>0</v>
      </c>
      <c r="D50" s="1">
        <f t="shared" si="0"/>
      </c>
      <c r="E50" s="1">
        <f t="shared" si="1"/>
      </c>
      <c r="F50" s="1">
        <f t="shared" si="2"/>
      </c>
      <c r="G50" s="1">
        <f t="shared" si="3"/>
      </c>
      <c r="H50" s="1">
        <f t="shared" si="4"/>
      </c>
      <c r="I50" s="4" t="e">
        <f t="shared" si="5"/>
        <v>#N/A</v>
      </c>
      <c r="J50" s="1">
        <f t="shared" si="6"/>
      </c>
      <c r="K50" s="1">
        <f t="shared" si="7"/>
      </c>
      <c r="L50" s="1">
        <f t="shared" si="8"/>
      </c>
    </row>
    <row r="51" spans="1:12" x14ac:dyDescent="0.3">
      <c r="D51" s="1">
        <f t="shared" si="0"/>
      </c>
      <c r="E51" s="1">
        <f t="shared" si="1"/>
      </c>
      <c r="F51" s="1">
        <f t="shared" si="2"/>
      </c>
      <c r="G51" s="1">
        <f t="shared" si="3"/>
      </c>
      <c r="H51" s="1">
        <f t="shared" si="4"/>
      </c>
      <c r="I51" s="4" t="e">
        <f t="shared" si="5"/>
        <v>#N/A</v>
      </c>
      <c r="J51" s="1">
        <f t="shared" si="6"/>
      </c>
      <c r="K51" s="1">
        <f t="shared" si="7"/>
      </c>
      <c r="L51" s="1">
        <f t="shared" si="8"/>
      </c>
    </row>
    <row r="52" spans="1:12" x14ac:dyDescent="0.3">
      <c r="A52" s="1" t="s">
        <v>265</v>
      </c>
      <c r="D52" s="1">
        <f t="shared" si="0"/>
      </c>
      <c r="E52" s="1">
        <f t="shared" si="1"/>
      </c>
      <c r="F52" s="1">
        <f t="shared" si="2"/>
      </c>
      <c r="G52" s="1">
        <f t="shared" si="3"/>
      </c>
      <c r="H52" s="1">
        <f t="shared" si="4"/>
      </c>
      <c r="I52" s="4" t="e">
        <f t="shared" si="5"/>
        <v>#N/A</v>
      </c>
      <c r="J52" s="1">
        <f t="shared" si="6"/>
      </c>
      <c r="K52" s="1">
        <f t="shared" si="7"/>
      </c>
      <c r="L52" s="1">
        <f t="shared" si="8"/>
      </c>
    </row>
    <row r="53" spans="1:12" x14ac:dyDescent="0.3">
      <c r="A53" s="1" t="s">
        <v>266</v>
      </c>
      <c r="B53" s="1">
        <f>IFERROR(SUMIFS(tblGoals[Target Amount],tblGoals[Goal Status],"Active")+SUMIFS(tblGoals[Target Amount],tblGoals[Goal Status],"Completed"),0)</f>
        <v>0</v>
      </c>
      <c r="D53" s="1">
        <f t="shared" si="0"/>
      </c>
      <c r="E53" s="1">
        <f t="shared" si="1"/>
      </c>
      <c r="F53" s="1">
        <f t="shared" si="2"/>
      </c>
      <c r="G53" s="1">
        <f t="shared" si="3"/>
      </c>
      <c r="H53" s="1">
        <f t="shared" si="4"/>
      </c>
      <c r="I53" s="4" t="e">
        <f t="shared" si="5"/>
        <v>#N/A</v>
      </c>
      <c r="J53" s="1">
        <f t="shared" si="6"/>
      </c>
      <c r="K53" s="1">
        <f t="shared" si="7"/>
      </c>
      <c r="L53" s="1">
        <f t="shared" si="8"/>
      </c>
    </row>
    <row r="54" spans="1:12" x14ac:dyDescent="0.3">
      <c r="A54" s="1" t="s">
        <v>267</v>
      </c>
      <c r="B54" s="1">
        <f>IFERROR(SUMIFS(tblGoals[Current Saved Amount],tblGoals[Goal Status],"Active")+SUMIFS(tblGoals[Current Saved Amount],tblGoals[Goal Status],"Completed"),0)</f>
        <v>0</v>
      </c>
      <c r="D54" s="1">
        <f t="shared" si="0"/>
      </c>
      <c r="E54" s="1">
        <f t="shared" si="1"/>
      </c>
      <c r="F54" s="1">
        <f t="shared" si="2"/>
      </c>
      <c r="G54" s="1">
        <f t="shared" si="3"/>
      </c>
      <c r="H54" s="1">
        <f t="shared" si="4"/>
      </c>
      <c r="I54" s="4" t="e">
        <f t="shared" si="5"/>
        <v>#N/A</v>
      </c>
      <c r="J54" s="1">
        <f t="shared" si="6"/>
      </c>
      <c r="K54" s="1">
        <f t="shared" si="7"/>
      </c>
      <c r="L54" s="1">
        <f t="shared" si="8"/>
      </c>
    </row>
    <row r="55" spans="1:12" x14ac:dyDescent="0.3">
      <c r="A55" s="1" t="s">
        <v>268</v>
      </c>
      <c r="B55" s="1">
        <f>IFERROR(SUMIFS(tblGoals[Remaining Amount],tblGoals[Goal Status],"Active"),0)</f>
        <v>0</v>
      </c>
      <c r="D55" s="1">
        <f t="shared" si="0"/>
      </c>
      <c r="E55" s="1">
        <f t="shared" si="1"/>
      </c>
      <c r="F55" s="1">
        <f t="shared" si="2"/>
      </c>
      <c r="G55" s="1">
        <f t="shared" si="3"/>
      </c>
      <c r="H55" s="1">
        <f t="shared" si="4"/>
      </c>
      <c r="I55" s="4" t="e">
        <f t="shared" si="5"/>
        <v>#N/A</v>
      </c>
      <c r="J55" s="1">
        <f t="shared" si="6"/>
      </c>
      <c r="K55" s="1">
        <f t="shared" si="7"/>
      </c>
      <c r="L55" s="1">
        <f t="shared" si="8"/>
      </c>
    </row>
    <row r="56" spans="1:12" x14ac:dyDescent="0.3">
      <c r="A56" s="1" t="s">
        <v>269</v>
      </c>
      <c r="B56" s="1">
        <f>COUNTIFS(tblGoals[Goal Status],"Active")</f>
        <v>0</v>
      </c>
      <c r="D56" s="1">
        <f t="shared" si="0"/>
      </c>
      <c r="E56" s="1">
        <f t="shared" si="1"/>
      </c>
      <c r="F56" s="1">
        <f t="shared" si="2"/>
      </c>
      <c r="G56" s="1">
        <f t="shared" si="3"/>
      </c>
      <c r="H56" s="1">
        <f t="shared" si="4"/>
      </c>
      <c r="I56" s="4" t="e">
        <f t="shared" si="5"/>
        <v>#N/A</v>
      </c>
      <c r="J56" s="1">
        <f t="shared" si="6"/>
      </c>
      <c r="K56" s="1">
        <f t="shared" si="7"/>
      </c>
      <c r="L56" s="1">
        <f t="shared" si="8"/>
      </c>
    </row>
    <row r="57" spans="1:12" x14ac:dyDescent="0.3">
      <c r="A57" s="1" t="s">
        <v>270</v>
      </c>
      <c r="B57" s="1">
        <f>COUNTIFS(tblGoals[Goal Status],"Completed")</f>
        <v>0</v>
      </c>
      <c r="D57" s="1">
        <f t="shared" si="0"/>
      </c>
      <c r="E57" s="1">
        <f t="shared" si="1"/>
      </c>
      <c r="F57" s="1">
        <f t="shared" si="2"/>
      </c>
      <c r="G57" s="1">
        <f t="shared" si="3"/>
      </c>
      <c r="H57" s="1">
        <f t="shared" si="4"/>
      </c>
      <c r="I57" s="4" t="e">
        <f t="shared" si="5"/>
        <v>#N/A</v>
      </c>
      <c r="J57" s="1">
        <f t="shared" si="6"/>
      </c>
      <c r="K57" s="1">
        <f t="shared" si="7"/>
      </c>
      <c r="L57" s="1">
        <f t="shared" si="8"/>
      </c>
    </row>
    <row r="58" spans="1:12" x14ac:dyDescent="0.3">
      <c r="A58" s="1" t="s">
        <v>271</v>
      </c>
      <c r="B58" s="1">
        <f>IFERROR($B$54/$B$53,0)</f>
        <v>0</v>
      </c>
      <c r="D58" s="1">
        <f t="shared" si="0"/>
      </c>
      <c r="E58" s="1">
        <f t="shared" si="1"/>
      </c>
      <c r="F58" s="1">
        <f t="shared" si="2"/>
      </c>
      <c r="G58" s="1">
        <f t="shared" si="3"/>
      </c>
      <c r="H58" s="1">
        <f t="shared" si="4"/>
      </c>
      <c r="I58" s="4" t="e">
        <f t="shared" si="5"/>
        <v>#N/A</v>
      </c>
      <c r="J58" s="1">
        <f t="shared" si="6"/>
      </c>
      <c r="K58" s="1">
        <f t="shared" si="7"/>
      </c>
      <c r="L58" s="1">
        <f t="shared" si="8"/>
      </c>
    </row>
    <row r="59" spans="1:12" x14ac:dyDescent="0.3">
      <c r="D59" s="1">
        <f t="shared" si="0"/>
      </c>
      <c r="E59" s="1">
        <f t="shared" si="1"/>
      </c>
      <c r="F59" s="1">
        <f t="shared" si="2"/>
      </c>
      <c r="G59" s="1">
        <f t="shared" si="3"/>
      </c>
      <c r="H59" s="1">
        <f t="shared" si="4"/>
      </c>
      <c r="I59" s="4" t="e">
        <f t="shared" si="5"/>
        <v>#N/A</v>
      </c>
      <c r="J59" s="1">
        <f t="shared" si="6"/>
      </c>
      <c r="K59" s="1">
        <f t="shared" si="7"/>
      </c>
      <c r="L59" s="1">
        <f t="shared" si="8"/>
      </c>
    </row>
    <row r="60" spans="1:12" x14ac:dyDescent="0.3">
      <c r="A60" s="1" t="s">
        <v>272</v>
      </c>
      <c r="D60" s="1">
        <f t="shared" si="0"/>
      </c>
      <c r="E60" s="1">
        <f t="shared" si="1"/>
      </c>
      <c r="F60" s="1">
        <f t="shared" si="2"/>
      </c>
      <c r="G60" s="1">
        <f t="shared" si="3"/>
      </c>
      <c r="H60" s="1">
        <f t="shared" si="4"/>
      </c>
      <c r="I60" s="4" t="e">
        <f t="shared" si="5"/>
        <v>#N/A</v>
      </c>
      <c r="J60" s="1">
        <f t="shared" si="6"/>
      </c>
      <c r="K60" s="1">
        <f t="shared" si="7"/>
      </c>
      <c r="L60" s="1">
        <f t="shared" si="8"/>
      </c>
    </row>
    <row r="61" spans="1:12" x14ac:dyDescent="0.3">
      <c r="A61" s="1" t="s">
        <v>95</v>
      </c>
      <c r="B61" s="1">
        <f>$B$16</f>
        <v>0</v>
      </c>
      <c r="D61" s="1">
        <f t="shared" si="0"/>
      </c>
      <c r="E61" s="1">
        <f t="shared" si="1"/>
      </c>
      <c r="F61" s="1">
        <f t="shared" si="2"/>
      </c>
      <c r="G61" s="1">
        <f t="shared" si="3"/>
      </c>
      <c r="H61" s="1">
        <f t="shared" si="4"/>
      </c>
      <c r="I61" s="4" t="e">
        <f t="shared" si="5"/>
        <v>#N/A</v>
      </c>
      <c r="J61" s="1">
        <f t="shared" si="6"/>
      </c>
      <c r="K61" s="1">
        <f t="shared" si="7"/>
      </c>
      <c r="L61" s="1">
        <f t="shared" si="8"/>
      </c>
    </row>
    <row r="62" spans="1:12" x14ac:dyDescent="0.3">
      <c r="A62" s="1" t="s">
        <v>273</v>
      </c>
      <c r="B62" s="1">
        <f>$B$22</f>
        <v>0</v>
      </c>
      <c r="D62" s="1">
        <f t="shared" si="0"/>
      </c>
      <c r="E62" s="1">
        <f t="shared" si="1"/>
      </c>
      <c r="F62" s="1">
        <f t="shared" si="2"/>
      </c>
      <c r="G62" s="1">
        <f t="shared" si="3"/>
      </c>
      <c r="H62" s="1">
        <f t="shared" si="4"/>
      </c>
      <c r="I62" s="4" t="e">
        <f t="shared" si="5"/>
        <v>#N/A</v>
      </c>
      <c r="J62" s="1">
        <f t="shared" si="6"/>
      </c>
      <c r="K62" s="1">
        <f t="shared" si="7"/>
      </c>
      <c r="L62" s="1">
        <f t="shared" si="8"/>
      </c>
    </row>
    <row r="63" spans="1:12" x14ac:dyDescent="0.3">
      <c r="A63" s="1" t="s">
        <v>274</v>
      </c>
      <c r="B63" s="1">
        <f>$B$29</f>
        <v>0</v>
      </c>
      <c r="D63" s="1">
        <f t="shared" si="0"/>
      </c>
      <c r="E63" s="1">
        <f t="shared" si="1"/>
      </c>
      <c r="F63" s="1">
        <f t="shared" si="2"/>
      </c>
      <c r="G63" s="1">
        <f t="shared" si="3"/>
      </c>
      <c r="H63" s="1">
        <f t="shared" si="4"/>
      </c>
      <c r="I63" s="4" t="e">
        <f t="shared" si="5"/>
        <v>#N/A</v>
      </c>
      <c r="J63" s="1">
        <f t="shared" si="6"/>
      </c>
      <c r="K63" s="1">
        <f t="shared" si="7"/>
      </c>
      <c r="L63" s="1">
        <f t="shared" si="8"/>
      </c>
    </row>
    <row r="64" spans="1:12" x14ac:dyDescent="0.3">
      <c r="A64" s="1" t="s">
        <v>275</v>
      </c>
      <c r="B64" s="1">
        <f>$B$30</f>
        <v>0</v>
      </c>
      <c r="D64" s="1">
        <f t="shared" si="0"/>
      </c>
      <c r="E64" s="1">
        <f t="shared" si="1"/>
      </c>
      <c r="F64" s="1">
        <f t="shared" si="2"/>
      </c>
      <c r="G64" s="1">
        <f t="shared" si="3"/>
      </c>
      <c r="H64" s="1">
        <f t="shared" si="4"/>
      </c>
      <c r="I64" s="4" t="e">
        <f t="shared" si="5"/>
        <v>#N/A</v>
      </c>
      <c r="J64" s="1">
        <f t="shared" si="6"/>
      </c>
      <c r="K64" s="1">
        <f t="shared" si="7"/>
      </c>
      <c r="L64" s="1">
        <f t="shared" si="8"/>
      </c>
    </row>
    <row r="65" spans="1:12" x14ac:dyDescent="0.3">
      <c r="A65" s="1" t="s">
        <v>262</v>
      </c>
      <c r="B65" s="1">
        <f>$B$48</f>
        <v>0</v>
      </c>
      <c r="D65" s="1">
        <f t="shared" si="0"/>
      </c>
      <c r="E65" s="1">
        <f t="shared" si="1"/>
      </c>
      <c r="F65" s="1">
        <f t="shared" si="2"/>
      </c>
      <c r="G65" s="1">
        <f t="shared" si="3"/>
      </c>
      <c r="H65" s="1">
        <f t="shared" si="4"/>
      </c>
      <c r="I65" s="4" t="e">
        <f t="shared" si="5"/>
        <v>#N/A</v>
      </c>
      <c r="J65" s="1">
        <f t="shared" si="6"/>
      </c>
      <c r="K65" s="1">
        <f t="shared" si="7"/>
      </c>
      <c r="L65" s="1">
        <f t="shared" si="8"/>
      </c>
    </row>
    <row r="66" spans="1:12" x14ac:dyDescent="0.3">
      <c r="A66" s="1" t="s">
        <v>276</v>
      </c>
      <c r="B66" s="1">
        <f>IFERROR($B$43/$B$16,0)</f>
        <v>0</v>
      </c>
      <c r="D66" s="1">
        <f t="shared" si="0"/>
      </c>
      <c r="E66" s="1">
        <f t="shared" si="1"/>
      </c>
      <c r="F66" s="1">
        <f t="shared" si="2"/>
      </c>
      <c r="G66" s="1">
        <f t="shared" si="3"/>
      </c>
      <c r="H66" s="1">
        <f t="shared" si="4"/>
      </c>
      <c r="I66" s="4" t="e">
        <f t="shared" si="5"/>
        <v>#N/A</v>
      </c>
      <c r="J66" s="1">
        <f t="shared" si="6"/>
      </c>
      <c r="K66" s="1">
        <f t="shared" si="7"/>
      </c>
      <c r="L66" s="1">
        <f t="shared" si="8"/>
      </c>
    </row>
    <row r="67" spans="1:12" x14ac:dyDescent="0.3">
      <c r="A67" s="1" t="s">
        <v>277</v>
      </c>
      <c r="B67" s="1">
        <f>IFERROR($B$35/$B$48,0)</f>
        <v>0</v>
      </c>
      <c r="D67" s="1">
        <f t="shared" si="0"/>
      </c>
      <c r="E67" s="1">
        <f t="shared" si="1"/>
      </c>
      <c r="F67" s="1">
        <f t="shared" si="2"/>
      </c>
      <c r="G67" s="1">
        <f t="shared" si="3"/>
      </c>
      <c r="H67" s="1">
        <f t="shared" si="4"/>
      </c>
      <c r="I67" s="4" t="e">
        <f t="shared" si="5"/>
        <v>#N/A</v>
      </c>
      <c r="J67" s="1">
        <f t="shared" si="6"/>
      </c>
      <c r="K67" s="1">
        <f t="shared" si="7"/>
      </c>
      <c r="L67" s="1">
        <f t="shared" si="8"/>
      </c>
    </row>
    <row r="68" spans="1:12" x14ac:dyDescent="0.3">
      <c r="A68" s="1" t="s">
        <v>278</v>
      </c>
      <c r="B68" s="1">
        <f>IFERROR($B$42/($B$42+$B$35),0)</f>
        <v>0</v>
      </c>
      <c r="D68" s="1">
        <f t="shared" si="0"/>
      </c>
      <c r="E68" s="1">
        <f t="shared" si="1"/>
      </c>
      <c r="F68" s="1">
        <f t="shared" si="2"/>
      </c>
      <c r="G68" s="1">
        <f t="shared" si="3"/>
      </c>
      <c r="H68" s="1">
        <f t="shared" si="4"/>
      </c>
      <c r="I68" s="4" t="e">
        <f t="shared" si="5"/>
        <v>#N/A</v>
      </c>
      <c r="J68" s="1">
        <f t="shared" si="6"/>
      </c>
      <c r="K68" s="1">
        <f t="shared" si="7"/>
      </c>
      <c r="L68" s="1">
        <f t="shared" si="8"/>
      </c>
    </row>
    <row r="69" spans="1:12" x14ac:dyDescent="0.3">
      <c r="A69" s="1" t="s">
        <v>359</v>
      </c>
      <c r="D69" s="1">
        <f t="shared" si="0"/>
      </c>
      <c r="E69" s="1">
        <f t="shared" si="1"/>
      </c>
      <c r="F69" s="1">
        <f t="shared" si="2"/>
      </c>
      <c r="G69" s="1">
        <f t="shared" si="3"/>
      </c>
      <c r="H69" s="1">
        <f t="shared" si="4"/>
      </c>
      <c r="I69" s="4" t="e">
        <f t="shared" si="5"/>
        <v>#N/A</v>
      </c>
      <c r="J69" s="1">
        <f t="shared" si="6"/>
      </c>
      <c r="K69" s="1">
        <f t="shared" si="7"/>
      </c>
      <c r="L69" s="1">
        <f t="shared" si="8"/>
      </c>
    </row>
    <row r="70" spans="1:12" x14ac:dyDescent="0.3">
      <c r="A70" s="1" t="s">
        <v>360</v>
      </c>
      <c r="B70" s="1">
        <f>IFERROR(SUMIFS(tblAssets[Current Value],tblAssets[Status],"Active",tblAssets[Asset Category],"Investment"),0)</f>
        <v>0</v>
      </c>
      <c r="D70" s="1">
        <f t="shared" si="0"/>
      </c>
      <c r="E70" s="1">
        <f t="shared" si="1"/>
      </c>
      <c r="F70" s="1">
        <f t="shared" si="2"/>
      </c>
      <c r="G70" s="1">
        <f t="shared" si="3"/>
      </c>
      <c r="H70" s="1">
        <f t="shared" si="4"/>
      </c>
      <c r="I70" s="4" t="e">
        <f t="shared" si="5"/>
        <v>#N/A</v>
      </c>
      <c r="J70" s="1">
        <f t="shared" si="6"/>
      </c>
      <c r="K70" s="1">
        <f t="shared" si="7"/>
      </c>
      <c r="L70" s="1">
        <f t="shared" si="8"/>
      </c>
    </row>
    <row r="71" spans="1:12" x14ac:dyDescent="0.3">
      <c r="A71" s="1" t="s">
        <v>361</v>
      </c>
      <c r="B71" s="1">
        <f>IFERROR(SUMIFS(tblAssets[Current Value],tblAssets[Status],"Active",tblAssets[Asset Category],"Physical Asset"),0)</f>
        <v>0</v>
      </c>
      <c r="D71" s="1">
        <f t="shared" si="0"/>
      </c>
      <c r="E71" s="1">
        <f t="shared" si="1"/>
      </c>
      <c r="F71" s="1">
        <f t="shared" si="2"/>
      </c>
      <c r="G71" s="1">
        <f t="shared" si="3"/>
      </c>
      <c r="H71" s="1">
        <f t="shared" si="4"/>
      </c>
      <c r="I71" s="4" t="e">
        <f t="shared" si="5"/>
        <v>#N/A</v>
      </c>
      <c r="J71" s="1">
        <f t="shared" si="6"/>
      </c>
      <c r="K71" s="1">
        <f t="shared" si="7"/>
      </c>
      <c r="L71" s="1">
        <f t="shared" si="8"/>
      </c>
    </row>
    <row r="72" spans="1:12" x14ac:dyDescent="0.3">
      <c r="A72" s="1" t="s">
        <v>362</v>
      </c>
      <c r="B72" s="1">
        <f>IFERROR(SUMIFS(tblAssets[Current Value],tblAssets[Status],"Active",tblAssets[Asset Category],"Property"),0)</f>
        <v>0</v>
      </c>
      <c r="D72" s="1">
        <f t="shared" si="0"/>
      </c>
      <c r="E72" s="1">
        <f t="shared" si="1"/>
      </c>
      <c r="F72" s="1">
        <f t="shared" si="2"/>
      </c>
      <c r="G72" s="1">
        <f t="shared" si="3"/>
      </c>
      <c r="H72" s="1">
        <f t="shared" si="4"/>
      </c>
      <c r="I72" s="4" t="e">
        <f t="shared" si="5"/>
        <v>#N/A</v>
      </c>
      <c r="J72" s="1">
        <f t="shared" si="6"/>
      </c>
      <c r="K72" s="1">
        <f t="shared" si="7"/>
      </c>
      <c r="L72" s="1">
        <f t="shared" si="8"/>
      </c>
    </row>
    <row r="73" spans="1:12" x14ac:dyDescent="0.3">
      <c r="A73" s="1" t="s">
        <v>363</v>
      </c>
      <c r="B73" s="1">
        <f>IFERROR(SUMIFS(tblAssets[Current Value],tblAssets[Status],"Active",tblAssets[Asset Category],"Retirement Asset"),0)</f>
        <v>0</v>
      </c>
      <c r="D73" s="1">
        <f t="shared" si="0"/>
      </c>
      <c r="E73" s="1">
        <f t="shared" si="1"/>
      </c>
      <c r="F73" s="1">
        <f t="shared" si="2"/>
      </c>
      <c r="G73" s="1">
        <f t="shared" si="3"/>
      </c>
      <c r="H73" s="1">
        <f t="shared" si="4"/>
      </c>
      <c r="I73" s="4" t="e">
        <f t="shared" si="5"/>
        <v>#N/A</v>
      </c>
      <c r="J73" s="1">
        <f t="shared" si="6"/>
      </c>
      <c r="K73" s="1">
        <f t="shared" si="7"/>
      </c>
      <c r="L73" s="1">
        <f t="shared" si="8"/>
      </c>
    </row>
    <row r="74" spans="1:12" x14ac:dyDescent="0.3">
      <c r="A74" s="1" t="s">
        <v>364</v>
      </c>
      <c r="B74" s="1">
        <f>IFERROR(SUMIFS(tblAssets[Current Value],tblAssets[Status],"Active",tblAssets[Asset Category],"Cash Equivalent"),0)</f>
        <v>0</v>
      </c>
      <c r="D74" s="1">
        <f t="shared" si="0"/>
      </c>
      <c r="E74" s="1">
        <f t="shared" si="1"/>
      </c>
      <c r="F74" s="1">
        <f t="shared" si="2"/>
      </c>
      <c r="G74" s="1">
        <f t="shared" si="3"/>
      </c>
      <c r="H74" s="1">
        <f t="shared" si="4"/>
      </c>
      <c r="I74" s="4" t="e">
        <f t="shared" si="5"/>
        <v>#N/A</v>
      </c>
      <c r="J74" s="1">
        <f t="shared" si="6"/>
      </c>
      <c r="K74" s="1">
        <f t="shared" si="7"/>
      </c>
      <c r="L74" s="1">
        <f t="shared" si="8"/>
      </c>
    </row>
    <row r="75" spans="1:12" x14ac:dyDescent="0.3">
      <c r="A75" s="1" t="s">
        <v>365</v>
      </c>
      <c r="B75" s="1">
        <f>IFERROR(SUMIFS(tblAssets[Current Value],tblAssets[Status],"Active",tblAssets[Asset Category],"Other Asset"),0)</f>
        <v>0</v>
      </c>
      <c r="D75" s="1">
        <f t="shared" si="0"/>
      </c>
      <c r="E75" s="1">
        <f t="shared" si="1"/>
      </c>
      <c r="F75" s="1">
        <f t="shared" si="2"/>
      </c>
      <c r="G75" s="1">
        <f t="shared" si="3"/>
      </c>
      <c r="H75" s="1">
        <f t="shared" si="4"/>
      </c>
      <c r="I75" s="4" t="e">
        <f t="shared" si="5"/>
        <v>#N/A</v>
      </c>
      <c r="J75" s="1">
        <f t="shared" si="6"/>
      </c>
      <c r="K75" s="1">
        <f t="shared" si="7"/>
      </c>
      <c r="L75" s="1">
        <f t="shared" si="8"/>
      </c>
    </row>
    <row r="76" spans="1:12" x14ac:dyDescent="0.3">
      <c r="D76" s="1">
        <f t="shared" si="0"/>
      </c>
      <c r="E76" s="1">
        <f t="shared" si="1"/>
      </c>
      <c r="F76" s="1">
        <f t="shared" si="2"/>
      </c>
      <c r="G76" s="1">
        <f t="shared" si="3"/>
      </c>
      <c r="H76" s="1">
        <f t="shared" si="4"/>
      </c>
      <c r="I76" s="4" t="e">
        <f t="shared" si="5"/>
        <v>#N/A</v>
      </c>
      <c r="J76" s="1">
        <f t="shared" si="6"/>
      </c>
      <c r="K76" s="1">
        <f t="shared" si="7"/>
      </c>
      <c r="L76" s="1">
        <f t="shared" si="8"/>
      </c>
    </row>
    <row r="77" spans="1:12" x14ac:dyDescent="0.3">
      <c r="D77" s="1">
        <f t="shared" si="0"/>
      </c>
      <c r="E77" s="1">
        <f t="shared" si="1"/>
      </c>
      <c r="F77" s="1">
        <f t="shared" si="2"/>
      </c>
      <c r="G77" s="1">
        <f t="shared" si="3"/>
      </c>
      <c r="H77" s="1">
        <f t="shared" si="4"/>
      </c>
      <c r="I77" s="4" t="e">
        <f t="shared" si="5"/>
        <v>#N/A</v>
      </c>
      <c r="J77" s="1">
        <f t="shared" si="6"/>
      </c>
      <c r="K77" s="1">
        <f t="shared" si="7"/>
      </c>
      <c r="L77" s="1">
        <f t="shared" si="8"/>
      </c>
    </row>
    <row r="78" spans="1:12" x14ac:dyDescent="0.3">
      <c r="D78" s="1">
        <f t="shared" si="0"/>
      </c>
      <c r="E78" s="1">
        <f t="shared" si="1"/>
      </c>
      <c r="F78" s="1">
        <f t="shared" si="2"/>
      </c>
      <c r="G78" s="1">
        <f t="shared" si="3"/>
      </c>
      <c r="H78" s="1">
        <f t="shared" si="4"/>
      </c>
      <c r="I78" s="4" t="e">
        <f t="shared" si="5"/>
        <v>#N/A</v>
      </c>
      <c r="J78" s="1">
        <f t="shared" si="6"/>
      </c>
      <c r="K78" s="1">
        <f t="shared" si="7"/>
      </c>
      <c r="L78" s="1">
        <f t="shared" si="8"/>
      </c>
    </row>
    <row r="79" spans="1:12" x14ac:dyDescent="0.3">
      <c r="D79" s="1">
        <f t="shared" si="0"/>
      </c>
      <c r="E79" s="1">
        <f t="shared" si="1"/>
      </c>
      <c r="F79" s="1">
        <f t="shared" si="2"/>
      </c>
      <c r="G79" s="1">
        <f t="shared" si="3"/>
      </c>
      <c r="H79" s="1">
        <f t="shared" si="4"/>
      </c>
      <c r="I79" s="4" t="e">
        <f t="shared" si="5"/>
        <v>#N/A</v>
      </c>
      <c r="J79" s="1">
        <f t="shared" si="6"/>
      </c>
      <c r="K79" s="1">
        <f t="shared" si="7"/>
      </c>
      <c r="L79" s="1">
        <f t="shared" si="8"/>
      </c>
    </row>
    <row r="80" spans="1:12" x14ac:dyDescent="0.3">
      <c r="D80" s="1">
        <f t="shared" si="0"/>
      </c>
      <c r="E80" s="1">
        <f t="shared" si="1"/>
      </c>
      <c r="F80" s="1">
        <f t="shared" si="2"/>
      </c>
      <c r="G80" s="1">
        <f t="shared" si="3"/>
      </c>
      <c r="H80" s="1">
        <f t="shared" si="4"/>
      </c>
      <c r="I80" s="4" t="e">
        <f t="shared" si="5"/>
        <v>#N/A</v>
      </c>
      <c r="J80" s="1">
        <f t="shared" si="6"/>
      </c>
      <c r="K80" s="1">
        <f t="shared" si="7"/>
      </c>
      <c r="L80" s="1">
        <f t="shared" si="8"/>
      </c>
    </row>
    <row r="81" spans="4:12" x14ac:dyDescent="0.3">
      <c r="D81" s="1">
        <f t="shared" si="0"/>
      </c>
      <c r="E81" s="1">
        <f t="shared" si="1"/>
      </c>
      <c r="F81" s="1">
        <f t="shared" si="2"/>
      </c>
      <c r="G81" s="1">
        <f t="shared" si="3"/>
      </c>
      <c r="H81" s="1">
        <f t="shared" si="4"/>
      </c>
      <c r="I81" s="4" t="e">
        <f t="shared" si="5"/>
        <v>#N/A</v>
      </c>
      <c r="J81" s="1">
        <f t="shared" si="6"/>
      </c>
      <c r="K81" s="1">
        <f t="shared" si="7"/>
      </c>
      <c r="L81" s="1">
        <f t="shared" si="8"/>
      </c>
    </row>
    <row r="82" spans="4:12" x14ac:dyDescent="0.3">
      <c r="D82" s="1">
        <f t="shared" si="0"/>
      </c>
      <c r="E82" s="1">
        <f t="shared" si="1"/>
      </c>
      <c r="F82" s="1">
        <f t="shared" si="2"/>
      </c>
      <c r="G82" s="1">
        <f t="shared" si="3"/>
      </c>
      <c r="H82" s="1">
        <f t="shared" si="4"/>
      </c>
      <c r="I82" s="4" t="e">
        <f t="shared" si="5"/>
        <v>#N/A</v>
      </c>
      <c r="J82" s="1">
        <f t="shared" si="6"/>
      </c>
      <c r="K82" s="1">
        <f t="shared" si="7"/>
      </c>
      <c r="L82" s="1">
        <f t="shared" si="8"/>
      </c>
    </row>
    <row r="83" spans="4:12" x14ac:dyDescent="0.3">
      <c r="D83" s="1">
        <f t="shared" si="0"/>
      </c>
      <c r="E83" s="1">
        <f t="shared" si="1"/>
      </c>
      <c r="F83" s="1">
        <f t="shared" si="2"/>
      </c>
      <c r="G83" s="1">
        <f t="shared" si="3"/>
      </c>
      <c r="H83" s="1">
        <f t="shared" si="4"/>
      </c>
      <c r="I83" s="4" t="e">
        <f t="shared" si="5"/>
        <v>#N/A</v>
      </c>
      <c r="J83" s="1">
        <f t="shared" si="6"/>
      </c>
      <c r="K83" s="1">
        <f t="shared" si="7"/>
      </c>
      <c r="L83" s="1">
        <f t="shared" si="8"/>
      </c>
    </row>
    <row r="84" spans="4:12" x14ac:dyDescent="0.3">
      <c r="D84" s="1">
        <f t="shared" si="0"/>
      </c>
      <c r="E84" s="1">
        <f t="shared" si="1"/>
      </c>
      <c r="F84" s="1">
        <f t="shared" si="2"/>
      </c>
      <c r="G84" s="1">
        <f t="shared" si="3"/>
      </c>
      <c r="H84" s="1">
        <f t="shared" si="4"/>
      </c>
      <c r="I84" s="4" t="e">
        <f t="shared" si="5"/>
        <v>#N/A</v>
      </c>
      <c r="J84" s="1">
        <f t="shared" si="6"/>
      </c>
      <c r="K84" s="1">
        <f t="shared" si="7"/>
      </c>
      <c r="L84" s="1">
        <f t="shared" si="8"/>
      </c>
    </row>
    <row r="85" spans="4:12" x14ac:dyDescent="0.3">
      <c r="D85" s="1">
        <f t="shared" si="0"/>
      </c>
      <c r="E85" s="1">
        <f t="shared" si="1"/>
      </c>
      <c r="F85" s="1">
        <f t="shared" si="2"/>
      </c>
      <c r="G85" s="1">
        <f t="shared" si="3"/>
      </c>
      <c r="H85" s="1">
        <f t="shared" si="4"/>
      </c>
      <c r="I85" s="4" t="e">
        <f t="shared" si="5"/>
        <v>#N/A</v>
      </c>
      <c r="J85" s="1">
        <f t="shared" si="6"/>
      </c>
      <c r="K85" s="1">
        <f t="shared" si="7"/>
      </c>
      <c r="L85" s="1">
        <f t="shared" si="8"/>
      </c>
    </row>
    <row r="86" spans="4:12" x14ac:dyDescent="0.3">
      <c r="D86" s="1">
        <f t="shared" si="0"/>
      </c>
      <c r="E86" s="1">
        <f t="shared" si="1"/>
      </c>
      <c r="F86" s="1">
        <f t="shared" si="2"/>
      </c>
      <c r="G86" s="1">
        <f t="shared" si="3"/>
      </c>
      <c r="H86" s="1">
        <f t="shared" si="4"/>
      </c>
      <c r="I86" s="4" t="e">
        <f t="shared" si="5"/>
        <v>#N/A</v>
      </c>
      <c r="J86" s="1">
        <f t="shared" si="6"/>
      </c>
      <c r="K86" s="1">
        <f t="shared" si="7"/>
      </c>
      <c r="L86" s="1">
        <f t="shared" si="8"/>
      </c>
    </row>
    <row r="87" spans="4:12" x14ac:dyDescent="0.3">
      <c r="D87" s="1">
        <f t="shared" si="0"/>
      </c>
      <c r="E87" s="1">
        <f t="shared" si="1"/>
      </c>
      <c r="F87" s="1">
        <f t="shared" si="2"/>
      </c>
      <c r="G87" s="1">
        <f t="shared" si="3"/>
      </c>
      <c r="H87" s="1">
        <f t="shared" si="4"/>
      </c>
      <c r="I87" s="4" t="e">
        <f t="shared" si="5"/>
        <v>#N/A</v>
      </c>
      <c r="J87" s="1">
        <f t="shared" si="6"/>
      </c>
      <c r="K87" s="1">
        <f t="shared" si="7"/>
      </c>
      <c r="L87" s="1">
        <f t="shared" si="8"/>
      </c>
    </row>
    <row r="88" spans="4:12" x14ac:dyDescent="0.3">
      <c r="D88" s="1">
        <f t="shared" si="0"/>
      </c>
      <c r="E88" s="1">
        <f t="shared" si="1"/>
      </c>
      <c r="F88" s="1">
        <f t="shared" si="2"/>
      </c>
      <c r="G88" s="1">
        <f t="shared" si="3"/>
      </c>
      <c r="H88" s="1">
        <f t="shared" si="4"/>
      </c>
      <c r="I88" s="4" t="e">
        <f t="shared" si="5"/>
        <v>#N/A</v>
      </c>
      <c r="J88" s="1">
        <f t="shared" si="6"/>
      </c>
      <c r="K88" s="1">
        <f t="shared" si="7"/>
      </c>
      <c r="L88" s="1">
        <f t="shared" si="8"/>
      </c>
    </row>
    <row r="89" spans="4:12" x14ac:dyDescent="0.3">
      <c r="D89" s="1">
        <f t="shared" si="0"/>
      </c>
      <c r="E89" s="1">
        <f t="shared" si="1"/>
      </c>
      <c r="F89" s="1">
        <f t="shared" si="2"/>
      </c>
      <c r="G89" s="1">
        <f t="shared" si="3"/>
      </c>
      <c r="H89" s="1">
        <f t="shared" si="4"/>
      </c>
      <c r="I89" s="4" t="e">
        <f t="shared" si="5"/>
        <v>#N/A</v>
      </c>
      <c r="J89" s="1">
        <f t="shared" si="6"/>
      </c>
      <c r="K89" s="1">
        <f t="shared" si="7"/>
      </c>
      <c r="L89" s="1">
        <f t="shared" si="8"/>
      </c>
    </row>
    <row r="90" spans="4:12" x14ac:dyDescent="0.3">
      <c r="D90" s="1">
        <f t="shared" si="0"/>
      </c>
      <c r="E90" s="1">
        <f t="shared" si="1"/>
      </c>
      <c r="F90" s="1">
        <f t="shared" si="2"/>
      </c>
      <c r="G90" s="1">
        <f t="shared" si="3"/>
      </c>
      <c r="H90" s="1">
        <f t="shared" si="4"/>
      </c>
      <c r="I90" s="4" t="e">
        <f t="shared" si="5"/>
        <v>#N/A</v>
      </c>
      <c r="J90" s="1">
        <f t="shared" si="6"/>
      </c>
      <c r="K90" s="1">
        <f t="shared" si="7"/>
      </c>
      <c r="L90" s="1">
        <f t="shared" si="8"/>
      </c>
    </row>
    <row r="91" spans="4:12" x14ac:dyDescent="0.3">
      <c r="D91" s="1">
        <f t="shared" si="0"/>
      </c>
      <c r="E91" s="1">
        <f t="shared" si="1"/>
      </c>
      <c r="F91" s="1">
        <f t="shared" si="2"/>
      </c>
      <c r="G91" s="1">
        <f t="shared" si="3"/>
      </c>
      <c r="H91" s="1">
        <f t="shared" si="4"/>
      </c>
      <c r="I91" s="4" t="e">
        <f t="shared" si="5"/>
        <v>#N/A</v>
      </c>
      <c r="J91" s="1">
        <f t="shared" si="6"/>
      </c>
      <c r="K91" s="1">
        <f t="shared" si="7"/>
      </c>
      <c r="L91" s="1">
        <f t="shared" si="8"/>
      </c>
    </row>
    <row r="92" spans="4:12" x14ac:dyDescent="0.3">
      <c r="D92" s="1">
        <f t="shared" si="0"/>
      </c>
      <c r="E92" s="1">
        <f t="shared" si="1"/>
      </c>
      <c r="F92" s="1">
        <f t="shared" si="2"/>
      </c>
      <c r="G92" s="1">
        <f t="shared" si="3"/>
      </c>
      <c r="H92" s="1">
        <f t="shared" si="4"/>
      </c>
      <c r="I92" s="4" t="e">
        <f t="shared" si="5"/>
        <v>#N/A</v>
      </c>
      <c r="J92" s="1">
        <f t="shared" si="6"/>
      </c>
      <c r="K92" s="1">
        <f t="shared" si="7"/>
      </c>
      <c r="L92" s="1">
        <f t="shared" si="8"/>
      </c>
    </row>
    <row r="93" spans="4:12" x14ac:dyDescent="0.3">
      <c r="D93" s="1">
        <f t="shared" si="0"/>
      </c>
      <c r="E93" s="1">
        <f t="shared" si="1"/>
      </c>
      <c r="F93" s="1">
        <f t="shared" si="2"/>
      </c>
      <c r="G93" s="1">
        <f t="shared" si="3"/>
      </c>
      <c r="H93" s="1">
        <f t="shared" si="4"/>
      </c>
      <c r="I93" s="4" t="e">
        <f t="shared" si="5"/>
        <v>#N/A</v>
      </c>
      <c r="J93" s="1">
        <f t="shared" si="6"/>
      </c>
      <c r="K93" s="1">
        <f t="shared" si="7"/>
      </c>
      <c r="L93" s="1">
        <f t="shared" si="8"/>
      </c>
    </row>
    <row r="94" spans="4:12" x14ac:dyDescent="0.3">
      <c r="D94" s="1">
        <f t="shared" si="0"/>
      </c>
      <c r="E94" s="1">
        <f t="shared" si="1"/>
      </c>
      <c r="F94" s="1">
        <f t="shared" si="2"/>
      </c>
      <c r="G94" s="1">
        <f t="shared" si="3"/>
      </c>
      <c r="H94" s="1">
        <f t="shared" si="4"/>
      </c>
      <c r="I94" s="4" t="e">
        <f t="shared" si="5"/>
        <v>#N/A</v>
      </c>
      <c r="J94" s="1">
        <f t="shared" si="6"/>
      </c>
      <c r="K94" s="1">
        <f t="shared" si="7"/>
      </c>
      <c r="L94" s="1">
        <f t="shared" si="8"/>
      </c>
    </row>
    <row r="95" spans="4:12" x14ac:dyDescent="0.3">
      <c r="D95" s="1">
        <f t="shared" si="0"/>
      </c>
      <c r="E95" s="1">
        <f t="shared" si="1"/>
      </c>
      <c r="F95" s="1">
        <f t="shared" si="2"/>
      </c>
      <c r="G95" s="1">
        <f t="shared" si="3"/>
      </c>
      <c r="H95" s="1">
        <f t="shared" si="4"/>
      </c>
      <c r="I95" s="4" t="e">
        <f t="shared" si="5"/>
        <v>#N/A</v>
      </c>
      <c r="J95" s="1">
        <f t="shared" si="6"/>
      </c>
      <c r="K95" s="1">
        <f t="shared" si="7"/>
      </c>
      <c r="L95" s="1">
        <f t="shared" si="8"/>
      </c>
    </row>
    <row r="96" spans="4:12" x14ac:dyDescent="0.3">
      <c r="D96" s="1">
        <f t="shared" si="0"/>
      </c>
      <c r="E96" s="1">
        <f t="shared" si="1"/>
      </c>
      <c r="F96" s="1">
        <f t="shared" si="2"/>
      </c>
      <c r="G96" s="1">
        <f t="shared" si="3"/>
      </c>
      <c r="H96" s="1">
        <f t="shared" si="4"/>
      </c>
      <c r="I96" s="4" t="e">
        <f t="shared" si="5"/>
        <v>#N/A</v>
      </c>
      <c r="J96" s="1">
        <f t="shared" si="6"/>
      </c>
      <c r="K96" s="1">
        <f t="shared" si="7"/>
      </c>
      <c r="L96" s="1">
        <f t="shared" si="8"/>
      </c>
    </row>
    <row r="97" spans="4:12" x14ac:dyDescent="0.3">
      <c r="D97" s="1">
        <f t="shared" si="0"/>
      </c>
      <c r="E97" s="1">
        <f t="shared" si="1"/>
      </c>
      <c r="F97" s="1">
        <f t="shared" si="2"/>
      </c>
      <c r="G97" s="1">
        <f t="shared" si="3"/>
      </c>
      <c r="H97" s="1">
        <f t="shared" si="4"/>
      </c>
      <c r="I97" s="4" t="e">
        <f t="shared" si="5"/>
        <v>#N/A</v>
      </c>
      <c r="J97" s="1">
        <f t="shared" si="6"/>
      </c>
      <c r="K97" s="1">
        <f t="shared" si="7"/>
      </c>
      <c r="L97" s="1">
        <f t="shared" si="8"/>
      </c>
    </row>
    <row r="98" spans="4:12" x14ac:dyDescent="0.3">
      <c r="D98" s="1">
        <f t="shared" si="0"/>
      </c>
      <c r="E98" s="1">
        <f t="shared" si="1"/>
      </c>
      <c r="F98" s="1">
        <f t="shared" si="2"/>
      </c>
      <c r="G98" s="1">
        <f t="shared" si="3"/>
      </c>
      <c r="H98" s="1">
        <f t="shared" si="4"/>
      </c>
      <c r="I98" s="4" t="e">
        <f t="shared" si="5"/>
        <v>#N/A</v>
      </c>
      <c r="J98" s="1">
        <f t="shared" si="6"/>
      </c>
      <c r="K98" s="1">
        <f t="shared" si="7"/>
      </c>
      <c r="L98" s="1">
        <f t="shared" si="8"/>
      </c>
    </row>
    <row r="99" spans="4:12" x14ac:dyDescent="0.3">
      <c r="D99" s="1">
        <f t="shared" si="0"/>
      </c>
      <c r="E99" s="1">
        <f t="shared" si="1"/>
      </c>
      <c r="F99" s="1">
        <f t="shared" si="2"/>
      </c>
      <c r="G99" s="1">
        <f t="shared" si="3"/>
      </c>
      <c r="H99" s="1">
        <f t="shared" si="4"/>
      </c>
      <c r="I99" s="4" t="e">
        <f t="shared" si="5"/>
        <v>#N/A</v>
      </c>
      <c r="J99" s="1">
        <f t="shared" si="6"/>
      </c>
      <c r="K99" s="1">
        <f t="shared" si="7"/>
      </c>
      <c r="L99" s="1">
        <f t="shared" si="8"/>
      </c>
    </row>
    <row r="100" spans="4:12" x14ac:dyDescent="0.3">
      <c r="D100" s="1">
        <f t="shared" si="0"/>
      </c>
      <c r="E100" s="1">
        <f t="shared" si="1"/>
      </c>
      <c r="F100" s="1">
        <f t="shared" si="2"/>
      </c>
      <c r="G100" s="1">
        <f t="shared" si="3"/>
      </c>
      <c r="H100" s="1">
        <f t="shared" si="4"/>
      </c>
      <c r="I100" s="4" t="e">
        <f t="shared" si="5"/>
        <v>#N/A</v>
      </c>
      <c r="J100" s="1">
        <f t="shared" si="6"/>
      </c>
      <c r="K100" s="1">
        <f t="shared" si="7"/>
      </c>
      <c r="L100" s="1">
        <f t="shared" si="8"/>
      </c>
    </row>
    <row r="101" spans="4:12" x14ac:dyDescent="0.3">
      <c r="D101" s="1">
        <f t="shared" si="0"/>
      </c>
      <c r="E101" s="1">
        <f t="shared" si="1"/>
      </c>
      <c r="F101" s="1">
        <f t="shared" si="2"/>
      </c>
      <c r="G101" s="1">
        <f t="shared" si="3"/>
      </c>
      <c r="H101" s="1">
        <f t="shared" si="4"/>
      </c>
      <c r="I101" s="4" t="e">
        <f t="shared" si="5"/>
        <v>#N/A</v>
      </c>
      <c r="J101" s="1">
        <f t="shared" si="6"/>
      </c>
      <c r="K101" s="1">
        <f t="shared" si="7"/>
      </c>
      <c r="L101" s="1">
        <f t="shared" si="8"/>
      </c>
    </row>
    <row r="102" spans="4:12" x14ac:dyDescent="0.3">
      <c r="D102" s="1">
        <f t="shared" si="0"/>
      </c>
      <c r="E102" s="1">
        <f t="shared" si="1"/>
      </c>
      <c r="F102" s="1">
        <f t="shared" si="2"/>
      </c>
      <c r="G102" s="1">
        <f t="shared" si="3"/>
      </c>
      <c r="H102" s="1">
        <f t="shared" si="4"/>
      </c>
      <c r="I102" s="4" t="e">
        <f t="shared" si="5"/>
        <v>#N/A</v>
      </c>
      <c r="J102" s="1">
        <f t="shared" si="6"/>
      </c>
      <c r="K102" s="1">
        <f t="shared" si="7"/>
      </c>
      <c r="L102" s="1">
        <f t="shared" si="8"/>
      </c>
    </row>
    <row r="103" spans="4:12" x14ac:dyDescent="0.3">
      <c r="D103" s="1">
        <f t="shared" si="0"/>
      </c>
      <c r="E103" s="1">
        <f t="shared" si="1"/>
      </c>
      <c r="F103" s="1">
        <f t="shared" si="2"/>
      </c>
      <c r="G103" s="1">
        <f t="shared" si="3"/>
      </c>
      <c r="H103" s="1">
        <f t="shared" si="4"/>
      </c>
      <c r="I103" s="4" t="e">
        <f t="shared" si="5"/>
        <v>#N/A</v>
      </c>
      <c r="J103" s="1">
        <f t="shared" si="6"/>
      </c>
      <c r="K103" s="1">
        <f t="shared" si="7"/>
      </c>
      <c r="L103" s="1">
        <f t="shared" si="8"/>
      </c>
    </row>
    <row r="104" spans="4:12" x14ac:dyDescent="0.3">
      <c r="D104" s="1">
        <f t="shared" si="0"/>
      </c>
      <c r="E104" s="1">
        <f t="shared" si="1"/>
      </c>
      <c r="F104" s="1">
        <f t="shared" si="2"/>
      </c>
      <c r="G104" s="1">
        <f t="shared" si="3"/>
      </c>
      <c r="H104" s="1">
        <f t="shared" si="4"/>
      </c>
      <c r="I104" s="4" t="e">
        <f t="shared" si="5"/>
        <v>#N/A</v>
      </c>
      <c r="J104" s="1">
        <f t="shared" si="6"/>
      </c>
      <c r="K104" s="1">
        <f t="shared" si="7"/>
      </c>
      <c r="L104" s="1">
        <f t="shared" si="8"/>
      </c>
    </row>
    <row r="105" spans="4:12" x14ac:dyDescent="0.3">
      <c r="D105" s="1">
        <f t="shared" si="0"/>
      </c>
      <c r="E105" s="1">
        <f t="shared" si="1"/>
      </c>
      <c r="F105" s="1">
        <f t="shared" si="2"/>
      </c>
      <c r="G105" s="1">
        <f t="shared" si="3"/>
      </c>
      <c r="H105" s="1">
        <f t="shared" si="4"/>
      </c>
      <c r="I105" s="4" t="e">
        <f t="shared" si="5"/>
        <v>#N/A</v>
      </c>
      <c r="J105" s="1">
        <f t="shared" si="6"/>
      </c>
      <c r="K105" s="1">
        <f t="shared" si="7"/>
      </c>
      <c r="L105" s="1">
        <f t="shared" si="8"/>
      </c>
    </row>
    <row r="106" spans="4:12" x14ac:dyDescent="0.3">
      <c r="D106" s="1">
        <f t="shared" si="0"/>
      </c>
      <c r="E106" s="1">
        <f t="shared" si="1"/>
      </c>
      <c r="F106" s="1">
        <f t="shared" si="2"/>
      </c>
      <c r="G106" s="1">
        <f t="shared" si="3"/>
      </c>
      <c r="H106" s="1">
        <f t="shared" si="4"/>
      </c>
      <c r="I106" s="4" t="e">
        <f t="shared" si="5"/>
        <v>#N/A</v>
      </c>
      <c r="J106" s="1">
        <f t="shared" si="6"/>
      </c>
      <c r="K106" s="1">
        <f t="shared" si="7"/>
      </c>
      <c r="L106" s="1">
        <f t="shared" si="8"/>
      </c>
    </row>
    <row r="107" spans="4:12" x14ac:dyDescent="0.3">
      <c r="D107" s="1">
        <f t="shared" si="0"/>
      </c>
      <c r="E107" s="1">
        <f t="shared" si="1"/>
      </c>
      <c r="F107" s="1">
        <f t="shared" si="2"/>
      </c>
      <c r="G107" s="1">
        <f t="shared" si="3"/>
      </c>
      <c r="H107" s="1">
        <f t="shared" si="4"/>
      </c>
      <c r="I107" s="4" t="e">
        <f t="shared" si="5"/>
        <v>#N/A</v>
      </c>
      <c r="J107" s="1">
        <f t="shared" si="6"/>
      </c>
      <c r="K107" s="1">
        <f t="shared" si="7"/>
      </c>
      <c r="L107" s="1">
        <f t="shared" si="8"/>
      </c>
    </row>
    <row r="108" spans="4:12" x14ac:dyDescent="0.3">
      <c r="D108" s="1">
        <f t="shared" si="0"/>
      </c>
      <c r="E108" s="1">
        <f t="shared" si="1"/>
      </c>
      <c r="F108" s="1">
        <f t="shared" si="2"/>
      </c>
      <c r="G108" s="1">
        <f t="shared" si="3"/>
      </c>
      <c r="H108" s="1">
        <f t="shared" si="4"/>
      </c>
      <c r="I108" s="4" t="e">
        <f t="shared" si="5"/>
        <v>#N/A</v>
      </c>
      <c r="J108" s="1">
        <f t="shared" si="6"/>
      </c>
      <c r="K108" s="1">
        <f t="shared" si="7"/>
      </c>
      <c r="L108" s="1">
        <f t="shared" si="8"/>
      </c>
    </row>
    <row r="109" spans="4:12" x14ac:dyDescent="0.3">
      <c r="D109" s="1">
        <f t="shared" si="0"/>
      </c>
      <c r="E109" s="1">
        <f t="shared" si="1"/>
      </c>
      <c r="F109" s="1">
        <f t="shared" si="2"/>
      </c>
      <c r="G109" s="1">
        <f t="shared" si="3"/>
      </c>
      <c r="H109" s="1">
        <f t="shared" si="4"/>
      </c>
      <c r="I109" s="4" t="e">
        <f t="shared" si="5"/>
        <v>#N/A</v>
      </c>
      <c r="J109" s="1">
        <f t="shared" si="6"/>
      </c>
      <c r="K109" s="1">
        <f t="shared" si="7"/>
      </c>
      <c r="L109" s="1">
        <f t="shared" si="8"/>
      </c>
    </row>
    <row r="110" spans="4:12" x14ac:dyDescent="0.3">
      <c r="D110" s="1">
        <f t="shared" si="0"/>
      </c>
      <c r="E110" s="1">
        <f t="shared" si="1"/>
      </c>
      <c r="F110" s="1">
        <f t="shared" si="2"/>
      </c>
      <c r="G110" s="1">
        <f t="shared" si="3"/>
      </c>
      <c r="H110" s="1">
        <f t="shared" si="4"/>
      </c>
      <c r="I110" s="4" t="e">
        <f t="shared" si="5"/>
        <v>#N/A</v>
      </c>
      <c r="J110" s="1">
        <f t="shared" si="6"/>
      </c>
      <c r="K110" s="1">
        <f t="shared" si="7"/>
      </c>
      <c r="L110" s="1">
        <f t="shared" si="8"/>
      </c>
    </row>
    <row r="111" spans="4:12" x14ac:dyDescent="0.3">
      <c r="D111" s="1">
        <f t="shared" si="0"/>
      </c>
      <c r="E111" s="1">
        <f t="shared" si="1"/>
      </c>
      <c r="F111" s="1">
        <f t="shared" si="2"/>
      </c>
      <c r="G111" s="1">
        <f t="shared" si="3"/>
      </c>
      <c r="H111" s="1">
        <f t="shared" si="4"/>
      </c>
      <c r="I111" s="4" t="e">
        <f t="shared" si="5"/>
        <v>#N/A</v>
      </c>
      <c r="J111" s="1">
        <f t="shared" si="6"/>
      </c>
      <c r="K111" s="1">
        <f t="shared" si="7"/>
      </c>
      <c r="L111" s="1">
        <f t="shared" si="8"/>
      </c>
    </row>
    <row r="112" spans="4:12" x14ac:dyDescent="0.3">
      <c r="D112" s="1">
        <f t="shared" si="0"/>
      </c>
      <c r="E112" s="1">
        <f t="shared" si="1"/>
      </c>
      <c r="F112" s="1">
        <f t="shared" si="2"/>
      </c>
      <c r="G112" s="1">
        <f t="shared" si="3"/>
      </c>
      <c r="H112" s="1">
        <f t="shared" si="4"/>
      </c>
      <c r="I112" s="4" t="e">
        <f t="shared" si="5"/>
        <v>#N/A</v>
      </c>
      <c r="J112" s="1">
        <f t="shared" si="6"/>
      </c>
      <c r="K112" s="1">
        <f t="shared" si="7"/>
      </c>
      <c r="L112" s="1">
        <f t="shared" si="8"/>
      </c>
    </row>
    <row r="113" spans="4:12" x14ac:dyDescent="0.3">
      <c r="D113" s="1">
        <f t="shared" si="0"/>
      </c>
      <c r="E113" s="1">
        <f t="shared" si="1"/>
      </c>
      <c r="F113" s="1">
        <f t="shared" si="2"/>
      </c>
      <c r="G113" s="1">
        <f t="shared" si="3"/>
      </c>
      <c r="H113" s="1">
        <f t="shared" si="4"/>
      </c>
      <c r="I113" s="4" t="e">
        <f t="shared" si="5"/>
        <v>#N/A</v>
      </c>
      <c r="J113" s="1">
        <f t="shared" si="6"/>
      </c>
      <c r="K113" s="1">
        <f t="shared" si="7"/>
      </c>
      <c r="L113" s="1">
        <f t="shared" si="8"/>
      </c>
    </row>
    <row r="114" spans="4:12" x14ac:dyDescent="0.3">
      <c r="D114" s="1">
        <f t="shared" si="0"/>
      </c>
      <c r="E114" s="1">
        <f t="shared" si="1"/>
      </c>
      <c r="F114" s="1">
        <f t="shared" si="2"/>
      </c>
      <c r="G114" s="1">
        <f t="shared" si="3"/>
      </c>
      <c r="H114" s="1">
        <f t="shared" si="4"/>
      </c>
      <c r="I114" s="4" t="e">
        <f t="shared" si="5"/>
        <v>#N/A</v>
      </c>
      <c r="J114" s="1">
        <f t="shared" si="6"/>
      </c>
      <c r="K114" s="1">
        <f t="shared" si="7"/>
      </c>
      <c r="L114" s="1">
        <f t="shared" si="8"/>
      </c>
    </row>
    <row r="115" spans="4:12" x14ac:dyDescent="0.3">
      <c r="D115" s="1">
        <f t="shared" si="0"/>
      </c>
      <c r="E115" s="1">
        <f t="shared" si="1"/>
      </c>
      <c r="F115" s="1">
        <f t="shared" si="2"/>
      </c>
      <c r="G115" s="1">
        <f t="shared" si="3"/>
      </c>
      <c r="H115" s="1">
        <f t="shared" si="4"/>
      </c>
      <c r="I115" s="4" t="e">
        <f t="shared" si="5"/>
        <v>#N/A</v>
      </c>
      <c r="J115" s="1">
        <f t="shared" si="6"/>
      </c>
      <c r="K115" s="1">
        <f t="shared" si="7"/>
      </c>
      <c r="L115" s="1">
        <f t="shared" si="8"/>
      </c>
    </row>
    <row r="116" spans="4:12" x14ac:dyDescent="0.3">
      <c r="D116" s="1">
        <f t="shared" si="0"/>
      </c>
      <c r="E116" s="1">
        <f t="shared" si="1"/>
      </c>
      <c r="F116" s="1">
        <f t="shared" si="2"/>
      </c>
      <c r="G116" s="1">
        <f t="shared" si="3"/>
      </c>
      <c r="H116" s="1">
        <f t="shared" si="4"/>
      </c>
      <c r="I116" s="4" t="e">
        <f t="shared" si="5"/>
        <v>#N/A</v>
      </c>
      <c r="J116" s="1">
        <f t="shared" si="6"/>
      </c>
      <c r="K116" s="1">
        <f t="shared" si="7"/>
      </c>
      <c r="L116" s="1">
        <f t="shared" si="8"/>
      </c>
    </row>
    <row r="117" spans="4:12" x14ac:dyDescent="0.3">
      <c r="D117" s="1">
        <f t="shared" si="0"/>
      </c>
      <c r="E117" s="1">
        <f t="shared" si="1"/>
      </c>
      <c r="F117" s="1">
        <f t="shared" si="2"/>
      </c>
      <c r="G117" s="1">
        <f t="shared" si="3"/>
      </c>
      <c r="H117" s="1">
        <f t="shared" si="4"/>
      </c>
      <c r="I117" s="4" t="e">
        <f t="shared" si="5"/>
        <v>#N/A</v>
      </c>
      <c r="J117" s="1">
        <f t="shared" si="6"/>
      </c>
      <c r="K117" s="1">
        <f t="shared" si="7"/>
      </c>
      <c r="L117" s="1">
        <f t="shared" si="8"/>
      </c>
    </row>
    <row r="118" spans="4:12" x14ac:dyDescent="0.3">
      <c r="D118" s="1">
        <f t="shared" si="0"/>
      </c>
      <c r="E118" s="1">
        <f t="shared" si="1"/>
      </c>
      <c r="F118" s="1">
        <f t="shared" si="2"/>
      </c>
      <c r="G118" s="1">
        <f t="shared" si="3"/>
      </c>
      <c r="H118" s="1">
        <f t="shared" si="4"/>
      </c>
      <c r="I118" s="4" t="e">
        <f t="shared" si="5"/>
        <v>#N/A</v>
      </c>
      <c r="J118" s="1">
        <f t="shared" si="6"/>
      </c>
      <c r="K118" s="1">
        <f t="shared" si="7"/>
      </c>
      <c r="L118" s="1">
        <f t="shared" si="8"/>
      </c>
    </row>
    <row r="119" spans="4:12" x14ac:dyDescent="0.3">
      <c r="D119" s="1">
        <f t="shared" si="0"/>
      </c>
      <c r="E119" s="1">
        <f t="shared" si="1"/>
      </c>
      <c r="F119" s="1">
        <f t="shared" si="2"/>
      </c>
      <c r="G119" s="1">
        <f t="shared" si="3"/>
      </c>
      <c r="H119" s="1">
        <f t="shared" si="4"/>
      </c>
      <c r="I119" s="4" t="e">
        <f t="shared" si="5"/>
        <v>#N/A</v>
      </c>
      <c r="J119" s="1">
        <f t="shared" si="6"/>
      </c>
      <c r="K119" s="1">
        <f t="shared" si="7"/>
      </c>
      <c r="L119" s="1">
        <f t="shared" si="8"/>
      </c>
    </row>
    <row r="120" spans="4:12" x14ac:dyDescent="0.3">
      <c r="D120" s="1">
        <f t="shared" si="0"/>
      </c>
      <c r="E120" s="1">
        <f t="shared" si="1"/>
      </c>
      <c r="F120" s="1">
        <f t="shared" si="2"/>
      </c>
      <c r="G120" s="1">
        <f t="shared" si="3"/>
      </c>
      <c r="H120" s="1">
        <f t="shared" si="4"/>
      </c>
      <c r="I120" s="4" t="e">
        <f t="shared" si="5"/>
        <v>#N/A</v>
      </c>
      <c r="J120" s="1">
        <f t="shared" si="6"/>
      </c>
      <c r="K120" s="1">
        <f t="shared" si="7"/>
      </c>
      <c r="L120" s="1">
        <f t="shared" si="8"/>
      </c>
    </row>
    <row r="121" spans="4:12" x14ac:dyDescent="0.3">
      <c r="D121" s="1">
        <f t="shared" si="0"/>
      </c>
      <c r="E121" s="1">
        <f t="shared" si="1"/>
      </c>
      <c r="F121" s="1">
        <f t="shared" si="2"/>
      </c>
      <c r="G121" s="1">
        <f t="shared" si="3"/>
      </c>
      <c r="H121" s="1">
        <f t="shared" si="4"/>
      </c>
      <c r="I121" s="4" t="e">
        <f t="shared" si="5"/>
        <v>#N/A</v>
      </c>
      <c r="J121" s="1">
        <f t="shared" si="6"/>
      </c>
      <c r="K121" s="1">
        <f t="shared" si="7"/>
      </c>
      <c r="L121" s="1">
        <f t="shared" si="8"/>
      </c>
    </row>
    <row r="122" spans="4:12" x14ac:dyDescent="0.3">
      <c r="D122" s="1">
        <f t="shared" si="0"/>
      </c>
      <c r="E122" s="1">
        <f t="shared" si="1"/>
      </c>
      <c r="F122" s="1">
        <f t="shared" si="2"/>
      </c>
      <c r="G122" s="1">
        <f t="shared" si="3"/>
      </c>
      <c r="H122" s="1">
        <f t="shared" si="4"/>
      </c>
      <c r="I122" s="4" t="e">
        <f t="shared" si="5"/>
        <v>#N/A</v>
      </c>
      <c r="J122" s="1">
        <f t="shared" si="6"/>
      </c>
      <c r="K122" s="1">
        <f t="shared" si="7"/>
      </c>
      <c r="L122" s="1">
        <f t="shared" si="8"/>
      </c>
    </row>
    <row r="123" spans="4:12" x14ac:dyDescent="0.3">
      <c r="D123" s="1">
        <f t="shared" si="0"/>
      </c>
      <c r="E123" s="1">
        <f t="shared" si="1"/>
      </c>
      <c r="F123" s="1">
        <f t="shared" si="2"/>
      </c>
      <c r="G123" s="1">
        <f t="shared" si="3"/>
      </c>
      <c r="H123" s="1">
        <f t="shared" si="4"/>
      </c>
      <c r="I123" s="4" t="e">
        <f t="shared" si="5"/>
        <v>#N/A</v>
      </c>
      <c r="J123" s="1">
        <f t="shared" si="6"/>
      </c>
      <c r="K123" s="1">
        <f t="shared" si="7"/>
      </c>
      <c r="L123" s="1">
        <f t="shared" si="8"/>
      </c>
    </row>
    <row r="124" spans="4:12" x14ac:dyDescent="0.3">
      <c r="D124" s="1">
        <f t="shared" si="0"/>
      </c>
      <c r="E124" s="1">
        <f t="shared" si="1"/>
      </c>
      <c r="F124" s="1">
        <f t="shared" si="2"/>
      </c>
      <c r="G124" s="1">
        <f t="shared" si="3"/>
      </c>
      <c r="H124" s="1">
        <f t="shared" si="4"/>
      </c>
      <c r="I124" s="4" t="e">
        <f t="shared" si="5"/>
        <v>#N/A</v>
      </c>
      <c r="J124" s="1">
        <f t="shared" si="6"/>
      </c>
      <c r="K124" s="1">
        <f t="shared" si="7"/>
      </c>
      <c r="L124" s="1">
        <f t="shared" si="8"/>
      </c>
    </row>
    <row r="125" spans="4:12" x14ac:dyDescent="0.3">
      <c r="D125" s="1">
        <f t="shared" si="0"/>
      </c>
      <c r="E125" s="1">
        <f t="shared" si="1"/>
      </c>
      <c r="F125" s="1">
        <f t="shared" si="2"/>
      </c>
      <c r="G125" s="1">
        <f t="shared" si="3"/>
      </c>
      <c r="H125" s="1">
        <f t="shared" si="4"/>
      </c>
      <c r="I125" s="4" t="e">
        <f t="shared" si="5"/>
        <v>#N/A</v>
      </c>
      <c r="J125" s="1">
        <f t="shared" si="6"/>
      </c>
      <c r="K125" s="1">
        <f t="shared" si="7"/>
      </c>
      <c r="L125" s="1">
        <f t="shared" si="8"/>
      </c>
    </row>
    <row r="126" spans="4:12" x14ac:dyDescent="0.3">
      <c r="D126" s="1">
        <f t="shared" si="0"/>
      </c>
      <c r="E126" s="1">
        <f t="shared" si="1"/>
      </c>
      <c r="F126" s="1">
        <f t="shared" si="2"/>
      </c>
      <c r="G126" s="1">
        <f t="shared" si="3"/>
      </c>
      <c r="H126" s="1">
        <f t="shared" si="4"/>
      </c>
      <c r="I126" s="4" t="e">
        <f t="shared" si="5"/>
        <v>#N/A</v>
      </c>
      <c r="J126" s="1">
        <f t="shared" si="6"/>
      </c>
      <c r="K126" s="1">
        <f t="shared" si="7"/>
      </c>
      <c r="L126" s="1">
        <f t="shared" si="8"/>
      </c>
    </row>
    <row r="127" spans="4:12" x14ac:dyDescent="0.3">
      <c r="D127" s="1">
        <f t="shared" si="0"/>
      </c>
      <c r="E127" s="1">
        <f t="shared" si="1"/>
      </c>
      <c r="F127" s="1">
        <f t="shared" si="2"/>
      </c>
      <c r="G127" s="1">
        <f t="shared" si="3"/>
      </c>
      <c r="H127" s="1">
        <f t="shared" si="4"/>
      </c>
      <c r="I127" s="4" t="e">
        <f t="shared" si="5"/>
        <v>#N/A</v>
      </c>
      <c r="J127" s="1">
        <f t="shared" si="6"/>
      </c>
      <c r="K127" s="1">
        <f t="shared" si="7"/>
      </c>
      <c r="L127" s="1">
        <f t="shared" si="8"/>
      </c>
    </row>
    <row r="128" spans="4:12" x14ac:dyDescent="0.3">
      <c r="D128" s="1">
        <f t="shared" si="0"/>
      </c>
      <c r="E128" s="1">
        <f t="shared" si="1"/>
      </c>
      <c r="F128" s="1">
        <f t="shared" si="2"/>
      </c>
      <c r="G128" s="1">
        <f t="shared" si="3"/>
      </c>
      <c r="H128" s="1">
        <f t="shared" si="4"/>
      </c>
      <c r="I128" s="4" t="e">
        <f t="shared" si="5"/>
        <v>#N/A</v>
      </c>
      <c r="J128" s="1">
        <f t="shared" si="6"/>
      </c>
      <c r="K128" s="1">
        <f t="shared" si="7"/>
      </c>
      <c r="L128" s="1">
        <f t="shared" si="8"/>
      </c>
    </row>
    <row r="129" spans="4:12" x14ac:dyDescent="0.3">
      <c r="D129" s="1">
        <f t="shared" si="0"/>
      </c>
      <c r="E129" s="1">
        <f t="shared" si="1"/>
      </c>
      <c r="F129" s="1">
        <f t="shared" si="2"/>
      </c>
      <c r="G129" s="1">
        <f t="shared" si="3"/>
      </c>
      <c r="H129" s="1">
        <f t="shared" si="4"/>
      </c>
      <c r="I129" s="4" t="e">
        <f t="shared" si="5"/>
        <v>#N/A</v>
      </c>
      <c r="J129" s="1">
        <f t="shared" si="6"/>
      </c>
      <c r="K129" s="1">
        <f t="shared" si="7"/>
      </c>
      <c r="L129" s="1">
        <f t="shared" si="8"/>
      </c>
    </row>
    <row r="130" spans="4:12" x14ac:dyDescent="0.3">
      <c r="D130" s="1">
        <f t="shared" si="0"/>
      </c>
      <c r="E130" s="1">
        <f t="shared" si="1"/>
      </c>
      <c r="F130" s="1">
        <f t="shared" si="2"/>
      </c>
      <c r="G130" s="1">
        <f t="shared" si="3"/>
      </c>
      <c r="H130" s="1">
        <f t="shared" si="4"/>
      </c>
      <c r="I130" s="4" t="e">
        <f t="shared" si="5"/>
        <v>#N/A</v>
      </c>
      <c r="J130" s="1">
        <f t="shared" si="6"/>
      </c>
      <c r="K130" s="1">
        <f t="shared" si="7"/>
      </c>
      <c r="L130" s="1">
        <f t="shared" si="8"/>
      </c>
    </row>
    <row r="131" spans="4:12" x14ac:dyDescent="0.3">
      <c r="D131" s="1">
        <f t="shared" si="0"/>
      </c>
      <c r="E131" s="1">
        <f t="shared" si="1"/>
      </c>
      <c r="F131" s="1">
        <f t="shared" si="2"/>
      </c>
      <c r="G131" s="1">
        <f t="shared" si="3"/>
      </c>
      <c r="H131" s="1">
        <f t="shared" si="4"/>
      </c>
      <c r="I131" s="4" t="e">
        <f t="shared" si="5"/>
        <v>#N/A</v>
      </c>
      <c r="J131" s="1">
        <f t="shared" si="6"/>
      </c>
      <c r="K131" s="1">
        <f t="shared" si="7"/>
      </c>
      <c r="L131" s="1">
        <f t="shared" si="8"/>
      </c>
    </row>
    <row r="132" spans="4:12" x14ac:dyDescent="0.3">
      <c r="D132" s="1">
        <f t="shared" si="0"/>
      </c>
      <c r="E132" s="1">
        <f t="shared" si="1"/>
      </c>
      <c r="F132" s="1">
        <f t="shared" si="2"/>
      </c>
      <c r="G132" s="1">
        <f t="shared" si="3"/>
      </c>
      <c r="H132" s="1">
        <f t="shared" si="4"/>
      </c>
      <c r="I132" s="4" t="e">
        <f t="shared" si="5"/>
        <v>#N/A</v>
      </c>
      <c r="J132" s="1">
        <f t="shared" si="6"/>
      </c>
      <c r="K132" s="1">
        <f t="shared" si="7"/>
      </c>
      <c r="L132" s="1">
        <f t="shared" si="8"/>
      </c>
    </row>
    <row r="133" spans="4:12" x14ac:dyDescent="0.3">
      <c r="D133" s="1">
        <f t="shared" si="0"/>
      </c>
      <c r="E133" s="1">
        <f t="shared" si="1"/>
      </c>
      <c r="F133" s="1">
        <f t="shared" si="2"/>
      </c>
      <c r="G133" s="1">
        <f t="shared" si="3"/>
      </c>
      <c r="H133" s="1">
        <f t="shared" si="4"/>
      </c>
      <c r="I133" s="4" t="e">
        <f t="shared" si="5"/>
        <v>#N/A</v>
      </c>
      <c r="J133" s="1">
        <f t="shared" si="6"/>
      </c>
      <c r="K133" s="1">
        <f t="shared" si="7"/>
      </c>
      <c r="L133" s="1">
        <f t="shared" si="8"/>
      </c>
    </row>
    <row r="134" spans="4:12" x14ac:dyDescent="0.3">
      <c r="D134" s="1">
        <f t="shared" si="0"/>
      </c>
      <c r="E134" s="1">
        <f t="shared" si="1"/>
      </c>
      <c r="F134" s="1">
        <f t="shared" si="2"/>
      </c>
      <c r="G134" s="1">
        <f t="shared" si="3"/>
      </c>
      <c r="H134" s="1">
        <f t="shared" si="4"/>
      </c>
      <c r="I134" s="4" t="e">
        <f t="shared" si="5"/>
        <v>#N/A</v>
      </c>
      <c r="J134" s="1">
        <f t="shared" si="6"/>
      </c>
      <c r="K134" s="1">
        <f t="shared" si="7"/>
      </c>
      <c r="L134" s="1">
        <f t="shared" si="8"/>
      </c>
    </row>
    <row r="135" spans="4:12" x14ac:dyDescent="0.3">
      <c r="D135" s="1">
        <f t="shared" si="0"/>
      </c>
      <c r="E135" s="1">
        <f t="shared" si="1"/>
      </c>
      <c r="F135" s="1">
        <f t="shared" si="2"/>
      </c>
      <c r="G135" s="1">
        <f t="shared" si="3"/>
      </c>
      <c r="H135" s="1">
        <f t="shared" si="4"/>
      </c>
      <c r="I135" s="4" t="e">
        <f t="shared" si="5"/>
        <v>#N/A</v>
      </c>
      <c r="J135" s="1">
        <f t="shared" si="6"/>
      </c>
      <c r="K135" s="1">
        <f t="shared" si="7"/>
      </c>
      <c r="L135" s="1">
        <f t="shared" si="8"/>
      </c>
    </row>
    <row r="136" spans="4:12" x14ac:dyDescent="0.3">
      <c r="D136" s="1">
        <f t="shared" si="0"/>
      </c>
      <c r="E136" s="1">
        <f t="shared" si="1"/>
      </c>
      <c r="F136" s="1">
        <f t="shared" si="2"/>
      </c>
      <c r="G136" s="1">
        <f t="shared" si="3"/>
      </c>
      <c r="H136" s="1">
        <f t="shared" si="4"/>
      </c>
      <c r="I136" s="4" t="e">
        <f t="shared" si="5"/>
        <v>#N/A</v>
      </c>
      <c r="J136" s="1">
        <f t="shared" si="6"/>
      </c>
      <c r="K136" s="1">
        <f t="shared" si="7"/>
      </c>
      <c r="L136" s="1">
        <f t="shared" si="8"/>
      </c>
    </row>
    <row r="137" spans="4:12" x14ac:dyDescent="0.3">
      <c r="D137" s="1">
        <f t="shared" si="0"/>
      </c>
      <c r="E137" s="1">
        <f t="shared" si="1"/>
      </c>
      <c r="F137" s="1">
        <f t="shared" si="2"/>
      </c>
      <c r="G137" s="1">
        <f t="shared" si="3"/>
      </c>
      <c r="H137" s="1">
        <f t="shared" si="4"/>
      </c>
      <c r="I137" s="4" t="e">
        <f t="shared" si="5"/>
        <v>#N/A</v>
      </c>
      <c r="J137" s="1">
        <f t="shared" si="6"/>
      </c>
      <c r="K137" s="1">
        <f t="shared" si="7"/>
      </c>
      <c r="L137" s="1">
        <f t="shared" si="8"/>
      </c>
    </row>
    <row r="138" spans="4:12" x14ac:dyDescent="0.3">
      <c r="D138" s="1">
        <f t="shared" si="0"/>
      </c>
      <c r="E138" s="1">
        <f t="shared" si="1"/>
      </c>
      <c r="F138" s="1">
        <f t="shared" si="2"/>
      </c>
      <c r="G138" s="1">
        <f t="shared" si="3"/>
      </c>
      <c r="H138" s="1">
        <f t="shared" si="4"/>
      </c>
      <c r="I138" s="4" t="e">
        <f t="shared" si="5"/>
        <v>#N/A</v>
      </c>
      <c r="J138" s="1">
        <f t="shared" si="6"/>
      </c>
      <c r="K138" s="1">
        <f t="shared" si="7"/>
      </c>
      <c r="L138" s="1">
        <f t="shared" si="8"/>
      </c>
    </row>
    <row r="139" spans="4:12" x14ac:dyDescent="0.3">
      <c r="D139" s="1">
        <f t="shared" si="0"/>
      </c>
      <c r="E139" s="1">
        <f t="shared" si="1"/>
      </c>
      <c r="F139" s="1">
        <f t="shared" si="2"/>
      </c>
      <c r="G139" s="1">
        <f t="shared" si="3"/>
      </c>
      <c r="H139" s="1">
        <f t="shared" si="4"/>
      </c>
      <c r="I139" s="4" t="e">
        <f t="shared" si="5"/>
        <v>#N/A</v>
      </c>
      <c r="J139" s="1">
        <f t="shared" si="6"/>
      </c>
      <c r="K139" s="1">
        <f t="shared" si="7"/>
      </c>
      <c r="L139" s="1">
        <f t="shared" si="8"/>
      </c>
    </row>
    <row r="140" spans="4:12" x14ac:dyDescent="0.3">
      <c r="D140" s="1">
        <f t="shared" si="0"/>
      </c>
      <c r="E140" s="1">
        <f t="shared" si="1"/>
      </c>
      <c r="F140" s="1">
        <f t="shared" si="2"/>
      </c>
      <c r="G140" s="1">
        <f t="shared" si="3"/>
      </c>
      <c r="H140" s="1">
        <f t="shared" si="4"/>
      </c>
      <c r="I140" s="4" t="e">
        <f t="shared" si="5"/>
        <v>#N/A</v>
      </c>
      <c r="J140" s="1">
        <f t="shared" si="6"/>
      </c>
      <c r="K140" s="1">
        <f t="shared" si="7"/>
      </c>
      <c r="L140" s="1">
        <f t="shared" si="8"/>
      </c>
    </row>
    <row r="141" spans="4:12" x14ac:dyDescent="0.3">
      <c r="D141" s="1">
        <f t="shared" si="0"/>
      </c>
      <c r="E141" s="1">
        <f t="shared" si="1"/>
      </c>
      <c r="F141" s="1">
        <f t="shared" si="2"/>
      </c>
      <c r="G141" s="1">
        <f t="shared" si="3"/>
      </c>
      <c r="H141" s="1">
        <f t="shared" si="4"/>
      </c>
      <c r="I141" s="4" t="e">
        <f t="shared" si="5"/>
        <v>#N/A</v>
      </c>
      <c r="J141" s="1">
        <f t="shared" si="6"/>
      </c>
      <c r="K141" s="1">
        <f t="shared" si="7"/>
      </c>
      <c r="L141" s="1">
        <f t="shared" si="8"/>
      </c>
    </row>
    <row r="142" spans="4:12" x14ac:dyDescent="0.3">
      <c r="D142" s="1">
        <f t="shared" si="0"/>
      </c>
      <c r="E142" s="1">
        <f t="shared" si="1"/>
      </c>
      <c r="F142" s="1">
        <f t="shared" si="2"/>
      </c>
      <c r="G142" s="1">
        <f t="shared" si="3"/>
      </c>
      <c r="H142" s="1">
        <f t="shared" si="4"/>
      </c>
      <c r="I142" s="4" t="e">
        <f t="shared" si="5"/>
        <v>#N/A</v>
      </c>
      <c r="J142" s="1">
        <f t="shared" si="6"/>
      </c>
      <c r="K142" s="1">
        <f t="shared" si="7"/>
      </c>
      <c r="L142" s="1">
        <f t="shared" si="8"/>
      </c>
    </row>
    <row r="143" spans="4:12" x14ac:dyDescent="0.3">
      <c r="D143" s="1">
        <f t="shared" si="0"/>
      </c>
      <c r="E143" s="1">
        <f t="shared" si="1"/>
      </c>
      <c r="F143" s="1">
        <f t="shared" si="2"/>
      </c>
      <c r="G143" s="1">
        <f t="shared" si="3"/>
      </c>
      <c r="H143" s="1">
        <f t="shared" si="4"/>
      </c>
      <c r="I143" s="4" t="e">
        <f t="shared" si="5"/>
        <v>#N/A</v>
      </c>
      <c r="J143" s="1">
        <f t="shared" si="6"/>
      </c>
      <c r="K143" s="1">
        <f t="shared" si="7"/>
      </c>
      <c r="L143" s="1">
        <f t="shared" si="8"/>
      </c>
    </row>
    <row r="144" spans="4:12" x14ac:dyDescent="0.3">
      <c r="D144" s="1">
        <f t="shared" si="0"/>
      </c>
      <c r="E144" s="1">
        <f t="shared" si="1"/>
      </c>
      <c r="F144" s="1">
        <f t="shared" si="2"/>
      </c>
      <c r="G144" s="1">
        <f t="shared" si="3"/>
      </c>
      <c r="H144" s="1">
        <f t="shared" si="4"/>
      </c>
      <c r="I144" s="4" t="e">
        <f t="shared" si="5"/>
        <v>#N/A</v>
      </c>
      <c r="J144" s="1">
        <f t="shared" si="6"/>
      </c>
      <c r="K144" s="1">
        <f t="shared" si="7"/>
      </c>
      <c r="L144" s="1">
        <f t="shared" si="8"/>
      </c>
    </row>
    <row r="145" spans="4:12" x14ac:dyDescent="0.3">
      <c r="D145" s="1">
        <f t="shared" si="0"/>
      </c>
      <c r="E145" s="1">
        <f t="shared" si="1"/>
      </c>
      <c r="F145" s="1">
        <f t="shared" si="2"/>
      </c>
      <c r="G145" s="1">
        <f t="shared" si="3"/>
      </c>
      <c r="H145" s="1">
        <f t="shared" si="4"/>
      </c>
      <c r="I145" s="4" t="e">
        <f t="shared" si="5"/>
        <v>#N/A</v>
      </c>
      <c r="J145" s="1">
        <f t="shared" si="6"/>
      </c>
      <c r="K145" s="1">
        <f t="shared" si="7"/>
      </c>
      <c r="L145" s="1">
        <f t="shared" si="8"/>
      </c>
    </row>
    <row r="146" spans="4:12" x14ac:dyDescent="0.3">
      <c r="D146" s="1">
        <f t="shared" si="0"/>
      </c>
      <c r="E146" s="1">
        <f t="shared" si="1"/>
      </c>
      <c r="F146" s="1">
        <f t="shared" si="2"/>
      </c>
      <c r="G146" s="1">
        <f t="shared" si="3"/>
      </c>
      <c r="H146" s="1">
        <f t="shared" si="4"/>
      </c>
      <c r="I146" s="4" t="e">
        <f t="shared" si="5"/>
        <v>#N/A</v>
      </c>
      <c r="J146" s="1">
        <f t="shared" si="6"/>
      </c>
      <c r="K146" s="1">
        <f t="shared" si="7"/>
      </c>
      <c r="L146" s="1">
        <f t="shared" si="8"/>
      </c>
    </row>
    <row r="147" spans="4:12" x14ac:dyDescent="0.3">
      <c r="D147" s="1">
        <f t="shared" si="0"/>
      </c>
      <c r="E147" s="1">
        <f t="shared" si="1"/>
      </c>
      <c r="F147" s="1">
        <f t="shared" si="2"/>
      </c>
      <c r="G147" s="1">
        <f t="shared" si="3"/>
      </c>
      <c r="H147" s="1">
        <f t="shared" si="4"/>
      </c>
      <c r="I147" s="4" t="e">
        <f t="shared" si="5"/>
        <v>#N/A</v>
      </c>
      <c r="J147" s="1">
        <f t="shared" si="6"/>
      </c>
      <c r="K147" s="1">
        <f t="shared" si="7"/>
      </c>
      <c r="L147" s="1">
        <f t="shared" si="8"/>
      </c>
    </row>
    <row r="148" spans="4:12" x14ac:dyDescent="0.3">
      <c r="D148" s="1">
        <f t="shared" si="0"/>
      </c>
      <c r="E148" s="1">
        <f t="shared" si="1"/>
      </c>
      <c r="F148" s="1">
        <f t="shared" si="2"/>
      </c>
      <c r="G148" s="1">
        <f t="shared" si="3"/>
      </c>
      <c r="H148" s="1">
        <f t="shared" si="4"/>
      </c>
      <c r="I148" s="4" t="e">
        <f t="shared" si="5"/>
        <v>#N/A</v>
      </c>
      <c r="J148" s="1">
        <f t="shared" si="6"/>
      </c>
      <c r="K148" s="1">
        <f t="shared" si="7"/>
      </c>
      <c r="L148" s="1">
        <f t="shared" si="8"/>
      </c>
    </row>
    <row r="149" spans="4:12" x14ac:dyDescent="0.3">
      <c r="D149" s="1">
        <f t="shared" si="0"/>
      </c>
      <c r="E149" s="1">
        <f t="shared" si="1"/>
      </c>
      <c r="F149" s="1">
        <f t="shared" si="2"/>
      </c>
      <c r="G149" s="1">
        <f t="shared" si="3"/>
      </c>
      <c r="H149" s="1">
        <f t="shared" si="4"/>
      </c>
      <c r="I149" s="4" t="e">
        <f t="shared" si="5"/>
        <v>#N/A</v>
      </c>
      <c r="J149" s="1">
        <f t="shared" si="6"/>
      </c>
      <c r="K149" s="1">
        <f t="shared" si="7"/>
      </c>
      <c r="L149" s="1">
        <f t="shared" si="8"/>
      </c>
    </row>
    <row r="150" spans="4:12" x14ac:dyDescent="0.3">
      <c r="D150" s="1">
        <f t="shared" si="0"/>
      </c>
      <c r="E150" s="1">
        <f t="shared" si="1"/>
      </c>
      <c r="F150" s="1">
        <f t="shared" si="2"/>
      </c>
      <c r="G150" s="1">
        <f t="shared" si="3"/>
      </c>
      <c r="H150" s="1">
        <f t="shared" si="4"/>
      </c>
      <c r="I150" s="4" t="e">
        <f t="shared" si="5"/>
        <v>#N/A</v>
      </c>
      <c r="J150" s="1">
        <f t="shared" si="6"/>
      </c>
      <c r="K150" s="1">
        <f t="shared" si="7"/>
      </c>
      <c r="L150" s="1">
        <f t="shared" si="8"/>
      </c>
    </row>
    <row r="151" spans="4:12" x14ac:dyDescent="0.3">
      <c r="D151" s="1">
        <f t="shared" si="0"/>
      </c>
      <c r="E151" s="1">
        <f t="shared" si="1"/>
      </c>
      <c r="F151" s="1">
        <f t="shared" si="2"/>
      </c>
      <c r="G151" s="1">
        <f t="shared" si="3"/>
      </c>
      <c r="H151" s="1">
        <f t="shared" si="4"/>
      </c>
      <c r="I151" s="4" t="e">
        <f t="shared" si="5"/>
        <v>#N/A</v>
      </c>
      <c r="J151" s="1">
        <f t="shared" si="6"/>
      </c>
      <c r="K151" s="1">
        <f t="shared" si="7"/>
      </c>
      <c r="L151" s="1">
        <f t="shared" si="8"/>
      </c>
    </row>
    <row r="152" spans="4:12" x14ac:dyDescent="0.3">
      <c r="D152" s="1">
        <f t="shared" si="0"/>
      </c>
      <c r="E152" s="1">
        <f t="shared" si="1"/>
      </c>
      <c r="F152" s="1">
        <f t="shared" si="2"/>
      </c>
      <c r="G152" s="1">
        <f t="shared" si="3"/>
      </c>
      <c r="H152" s="1">
        <f t="shared" si="4"/>
      </c>
      <c r="I152" s="4" t="e">
        <f t="shared" si="5"/>
        <v>#N/A</v>
      </c>
      <c r="J152" s="1">
        <f t="shared" si="6"/>
      </c>
      <c r="K152" s="1">
        <f t="shared" si="7"/>
      </c>
      <c r="L152" s="1">
        <f t="shared" si="8"/>
      </c>
    </row>
    <row r="153" spans="4:12" x14ac:dyDescent="0.3">
      <c r="D153" s="1">
        <f t="shared" si="0"/>
      </c>
      <c r="E153" s="1">
        <f t="shared" si="1"/>
      </c>
      <c r="F153" s="1">
        <f t="shared" si="2"/>
      </c>
      <c r="G153" s="1">
        <f t="shared" si="3"/>
      </c>
      <c r="H153" s="1">
        <f t="shared" si="4"/>
      </c>
      <c r="I153" s="4" t="e">
        <f t="shared" si="5"/>
        <v>#N/A</v>
      </c>
      <c r="J153" s="1">
        <f t="shared" si="6"/>
      </c>
      <c r="K153" s="1">
        <f t="shared" si="7"/>
      </c>
      <c r="L153" s="1">
        <f t="shared" si="8"/>
      </c>
    </row>
    <row r="154" spans="4:12" x14ac:dyDescent="0.3">
      <c r="D154" s="1">
        <f t="shared" si="0"/>
      </c>
      <c r="E154" s="1">
        <f t="shared" si="1"/>
      </c>
      <c r="F154" s="1">
        <f t="shared" si="2"/>
      </c>
      <c r="G154" s="1">
        <f t="shared" si="3"/>
      </c>
      <c r="H154" s="1">
        <f t="shared" si="4"/>
      </c>
      <c r="I154" s="4" t="e">
        <f t="shared" si="5"/>
        <v>#N/A</v>
      </c>
      <c r="J154" s="1">
        <f t="shared" si="6"/>
      </c>
      <c r="K154" s="1">
        <f t="shared" si="7"/>
      </c>
      <c r="L154" s="1">
        <f t="shared" si="8"/>
      </c>
    </row>
    <row r="155" spans="4:12" x14ac:dyDescent="0.3">
      <c r="D155" s="1">
        <f t="shared" si="0"/>
      </c>
      <c r="E155" s="1">
        <f t="shared" si="1"/>
      </c>
      <c r="F155" s="1">
        <f t="shared" si="2"/>
      </c>
      <c r="G155" s="1">
        <f t="shared" si="3"/>
      </c>
      <c r="H155" s="1">
        <f t="shared" si="4"/>
      </c>
      <c r="I155" s="4" t="e">
        <f t="shared" si="5"/>
        <v>#N/A</v>
      </c>
      <c r="J155" s="1">
        <f t="shared" si="6"/>
      </c>
      <c r="K155" s="1">
        <f t="shared" si="7"/>
      </c>
      <c r="L155" s="1">
        <f t="shared" si="8"/>
      </c>
    </row>
    <row r="156" spans="4:12" x14ac:dyDescent="0.3">
      <c r="D156" s="1">
        <f t="shared" si="0"/>
      </c>
      <c r="E156" s="1">
        <f t="shared" si="1"/>
      </c>
      <c r="F156" s="1">
        <f t="shared" si="2"/>
      </c>
      <c r="G156" s="1">
        <f t="shared" si="3"/>
      </c>
      <c r="H156" s="1">
        <f t="shared" si="4"/>
      </c>
      <c r="I156" s="4" t="e">
        <f t="shared" si="5"/>
        <v>#N/A</v>
      </c>
      <c r="J156" s="1">
        <f t="shared" si="6"/>
      </c>
      <c r="K156" s="1">
        <f t="shared" si="7"/>
      </c>
      <c r="L156" s="1">
        <f t="shared" si="8"/>
      </c>
    </row>
    <row r="157" spans="4:12" x14ac:dyDescent="0.3">
      <c r="D157" s="1">
        <f t="shared" si="0"/>
      </c>
      <c r="E157" s="1">
        <f t="shared" si="1"/>
      </c>
      <c r="F157" s="1">
        <f t="shared" si="2"/>
      </c>
      <c r="G157" s="1">
        <f t="shared" si="3"/>
      </c>
      <c r="H157" s="1">
        <f t="shared" si="4"/>
      </c>
      <c r="I157" s="4" t="e">
        <f t="shared" si="5"/>
        <v>#N/A</v>
      </c>
      <c r="J157" s="1">
        <f t="shared" si="6"/>
      </c>
      <c r="K157" s="1">
        <f t="shared" si="7"/>
      </c>
      <c r="L157" s="1">
        <f t="shared" si="8"/>
      </c>
    </row>
    <row r="158" spans="4:12" x14ac:dyDescent="0.3">
      <c r="D158" s="1">
        <f t="shared" si="0"/>
      </c>
      <c r="E158" s="1">
        <f t="shared" si="1"/>
      </c>
      <c r="F158" s="1">
        <f t="shared" si="2"/>
      </c>
      <c r="G158" s="1">
        <f t="shared" si="3"/>
      </c>
      <c r="H158" s="1">
        <f t="shared" si="4"/>
      </c>
      <c r="I158" s="4" t="e">
        <f t="shared" si="5"/>
        <v>#N/A</v>
      </c>
      <c r="J158" s="1">
        <f t="shared" si="6"/>
      </c>
      <c r="K158" s="1">
        <f t="shared" si="7"/>
      </c>
      <c r="L158" s="1">
        <f t="shared" si="8"/>
      </c>
    </row>
    <row r="159" spans="4:12" x14ac:dyDescent="0.3">
      <c r="D159" s="1">
        <f t="shared" si="0"/>
      </c>
      <c r="E159" s="1">
        <f t="shared" si="1"/>
      </c>
      <c r="F159" s="1">
        <f t="shared" si="2"/>
      </c>
      <c r="G159" s="1">
        <f t="shared" si="3"/>
      </c>
      <c r="H159" s="1">
        <f t="shared" si="4"/>
      </c>
      <c r="I159" s="4" t="e">
        <f t="shared" si="5"/>
        <v>#N/A</v>
      </c>
      <c r="J159" s="1">
        <f t="shared" si="6"/>
      </c>
      <c r="K159" s="1">
        <f t="shared" si="7"/>
      </c>
      <c r="L159" s="1">
        <f t="shared" si="8"/>
      </c>
    </row>
    <row r="160" spans="4:12" x14ac:dyDescent="0.3">
      <c r="D160" s="1">
        <f t="shared" si="0"/>
      </c>
      <c r="E160" s="1">
        <f t="shared" si="1"/>
      </c>
      <c r="F160" s="1">
        <f t="shared" si="2"/>
      </c>
      <c r="G160" s="1">
        <f t="shared" si="3"/>
      </c>
      <c r="H160" s="1">
        <f t="shared" si="4"/>
      </c>
      <c r="I160" s="4" t="e">
        <f t="shared" si="5"/>
        <v>#N/A</v>
      </c>
      <c r="J160" s="1">
        <f t="shared" si="6"/>
      </c>
      <c r="K160" s="1">
        <f t="shared" si="7"/>
      </c>
      <c r="L160" s="1">
        <f t="shared" si="8"/>
      </c>
    </row>
    <row r="161" spans="4:12" x14ac:dyDescent="0.3">
      <c r="D161" s="1">
        <f t="shared" si="0"/>
      </c>
      <c r="E161" s="1">
        <f t="shared" si="1"/>
      </c>
      <c r="F161" s="1">
        <f t="shared" si="2"/>
      </c>
      <c r="G161" s="1">
        <f t="shared" si="3"/>
      </c>
      <c r="H161" s="1">
        <f t="shared" si="4"/>
      </c>
      <c r="I161" s="4" t="e">
        <f t="shared" si="5"/>
        <v>#N/A</v>
      </c>
      <c r="J161" s="1">
        <f t="shared" si="6"/>
      </c>
      <c r="K161" s="1">
        <f t="shared" si="7"/>
      </c>
      <c r="L161" s="1">
        <f t="shared" si="8"/>
      </c>
    </row>
    <row r="162" spans="4:12" x14ac:dyDescent="0.3">
      <c r="D162" s="1">
        <f t="shared" si="0"/>
      </c>
      <c r="E162" s="1">
        <f t="shared" si="1"/>
      </c>
      <c r="F162" s="1">
        <f t="shared" si="2"/>
      </c>
      <c r="G162" s="1">
        <f t="shared" si="3"/>
      </c>
      <c r="H162" s="1">
        <f t="shared" si="4"/>
      </c>
      <c r="I162" s="4" t="e">
        <f t="shared" si="5"/>
        <v>#N/A</v>
      </c>
      <c r="J162" s="1">
        <f t="shared" si="6"/>
      </c>
      <c r="K162" s="1">
        <f t="shared" si="7"/>
      </c>
      <c r="L162" s="1">
        <f t="shared" si="8"/>
      </c>
    </row>
    <row r="163" spans="4:12" x14ac:dyDescent="0.3">
      <c r="D163" s="1">
        <f t="shared" si="0"/>
      </c>
      <c r="E163" s="1">
        <f t="shared" si="1"/>
      </c>
      <c r="F163" s="1">
        <f t="shared" si="2"/>
      </c>
      <c r="G163" s="1">
        <f t="shared" si="3"/>
      </c>
      <c r="H163" s="1">
        <f t="shared" si="4"/>
      </c>
      <c r="I163" s="4" t="e">
        <f t="shared" si="5"/>
        <v>#N/A</v>
      </c>
      <c r="J163" s="1">
        <f t="shared" si="6"/>
      </c>
      <c r="K163" s="1">
        <f t="shared" si="7"/>
      </c>
      <c r="L163" s="1">
        <f t="shared" si="8"/>
      </c>
    </row>
    <row r="164" spans="4:12" x14ac:dyDescent="0.3">
      <c r="D164" s="1">
        <f t="shared" si="0"/>
      </c>
      <c r="E164" s="1">
        <f t="shared" si="1"/>
      </c>
      <c r="F164" s="1">
        <f t="shared" si="2"/>
      </c>
      <c r="G164" s="1">
        <f t="shared" si="3"/>
      </c>
      <c r="H164" s="1">
        <f t="shared" si="4"/>
      </c>
      <c r="I164" s="4" t="e">
        <f t="shared" si="5"/>
        <v>#N/A</v>
      </c>
      <c r="J164" s="1">
        <f t="shared" si="6"/>
      </c>
      <c r="K164" s="1">
        <f t="shared" si="7"/>
      </c>
      <c r="L164" s="1">
        <f t="shared" si="8"/>
      </c>
    </row>
    <row r="165" spans="4:12" x14ac:dyDescent="0.3">
      <c r="D165" s="1">
        <f t="shared" si="0"/>
      </c>
      <c r="E165" s="1">
        <f t="shared" si="1"/>
      </c>
      <c r="F165" s="1">
        <f t="shared" si="2"/>
      </c>
      <c r="G165" s="1">
        <f t="shared" si="3"/>
      </c>
      <c r="H165" s="1">
        <f t="shared" si="4"/>
      </c>
      <c r="I165" s="4" t="e">
        <f t="shared" si="5"/>
        <v>#N/A</v>
      </c>
      <c r="J165" s="1">
        <f t="shared" si="6"/>
      </c>
      <c r="K165" s="1">
        <f t="shared" si="7"/>
      </c>
      <c r="L165" s="1">
        <f t="shared" si="8"/>
      </c>
    </row>
    <row r="166" spans="4:12" x14ac:dyDescent="0.3">
      <c r="D166" s="1">
        <f t="shared" si="0"/>
      </c>
      <c r="E166" s="1">
        <f t="shared" si="1"/>
      </c>
      <c r="F166" s="1">
        <f t="shared" si="2"/>
      </c>
      <c r="G166" s="1">
        <f t="shared" si="3"/>
      </c>
      <c r="H166" s="1">
        <f t="shared" si="4"/>
      </c>
      <c r="I166" s="4" t="e">
        <f t="shared" si="5"/>
        <v>#N/A</v>
      </c>
      <c r="J166" s="1">
        <f t="shared" si="6"/>
      </c>
      <c r="K166" s="1">
        <f t="shared" si="7"/>
      </c>
      <c r="L166" s="1">
        <f t="shared" si="8"/>
      </c>
    </row>
    <row r="167" spans="4:12" x14ac:dyDescent="0.3">
      <c r="D167" s="1">
        <f t="shared" si="0"/>
      </c>
      <c r="E167" s="1">
        <f t="shared" si="1"/>
      </c>
      <c r="F167" s="1">
        <f t="shared" si="2"/>
      </c>
      <c r="G167" s="1">
        <f t="shared" si="3"/>
      </c>
      <c r="H167" s="1">
        <f t="shared" si="4"/>
      </c>
      <c r="I167" s="4" t="e">
        <f t="shared" si="5"/>
        <v>#N/A</v>
      </c>
      <c r="J167" s="1">
        <f t="shared" si="6"/>
      </c>
      <c r="K167" s="1">
        <f t="shared" si="7"/>
      </c>
      <c r="L167" s="1">
        <f t="shared" si="8"/>
      </c>
    </row>
    <row r="168" spans="4:12" x14ac:dyDescent="0.3">
      <c r="D168" s="1">
        <f t="shared" si="0"/>
      </c>
      <c r="E168" s="1">
        <f t="shared" si="1"/>
      </c>
      <c r="F168" s="1">
        <f t="shared" si="2"/>
      </c>
      <c r="G168" s="1">
        <f t="shared" si="3"/>
      </c>
      <c r="H168" s="1">
        <f t="shared" si="4"/>
      </c>
      <c r="I168" s="4" t="e">
        <f t="shared" si="5"/>
        <v>#N/A</v>
      </c>
      <c r="J168" s="1">
        <f t="shared" si="6"/>
      </c>
      <c r="K168" s="1">
        <f t="shared" si="7"/>
      </c>
      <c r="L168" s="1">
        <f t="shared" si="8"/>
      </c>
    </row>
    <row r="169" spans="4:12" x14ac:dyDescent="0.3">
      <c r="D169" s="1">
        <f t="shared" si="0"/>
      </c>
      <c r="E169" s="1">
        <f t="shared" si="1"/>
      </c>
      <c r="F169" s="1">
        <f t="shared" si="2"/>
      </c>
      <c r="G169" s="1">
        <f t="shared" si="3"/>
      </c>
      <c r="H169" s="1">
        <f t="shared" si="4"/>
      </c>
      <c r="I169" s="4" t="e">
        <f t="shared" si="5"/>
        <v>#N/A</v>
      </c>
      <c r="J169" s="1">
        <f t="shared" si="6"/>
      </c>
      <c r="K169" s="1">
        <f t="shared" si="7"/>
      </c>
      <c r="L169" s="1">
        <f t="shared" si="8"/>
      </c>
    </row>
    <row r="170" spans="4:12" x14ac:dyDescent="0.3">
      <c r="D170" s="1">
        <f t="shared" si="0"/>
      </c>
      <c r="E170" s="1">
        <f t="shared" si="1"/>
      </c>
      <c r="F170" s="1">
        <f t="shared" si="2"/>
      </c>
      <c r="G170" s="1">
        <f t="shared" si="3"/>
      </c>
      <c r="H170" s="1">
        <f t="shared" si="4"/>
      </c>
      <c r="I170" s="4" t="e">
        <f t="shared" si="5"/>
        <v>#N/A</v>
      </c>
      <c r="J170" s="1">
        <f t="shared" si="6"/>
      </c>
      <c r="K170" s="1">
        <f t="shared" si="7"/>
      </c>
      <c r="L170" s="1">
        <f t="shared" si="8"/>
      </c>
    </row>
    <row r="171" spans="4:12" x14ac:dyDescent="0.3">
      <c r="D171" s="1">
        <f t="shared" si="0"/>
      </c>
      <c r="E171" s="1">
        <f t="shared" si="1"/>
      </c>
      <c r="F171" s="1">
        <f t="shared" si="2"/>
      </c>
      <c r="G171" s="1">
        <f t="shared" si="3"/>
      </c>
      <c r="H171" s="1">
        <f t="shared" si="4"/>
      </c>
      <c r="I171" s="4" t="e">
        <f t="shared" si="5"/>
        <v>#N/A</v>
      </c>
      <c r="J171" s="1">
        <f t="shared" si="6"/>
      </c>
      <c r="K171" s="1">
        <f t="shared" si="7"/>
      </c>
      <c r="L171" s="1">
        <f t="shared" si="8"/>
      </c>
    </row>
    <row r="172" spans="4:12" x14ac:dyDescent="0.3">
      <c r="D172" s="1">
        <f t="shared" si="0"/>
      </c>
      <c r="E172" s="1">
        <f t="shared" si="1"/>
      </c>
      <c r="F172" s="1">
        <f t="shared" si="2"/>
      </c>
      <c r="G172" s="1">
        <f t="shared" si="3"/>
      </c>
      <c r="H172" s="1">
        <f t="shared" si="4"/>
      </c>
      <c r="I172" s="4" t="e">
        <f t="shared" si="5"/>
        <v>#N/A</v>
      </c>
      <c r="J172" s="1">
        <f t="shared" si="6"/>
      </c>
      <c r="K172" s="1">
        <f t="shared" si="7"/>
      </c>
      <c r="L172" s="1">
        <f t="shared" si="8"/>
      </c>
    </row>
    <row r="173" spans="4:12" x14ac:dyDescent="0.3">
      <c r="D173" s="1">
        <f t="shared" si="0"/>
      </c>
      <c r="E173" s="1">
        <f t="shared" si="1"/>
      </c>
      <c r="F173" s="1">
        <f t="shared" si="2"/>
      </c>
      <c r="G173" s="1">
        <f t="shared" si="3"/>
      </c>
      <c r="H173" s="1">
        <f t="shared" si="4"/>
      </c>
      <c r="I173" s="4" t="e">
        <f t="shared" si="5"/>
        <v>#N/A</v>
      </c>
      <c r="J173" s="1">
        <f t="shared" si="6"/>
      </c>
      <c r="K173" s="1">
        <f t="shared" si="7"/>
      </c>
      <c r="L173" s="1">
        <f t="shared" si="8"/>
      </c>
    </row>
    <row r="174" spans="4:12" x14ac:dyDescent="0.3">
      <c r="D174" s="1">
        <f t="shared" si="0"/>
      </c>
      <c r="E174" s="1">
        <f t="shared" si="1"/>
      </c>
      <c r="F174" s="1">
        <f t="shared" si="2"/>
      </c>
      <c r="G174" s="1">
        <f t="shared" si="3"/>
      </c>
      <c r="H174" s="1">
        <f t="shared" si="4"/>
      </c>
      <c r="I174" s="4" t="e">
        <f t="shared" si="5"/>
        <v>#N/A</v>
      </c>
      <c r="J174" s="1">
        <f t="shared" si="6"/>
      </c>
      <c r="K174" s="1">
        <f t="shared" si="7"/>
      </c>
      <c r="L174" s="1">
        <f t="shared" si="8"/>
      </c>
    </row>
    <row r="175" spans="4:12" x14ac:dyDescent="0.3">
      <c r="D175" s="1">
        <f t="shared" si="0"/>
      </c>
      <c r="E175" s="1">
        <f t="shared" si="1"/>
      </c>
      <c r="F175" s="1">
        <f t="shared" si="2"/>
      </c>
      <c r="G175" s="1">
        <f t="shared" si="3"/>
      </c>
      <c r="H175" s="1">
        <f t="shared" si="4"/>
      </c>
      <c r="I175" s="4" t="e">
        <f t="shared" si="5"/>
        <v>#N/A</v>
      </c>
      <c r="J175" s="1">
        <f t="shared" si="6"/>
      </c>
      <c r="K175" s="1">
        <f t="shared" si="7"/>
      </c>
      <c r="L175" s="1">
        <f t="shared" si="8"/>
      </c>
    </row>
    <row r="176" spans="4:12" x14ac:dyDescent="0.3">
      <c r="D176" s="1">
        <f t="shared" si="0"/>
      </c>
      <c r="E176" s="1">
        <f t="shared" si="1"/>
      </c>
      <c r="F176" s="1">
        <f t="shared" si="2"/>
      </c>
      <c r="G176" s="1">
        <f t="shared" si="3"/>
      </c>
      <c r="H176" s="1">
        <f t="shared" si="4"/>
      </c>
      <c r="I176" s="4" t="e">
        <f t="shared" si="5"/>
        <v>#N/A</v>
      </c>
      <c r="J176" s="1">
        <f t="shared" si="6"/>
      </c>
      <c r="K176" s="1">
        <f t="shared" si="7"/>
      </c>
      <c r="L176" s="1">
        <f t="shared" si="8"/>
      </c>
    </row>
    <row r="177" spans="4:12" x14ac:dyDescent="0.3">
      <c r="D177" s="1">
        <f t="shared" si="0"/>
      </c>
      <c r="E177" s="1">
        <f t="shared" si="1"/>
      </c>
      <c r="F177" s="1">
        <f t="shared" si="2"/>
      </c>
      <c r="G177" s="1">
        <f t="shared" si="3"/>
      </c>
      <c r="H177" s="1">
        <f t="shared" si="4"/>
      </c>
      <c r="I177" s="4" t="e">
        <f t="shared" si="5"/>
        <v>#N/A</v>
      </c>
      <c r="J177" s="1">
        <f t="shared" si="6"/>
      </c>
      <c r="K177" s="1">
        <f t="shared" si="7"/>
      </c>
      <c r="L177" s="1">
        <f t="shared" si="8"/>
      </c>
    </row>
    <row r="178" spans="4:12" x14ac:dyDescent="0.3">
      <c r="D178" s="1">
        <f t="shared" si="0"/>
      </c>
      <c r="E178" s="1">
        <f t="shared" si="1"/>
      </c>
      <c r="F178" s="1">
        <f t="shared" si="2"/>
      </c>
      <c r="G178" s="1">
        <f t="shared" si="3"/>
      </c>
      <c r="H178" s="1">
        <f t="shared" si="4"/>
      </c>
      <c r="I178" s="4" t="e">
        <f t="shared" si="5"/>
        <v>#N/A</v>
      </c>
      <c r="J178" s="1">
        <f t="shared" si="6"/>
      </c>
      <c r="K178" s="1">
        <f t="shared" si="7"/>
      </c>
      <c r="L178" s="1">
        <f t="shared" si="8"/>
      </c>
    </row>
    <row r="179" spans="4:12" x14ac:dyDescent="0.3">
      <c r="D179" s="1">
        <f t="shared" si="0"/>
      </c>
      <c r="E179" s="1">
        <f t="shared" si="1"/>
      </c>
      <c r="F179" s="1">
        <f t="shared" si="2"/>
      </c>
      <c r="G179" s="1">
        <f t="shared" si="3"/>
      </c>
      <c r="H179" s="1">
        <f t="shared" si="4"/>
      </c>
      <c r="I179" s="4" t="e">
        <f t="shared" si="5"/>
        <v>#N/A</v>
      </c>
      <c r="J179" s="1">
        <f t="shared" si="6"/>
      </c>
      <c r="K179" s="1">
        <f t="shared" si="7"/>
      </c>
      <c r="L179" s="1">
        <f t="shared" si="8"/>
      </c>
    </row>
    <row r="180" spans="4:12" x14ac:dyDescent="0.3">
      <c r="D180" s="1">
        <f t="shared" si="0"/>
      </c>
      <c r="E180" s="1">
        <f t="shared" si="1"/>
      </c>
      <c r="F180" s="1">
        <f t="shared" si="2"/>
      </c>
      <c r="G180" s="1">
        <f t="shared" si="3"/>
      </c>
      <c r="H180" s="1">
        <f t="shared" si="4"/>
      </c>
      <c r="I180" s="4" t="e">
        <f t="shared" si="5"/>
        <v>#N/A</v>
      </c>
      <c r="J180" s="1">
        <f t="shared" si="6"/>
      </c>
      <c r="K180" s="1">
        <f t="shared" si="7"/>
      </c>
      <c r="L180" s="1">
        <f t="shared" si="8"/>
      </c>
    </row>
    <row r="181" spans="4:12" x14ac:dyDescent="0.3">
      <c r="D181" s="1">
        <f t="shared" si="0"/>
      </c>
      <c r="E181" s="1">
        <f t="shared" si="1"/>
      </c>
      <c r="F181" s="1">
        <f t="shared" si="2"/>
      </c>
      <c r="G181" s="1">
        <f t="shared" si="3"/>
      </c>
      <c r="H181" s="1">
        <f t="shared" si="4"/>
      </c>
      <c r="I181" s="4" t="e">
        <f t="shared" si="5"/>
        <v>#N/A</v>
      </c>
      <c r="J181" s="1">
        <f t="shared" si="6"/>
      </c>
      <c r="K181" s="1">
        <f t="shared" si="7"/>
      </c>
      <c r="L181" s="1">
        <f t="shared" si="8"/>
      </c>
    </row>
    <row r="182" spans="4:12" x14ac:dyDescent="0.3">
      <c r="D182" s="1">
        <f t="shared" si="0"/>
      </c>
      <c r="E182" s="1">
        <f t="shared" si="1"/>
      </c>
      <c r="F182" s="1">
        <f t="shared" si="2"/>
      </c>
      <c r="G182" s="1">
        <f t="shared" si="3"/>
      </c>
      <c r="H182" s="1">
        <f t="shared" si="4"/>
      </c>
      <c r="I182" s="4" t="e">
        <f t="shared" si="5"/>
        <v>#N/A</v>
      </c>
      <c r="J182" s="1">
        <f t="shared" si="6"/>
      </c>
      <c r="K182" s="1">
        <f t="shared" si="7"/>
      </c>
      <c r="L182" s="1">
        <f t="shared" si="8"/>
      </c>
    </row>
    <row r="183" spans="4:12" x14ac:dyDescent="0.3">
      <c r="D183" s="1">
        <f t="shared" si="0"/>
      </c>
      <c r="E183" s="1">
        <f t="shared" si="1"/>
      </c>
      <c r="F183" s="1">
        <f t="shared" si="2"/>
      </c>
      <c r="G183" s="1">
        <f t="shared" si="3"/>
      </c>
      <c r="H183" s="1">
        <f t="shared" si="4"/>
      </c>
      <c r="I183" s="4" t="e">
        <f t="shared" si="5"/>
        <v>#N/A</v>
      </c>
      <c r="J183" s="1">
        <f t="shared" si="6"/>
      </c>
      <c r="K183" s="1">
        <f t="shared" si="7"/>
      </c>
      <c r="L183" s="1">
        <f t="shared" si="8"/>
      </c>
    </row>
    <row r="184" spans="4:12" x14ac:dyDescent="0.3">
      <c r="D184" s="1">
        <f t="shared" si="0"/>
      </c>
      <c r="E184" s="1">
        <f t="shared" si="1"/>
      </c>
      <c r="F184" s="1">
        <f t="shared" si="2"/>
      </c>
      <c r="G184" s="1">
        <f t="shared" si="3"/>
      </c>
      <c r="H184" s="1">
        <f t="shared" si="4"/>
      </c>
      <c r="I184" s="4" t="e">
        <f t="shared" si="5"/>
        <v>#N/A</v>
      </c>
      <c r="J184" s="1">
        <f t="shared" si="6"/>
      </c>
      <c r="K184" s="1">
        <f t="shared" si="7"/>
      </c>
      <c r="L184" s="1">
        <f t="shared" si="8"/>
      </c>
    </row>
    <row r="185" spans="4:12" x14ac:dyDescent="0.3">
      <c r="D185" s="1">
        <f t="shared" si="0"/>
      </c>
      <c r="E185" s="1">
        <f t="shared" si="1"/>
      </c>
      <c r="F185" s="1">
        <f t="shared" si="2"/>
      </c>
      <c r="G185" s="1">
        <f t="shared" si="3"/>
      </c>
      <c r="H185" s="1">
        <f t="shared" si="4"/>
      </c>
      <c r="I185" s="4" t="e">
        <f t="shared" si="5"/>
        <v>#N/A</v>
      </c>
      <c r="J185" s="1">
        <f t="shared" si="6"/>
      </c>
      <c r="K185" s="1">
        <f t="shared" si="7"/>
      </c>
      <c r="L185" s="1">
        <f t="shared" si="8"/>
      </c>
    </row>
    <row r="186" spans="4:12" x14ac:dyDescent="0.3">
      <c r="D186" s="1">
        <f t="shared" si="0"/>
      </c>
      <c r="E186" s="1">
        <f t="shared" si="1"/>
      </c>
      <c r="F186" s="1">
        <f t="shared" si="2"/>
      </c>
      <c r="G186" s="1">
        <f t="shared" si="3"/>
      </c>
      <c r="H186" s="1">
        <f t="shared" si="4"/>
      </c>
      <c r="I186" s="4" t="e">
        <f t="shared" si="5"/>
        <v>#N/A</v>
      </c>
      <c r="J186" s="1">
        <f t="shared" si="6"/>
      </c>
      <c r="K186" s="1">
        <f t="shared" si="7"/>
      </c>
      <c r="L186" s="1">
        <f t="shared" si="8"/>
      </c>
    </row>
    <row r="187" spans="4:12" x14ac:dyDescent="0.3">
      <c r="D187" s="1">
        <f t="shared" si="0"/>
      </c>
      <c r="E187" s="1">
        <f t="shared" si="1"/>
      </c>
      <c r="F187" s="1">
        <f t="shared" si="2"/>
      </c>
      <c r="G187" s="1">
        <f t="shared" si="3"/>
      </c>
      <c r="H187" s="1">
        <f t="shared" si="4"/>
      </c>
      <c r="I187" s="4" t="e">
        <f t="shared" si="5"/>
        <v>#N/A</v>
      </c>
      <c r="J187" s="1">
        <f t="shared" si="6"/>
      </c>
      <c r="K187" s="1">
        <f t="shared" si="7"/>
      </c>
      <c r="L187" s="1">
        <f t="shared" si="8"/>
      </c>
    </row>
    <row r="188" spans="4:12" x14ac:dyDescent="0.3">
      <c r="D188" s="1">
        <f t="shared" si="0"/>
      </c>
      <c r="E188" s="1">
        <f t="shared" si="1"/>
      </c>
      <c r="F188" s="1">
        <f t="shared" si="2"/>
      </c>
      <c r="G188" s="1">
        <f t="shared" si="3"/>
      </c>
      <c r="H188" s="1">
        <f t="shared" si="4"/>
      </c>
      <c r="I188" s="4" t="e">
        <f t="shared" si="5"/>
        <v>#N/A</v>
      </c>
      <c r="J188" s="1">
        <f t="shared" si="6"/>
      </c>
      <c r="K188" s="1">
        <f t="shared" si="7"/>
      </c>
      <c r="L188" s="1">
        <f t="shared" si="8"/>
      </c>
    </row>
    <row r="189" spans="4:12" x14ac:dyDescent="0.3">
      <c r="D189" s="1">
        <f t="shared" si="0"/>
      </c>
      <c r="E189" s="1">
        <f t="shared" si="1"/>
      </c>
      <c r="F189" s="1">
        <f t="shared" si="2"/>
      </c>
      <c r="G189" s="1">
        <f t="shared" si="3"/>
      </c>
      <c r="H189" s="1">
        <f t="shared" si="4"/>
      </c>
      <c r="I189" s="4" t="e">
        <f t="shared" si="5"/>
        <v>#N/A</v>
      </c>
      <c r="J189" s="1">
        <f t="shared" si="6"/>
      </c>
      <c r="K189" s="1">
        <f t="shared" si="7"/>
      </c>
      <c r="L189" s="1">
        <f t="shared" si="8"/>
      </c>
    </row>
    <row r="190" spans="4:12" x14ac:dyDescent="0.3">
      <c r="D190" s="1">
        <f t="shared" si="0"/>
      </c>
      <c r="E190" s="1">
        <f t="shared" si="1"/>
      </c>
      <c r="F190" s="1">
        <f t="shared" si="2"/>
      </c>
      <c r="G190" s="1">
        <f t="shared" si="3"/>
      </c>
      <c r="H190" s="1">
        <f t="shared" si="4"/>
      </c>
      <c r="I190" s="4" t="e">
        <f t="shared" si="5"/>
        <v>#N/A</v>
      </c>
      <c r="J190" s="1">
        <f t="shared" si="6"/>
      </c>
      <c r="K190" s="1">
        <f t="shared" si="7"/>
      </c>
      <c r="L190" s="1">
        <f t="shared" si="8"/>
      </c>
    </row>
    <row r="191" spans="4:12" x14ac:dyDescent="0.3">
      <c r="D191" s="1">
        <f t="shared" si="0"/>
      </c>
      <c r="E191" s="1">
        <f t="shared" si="1"/>
      </c>
      <c r="F191" s="1">
        <f t="shared" si="2"/>
      </c>
      <c r="G191" s="1">
        <f t="shared" si="3"/>
      </c>
      <c r="H191" s="1">
        <f t="shared" si="4"/>
      </c>
      <c r="I191" s="4" t="e">
        <f t="shared" si="5"/>
        <v>#N/A</v>
      </c>
      <c r="J191" s="1">
        <f t="shared" si="6"/>
      </c>
      <c r="K191" s="1">
        <f t="shared" si="7"/>
      </c>
      <c r="L191" s="1">
        <f t="shared" si="8"/>
      </c>
    </row>
    <row r="192" spans="4:12" x14ac:dyDescent="0.3">
      <c r="D192" s="1">
        <f t="shared" si="0"/>
      </c>
      <c r="E192" s="1">
        <f t="shared" si="1"/>
      </c>
      <c r="F192" s="1">
        <f t="shared" si="2"/>
      </c>
      <c r="G192" s="1">
        <f t="shared" si="3"/>
      </c>
      <c r="H192" s="1">
        <f t="shared" si="4"/>
      </c>
      <c r="I192" s="4" t="e">
        <f t="shared" si="5"/>
        <v>#N/A</v>
      </c>
      <c r="J192" s="1">
        <f t="shared" si="6"/>
      </c>
      <c r="K192" s="1">
        <f t="shared" si="7"/>
      </c>
      <c r="L192" s="1">
        <f t="shared" si="8"/>
      </c>
    </row>
    <row r="193" spans="4:12" x14ac:dyDescent="0.3">
      <c r="D193" s="1">
        <f t="shared" si="0"/>
      </c>
      <c r="E193" s="1">
        <f t="shared" si="1"/>
      </c>
      <c r="F193" s="1">
        <f t="shared" si="2"/>
      </c>
      <c r="G193" s="1">
        <f t="shared" si="3"/>
      </c>
      <c r="H193" s="1">
        <f t="shared" si="4"/>
      </c>
      <c r="I193" s="4" t="e">
        <f t="shared" si="5"/>
        <v>#N/A</v>
      </c>
      <c r="J193" s="1">
        <f t="shared" si="6"/>
      </c>
      <c r="K193" s="1">
        <f t="shared" si="7"/>
      </c>
      <c r="L193" s="1">
        <f t="shared" si="8"/>
      </c>
    </row>
    <row r="194" spans="4:12" x14ac:dyDescent="0.3">
      <c r="D194" s="1">
        <f t="shared" si="0"/>
      </c>
      <c r="E194" s="1">
        <f t="shared" si="1"/>
      </c>
      <c r="F194" s="1">
        <f t="shared" si="2"/>
      </c>
      <c r="G194" s="1">
        <f t="shared" si="3"/>
      </c>
      <c r="H194" s="1">
        <f t="shared" si="4"/>
      </c>
      <c r="I194" s="4" t="e">
        <f t="shared" si="5"/>
        <v>#N/A</v>
      </c>
      <c r="J194" s="1">
        <f t="shared" si="6"/>
      </c>
      <c r="K194" s="1">
        <f t="shared" si="7"/>
      </c>
      <c r="L194" s="1">
        <f t="shared" si="8"/>
      </c>
    </row>
    <row r="195" spans="4:12" x14ac:dyDescent="0.3">
      <c r="D195" s="1">
        <f t="shared" si="0"/>
      </c>
      <c r="E195" s="1">
        <f t="shared" si="1"/>
      </c>
      <c r="F195" s="1">
        <f t="shared" si="2"/>
      </c>
      <c r="G195" s="1">
        <f t="shared" si="3"/>
      </c>
      <c r="H195" s="1">
        <f t="shared" si="4"/>
      </c>
      <c r="I195" s="4" t="e">
        <f t="shared" si="5"/>
        <v>#N/A</v>
      </c>
      <c r="J195" s="1">
        <f t="shared" si="6"/>
      </c>
      <c r="K195" s="1">
        <f t="shared" si="7"/>
      </c>
      <c r="L195" s="1">
        <f t="shared" si="8"/>
      </c>
    </row>
    <row r="196" spans="4:12" x14ac:dyDescent="0.3">
      <c r="D196" s="1">
        <f t="shared" si="0"/>
      </c>
      <c r="E196" s="1">
        <f t="shared" si="1"/>
      </c>
      <c r="F196" s="1">
        <f t="shared" si="2"/>
      </c>
      <c r="G196" s="1">
        <f t="shared" si="3"/>
      </c>
      <c r="H196" s="1">
        <f t="shared" si="4"/>
      </c>
      <c r="I196" s="4" t="e">
        <f t="shared" si="5"/>
        <v>#N/A</v>
      </c>
      <c r="J196" s="1">
        <f t="shared" si="6"/>
      </c>
      <c r="K196" s="1">
        <f t="shared" si="7"/>
      </c>
      <c r="L196" s="1">
        <f t="shared" si="8"/>
      </c>
    </row>
    <row r="197" spans="4:12" x14ac:dyDescent="0.3">
      <c r="D197" s="1">
        <f t="shared" si="0"/>
      </c>
      <c r="E197" s="1">
        <f t="shared" si="1"/>
      </c>
      <c r="F197" s="1">
        <f t="shared" si="2"/>
      </c>
      <c r="G197" s="1">
        <f t="shared" si="3"/>
      </c>
      <c r="H197" s="1">
        <f t="shared" si="4"/>
      </c>
      <c r="I197" s="4" t="e">
        <f t="shared" si="5"/>
        <v>#N/A</v>
      </c>
      <c r="J197" s="1">
        <f t="shared" si="6"/>
      </c>
      <c r="K197" s="1">
        <f t="shared" si="7"/>
      </c>
      <c r="L197" s="1">
        <f t="shared" si="8"/>
      </c>
    </row>
    <row r="198" spans="4:12" x14ac:dyDescent="0.3">
      <c r="D198" s="1">
        <f t="shared" si="0"/>
      </c>
      <c r="E198" s="1">
        <f t="shared" si="1"/>
      </c>
      <c r="F198" s="1">
        <f t="shared" si="2"/>
      </c>
      <c r="G198" s="1">
        <f t="shared" si="3"/>
      </c>
      <c r="H198" s="1">
        <f t="shared" si="4"/>
      </c>
      <c r="I198" s="4" t="e">
        <f t="shared" si="5"/>
        <v>#N/A</v>
      </c>
      <c r="J198" s="1">
        <f t="shared" si="6"/>
      </c>
      <c r="K198" s="1">
        <f t="shared" si="7"/>
      </c>
      <c r="L198" s="1">
        <f t="shared" si="8"/>
      </c>
    </row>
    <row r="199" spans="4:12" x14ac:dyDescent="0.3">
      <c r="D199" s="1">
        <f t="shared" si="0"/>
      </c>
      <c r="E199" s="1">
        <f t="shared" si="1"/>
      </c>
      <c r="F199" s="1">
        <f t="shared" si="2"/>
      </c>
      <c r="G199" s="1">
        <f t="shared" si="3"/>
      </c>
      <c r="H199" s="1">
        <f t="shared" si="4"/>
      </c>
      <c r="I199" s="4" t="e">
        <f t="shared" si="5"/>
        <v>#N/A</v>
      </c>
      <c r="J199" s="1">
        <f t="shared" si="6"/>
      </c>
      <c r="K199" s="1">
        <f t="shared" si="7"/>
      </c>
      <c r="L199" s="1">
        <f t="shared" si="8"/>
      </c>
    </row>
    <row r="200" spans="4:12" x14ac:dyDescent="0.3">
      <c r="D200" s="1">
        <f t="shared" si="0"/>
      </c>
      <c r="E200" s="1">
        <f t="shared" si="1"/>
      </c>
      <c r="F200" s="1">
        <f t="shared" si="2"/>
      </c>
      <c r="G200" s="1">
        <f t="shared" si="3"/>
      </c>
      <c r="H200" s="1">
        <f t="shared" si="4"/>
      </c>
      <c r="I200" s="4" t="e">
        <f t="shared" si="5"/>
        <v>#N/A</v>
      </c>
      <c r="J200" s="1">
        <f t="shared" si="6"/>
      </c>
      <c r="K200" s="1">
        <f t="shared" si="7"/>
      </c>
      <c r="L200" s="1">
        <f t="shared" si="8"/>
      </c>
    </row>
  </sheetData>
  <sheetProtection sheet="1" objects="1" scenarios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165"/>
  <sheetViews>
    <sheetView workbookViewId="0"/>
  </sheetViews>
  <sheetFormatPr defaultRowHeight="14.4" x14ac:dyDescent="0.3"/>
  <cols>
    <col min="1" max="1" width="42" customWidth="1"/>
    <col min="2" max="3" width="18" customWidth="1"/>
    <col min="4" max="4" width="22" customWidth="1"/>
    <col min="5" max="5" width="16" customWidth="1"/>
    <col min="6" max="6" width="10" customWidth="1"/>
    <col min="26" max="26" width="12" customWidth="1"/>
    <col min="27" max="27" width="14" customWidth="1"/>
  </cols>
  <sheetData>
    <row r="1" spans="1:27" x14ac:dyDescent="0.3">
      <c r="A1" s="3" t="s">
        <v>176</v>
      </c>
      <c r="Z1" s="1" t="s">
        <v>279</v>
      </c>
      <c r="AA1" s="1">
        <f>DATE(YEAR('Business Engine'!$B$1),MONTH('Business Engine'!$B$1),1)</f>
        <v>1</v>
      </c>
    </row>
    <row r="2" spans="1:27" x14ac:dyDescent="0.3">
      <c r="A2" s="1" t="s">
        <v>222</v>
      </c>
      <c r="B2" s="4">
        <f>'Business Engine'!$B$1</f>
        <v>0</v>
      </c>
      <c r="Z2" s="1" t="s">
        <v>280</v>
      </c>
      <c r="AA2" s="1">
        <f>DATE(YEAR('Business Engine'!$B$1),MONTH('Business Engine'!$B$1)+1,1)</f>
        <v>32</v>
      </c>
    </row>
    <row r="3" spans="1:27" x14ac:dyDescent="0.3">
      <c r="Z3" s="1" t="s">
        <v>281</v>
      </c>
      <c r="AA3" s="1" t="e">
        <f>DATE(YEAR('Business Engine'!$B$1),MONTH('Business Engine'!$B$1)-1,1)</f>
        <v>#NUM!</v>
      </c>
    </row>
    <row r="4" spans="1:27" x14ac:dyDescent="0.3">
      <c r="A4" s="1" t="s">
        <v>285</v>
      </c>
      <c r="Z4" s="1" t="s">
        <v>282</v>
      </c>
      <c r="AA4" s="1">
        <f>DATE(YEAR('Business Engine'!$B$1),1,1)</f>
        <v>1</v>
      </c>
    </row>
    <row r="5" spans="1:27" x14ac:dyDescent="0.3">
      <c r="A5" s="1" t="s">
        <v>286</v>
      </c>
      <c r="B5" s="1" t="s">
        <v>287</v>
      </c>
      <c r="C5" s="1" t="s">
        <v>288</v>
      </c>
      <c r="D5" s="1" t="s">
        <v>289</v>
      </c>
      <c r="Z5" s="1" t="s">
        <v>283</v>
      </c>
      <c r="AA5" s="4">
        <f>'Business Engine'!$B$1</f>
        <v>0</v>
      </c>
    </row>
    <row r="6" spans="1:27" x14ac:dyDescent="0.3">
      <c r="A6" s="1" t="s">
        <v>290</v>
      </c>
      <c r="B6" s="1">
        <f>'Business Engine'!$B$16</f>
        <v>0</v>
      </c>
      <c r="C6" s="1">
        <f>IFERROR(SUMIFS(tblTransactions[Amount],tblTransactions[Transaction Type],"Income",tblTransactions[Transaction Date],"&gt;="&amp;$AA$3,tblTransactions[Transaction Date],"&lt;"&amp;$AA$1),0)</f>
        <v>0</v>
      </c>
      <c r="D6" s="1">
        <f>IFERROR(SUMIFS(tblTransactions[Amount],tblTransactions[Transaction Type],"Income",tblTransactions[Transaction Date],"&gt;="&amp;$AA$4,tblTransactions[Transaction Date],"&lt;="&amp;$AA$5),0)</f>
        <v>0</v>
      </c>
      <c r="Z6" s="1" t="s">
        <v>284</v>
      </c>
      <c r="AA6" s="1">
        <f>DATE(YEAR('Business Engine'!$B$1)+1,1,1)</f>
        <v>367</v>
      </c>
    </row>
    <row r="7" spans="1:27" x14ac:dyDescent="0.3">
      <c r="A7" s="1" t="s">
        <v>213</v>
      </c>
      <c r="B7" s="1">
        <f>'Business Engine'!$B$12</f>
        <v>0</v>
      </c>
      <c r="C7" s="1">
        <f>IFERROR(SUMPRODUCT((tblTransactions[Transaction Type]="Income")*(tblTransactions[Transaction Date]&gt;=$AA$3)*(tblTransactions[Transaction Date]&lt;$AA$1)*(tblTransactions[Amount])*(IFERROR(INDEX(tblIncomeSources[Income Category],MATCH(tblTransactions[Income Source],tblIncomeSources[Income Source Name],0)),"")="Salary")),0)</f>
        <v>0</v>
      </c>
      <c r="D7" s="1">
        <f>IFERROR(SUMPRODUCT((tblTransactions[Transaction Type]="Income")*(tblTransactions[Transaction Date]&gt;=$AA$4)*(tblTransactions[Transaction Date]&lt;=$AA$5)*(tblTransactions[Amount])*(IFERROR(INDEX(tblIncomeSources[Income Category],MATCH(tblTransactions[Income Source],tblIncomeSources[Income Source Name],0)),"")="Salary")),0)</f>
        <v>0</v>
      </c>
    </row>
    <row r="8" spans="1:27" x14ac:dyDescent="0.3">
      <c r="A8" s="1" t="s">
        <v>220</v>
      </c>
      <c r="B8" s="1">
        <f>'Business Engine'!$B$13</f>
        <v>0</v>
      </c>
      <c r="C8" s="1">
        <f>IFERROR(SUMPRODUCT((tblTransactions[Transaction Type]="Income")*(tblTransactions[Transaction Date]&gt;=$AA$3)*(tblTransactions[Transaction Date]&lt;$AA$1)*(tblTransactions[Amount])*(IFERROR(INDEX(tblIncomeSources[Income Category],MATCH(tblTransactions[Income Source],tblIncomeSources[Income Source Name],0)),"")="Business Income")),0)</f>
        <v>0</v>
      </c>
      <c r="D8" s="1">
        <f>IFERROR(SUMPRODUCT((tblTransactions[Transaction Type]="Income")*(tblTransactions[Transaction Date]&gt;=$AA$4)*(tblTransactions[Transaction Date]&lt;=$AA$5)*(tblTransactions[Amount])*(IFERROR(INDEX(tblIncomeSources[Income Category],MATCH(tblTransactions[Income Source],tblIncomeSources[Income Source Name],0)),"")="Business Income")),0)</f>
        <v>0</v>
      </c>
    </row>
    <row r="9" spans="1:27" x14ac:dyDescent="0.3">
      <c r="A9" s="1" t="s">
        <v>214</v>
      </c>
      <c r="B9" s="1">
        <f>'Business Engine'!$B$14</f>
        <v>0</v>
      </c>
      <c r="C9" s="1">
        <f>IFERROR(SUMPRODUCT((tblTransactions[Transaction Type]="Income")*(tblTransactions[Transaction Date]&gt;=$AA$3)*(tblTransactions[Transaction Date]&lt;$AA$1)*(tblTransactions[Amount])*(IFERROR(INDEX(tblIncomeSources[Income Category],MATCH(tblTransactions[Income Source],tblIncomeSources[Income Source Name],0)),"")="Freelance")),0)</f>
        <v>0</v>
      </c>
      <c r="D9" s="1">
        <f>IFERROR(SUMPRODUCT((tblTransactions[Transaction Type]="Income")*(tblTransactions[Transaction Date]&gt;=$AA$4)*(tblTransactions[Transaction Date]&lt;=$AA$5)*(tblTransactions[Amount])*(IFERROR(INDEX(tblIncomeSources[Income Category],MATCH(tblTransactions[Income Source],tblIncomeSources[Income Source Name],0)),"")="Freelance")),0)</f>
        <v>0</v>
      </c>
    </row>
    <row r="10" spans="1:27" x14ac:dyDescent="0.3">
      <c r="A10" s="1" t="s">
        <v>221</v>
      </c>
      <c r="B10" s="1">
        <f>'Business Engine'!$B$15</f>
        <v>0</v>
      </c>
      <c r="C10" s="1">
        <f>IFERROR(SUMPRODUCT((tblTransactions[Transaction Type]="Income")*(tblTransactions[Transaction Date]&gt;=$AA$3)*(tblTransactions[Transaction Date]&lt;$AA$1)*(tblTransactions[Amount])*(IFERROR(INDEX(tblIncomeSources[Income Category],MATCH(tblTransactions[Income Source],tblIncomeSources[Income Source Name],0)),"")="Investment")),0)</f>
        <v>0</v>
      </c>
      <c r="D10" s="1">
        <f>IFERROR(SUMPRODUCT((tblTransactions[Transaction Type]="Income")*(tblTransactions[Transaction Date]&gt;=$AA$4)*(tblTransactions[Transaction Date]&lt;=$AA$5)*(tblTransactions[Amount])*(IFERROR(INDEX(tblIncomeSources[Income Category],MATCH(tblTransactions[Income Source],tblIncomeSources[Income Source Name],0)),"")="Investment")),0)</f>
        <v>0</v>
      </c>
    </row>
    <row r="11" spans="1:27" x14ac:dyDescent="0.3">
      <c r="A11" s="1" t="s">
        <v>291</v>
      </c>
      <c r="B11" s="1">
        <f>'Business Engine'!$B$17</f>
        <v>0</v>
      </c>
      <c r="C11" s="1">
        <f>IFERROR(MAX(0,$C$6-($C$7+$C$8+$C$9+$C$10)),0)</f>
        <v>0</v>
      </c>
      <c r="D11" s="1">
        <f>IFERROR(MAX(0,$D$6-($D$7+$D$8+$D$9+$D$10)),0)</f>
        <v>0</v>
      </c>
    </row>
    <row r="13" spans="1:27" x14ac:dyDescent="0.3">
      <c r="A13" s="1" t="s">
        <v>292</v>
      </c>
      <c r="B13" s="1" t="s">
        <v>287</v>
      </c>
      <c r="C13" s="1" t="s">
        <v>288</v>
      </c>
      <c r="D13" s="1" t="s">
        <v>289</v>
      </c>
    </row>
    <row r="14" spans="1:27" x14ac:dyDescent="0.3">
      <c r="A14" s="1" t="s">
        <v>293</v>
      </c>
      <c r="B14" s="1">
        <f>'Business Engine'!$B$22</f>
        <v>0</v>
      </c>
      <c r="C14" s="1">
        <f>IFERROR(SUMIFS(tblTransactions[Amount],tblTransactions[Transaction Type],"Expense",tblTransactions[Transaction Date],"&gt;="&amp;$AA$3,tblTransactions[Transaction Date],"&lt;"&amp;$AA$1),0)</f>
        <v>0</v>
      </c>
      <c r="D14" s="1">
        <f>'Business Engine'!$B$24</f>
        <v>0</v>
      </c>
    </row>
    <row r="16" spans="1:27" x14ac:dyDescent="0.3">
      <c r="A16" s="1" t="s">
        <v>63</v>
      </c>
      <c r="B16" s="1" t="s">
        <v>287</v>
      </c>
      <c r="C16" s="1" t="s">
        <v>288</v>
      </c>
      <c r="D16" s="1" t="s">
        <v>294</v>
      </c>
      <c r="E16" s="1" t="s">
        <v>295</v>
      </c>
      <c r="F16" s="1" t="s">
        <v>296</v>
      </c>
    </row>
    <row r="17" spans="1:6" x14ac:dyDescent="0.3">
      <c r="A17" s="1">
        <f>IFERROR(INDEX(tblCategories[Category Name],1),"")</f>
        <v>0</v>
      </c>
      <c r="B17" s="1">
        <f>IFERROR(SUMIFS(tblTransactions[Amount],tblTransactions[Transaction Type],"Expense",tblTransactions[Category],A17,tblTransactions[Transaction Date],"&gt;="&amp;$AA$1,tblTransactions[Transaction Date],"&lt;"&amp;$AA$2),0)</f>
        <v>0</v>
      </c>
      <c r="C17" s="1">
        <f>IFERROR(SUMIFS(tblTransactions[Amount],tblTransactions[Transaction Type],"Expense",tblTransactions[Category],A17,tblTransactions[Transaction Date],"&gt;="&amp;$AA$3,tblTransactions[Transaction Date],"&lt;"&amp;$AA$1),0)</f>
        <v>0</v>
      </c>
      <c r="D17" s="1">
        <f>IFERROR(SUMIFS(tblTransactions[Amount],tblTransactions[Transaction Type],"Expense",tblTransactions[Category],A17,tblTransactions[Transaction Date],"&gt;="&amp;$AA$4,tblTransactions[Transaction Date],"&lt;="&amp;$AA$5),0)</f>
        <v>0</v>
      </c>
      <c r="E17" s="1">
        <f t="shared" ref="E17:E26" si="0">IFERROR(B17/$B$14,0)</f>
        <v>0</v>
      </c>
      <c r="F17" s="1">
        <f t="shared" ref="F17:F26" si="1">IF(A17="","",1+COUNTIFS($B$17:$B$26,"&gt;"&amp;B17))</f>
        <v>1</v>
      </c>
    </row>
    <row r="18" spans="1:6" x14ac:dyDescent="0.3">
      <c r="A18" s="1">
        <f>IFERROR(INDEX(tblCategories[Category Name],2),"")</f>
        <v>0</v>
      </c>
      <c r="B18" s="1">
        <f>IFERROR(SUMIFS(tblTransactions[Amount],tblTransactions[Transaction Type],"Expense",tblTransactions[Category],A18,tblTransactions[Transaction Date],"&gt;="&amp;$AA$1,tblTransactions[Transaction Date],"&lt;"&amp;$AA$2),0)</f>
        <v>0</v>
      </c>
      <c r="C18" s="1">
        <f>IFERROR(SUMIFS(tblTransactions[Amount],tblTransactions[Transaction Type],"Expense",tblTransactions[Category],A18,tblTransactions[Transaction Date],"&gt;="&amp;$AA$3,tblTransactions[Transaction Date],"&lt;"&amp;$AA$1),0)</f>
        <v>0</v>
      </c>
      <c r="D18" s="1">
        <f>IFERROR(SUMIFS(tblTransactions[Amount],tblTransactions[Transaction Type],"Expense",tblTransactions[Category],A18,tblTransactions[Transaction Date],"&gt;="&amp;$AA$4,tblTransactions[Transaction Date],"&lt;="&amp;$AA$5),0)</f>
        <v>0</v>
      </c>
      <c r="E18" s="1">
        <f t="shared" si="0"/>
        <v>0</v>
      </c>
      <c r="F18" s="1">
        <f t="shared" si="1"/>
        <v>1</v>
      </c>
    </row>
    <row r="19" spans="1:6" x14ac:dyDescent="0.3">
      <c r="A19" s="1">
        <f>IFERROR(INDEX(tblCategories[Category Name],3),"")</f>
        <v>0</v>
      </c>
      <c r="B19" s="1">
        <f>IFERROR(SUMIFS(tblTransactions[Amount],tblTransactions[Transaction Type],"Expense",tblTransactions[Category],A19,tblTransactions[Transaction Date],"&gt;="&amp;$AA$1,tblTransactions[Transaction Date],"&lt;"&amp;$AA$2),0)</f>
        <v>0</v>
      </c>
      <c r="C19" s="1">
        <f>IFERROR(SUMIFS(tblTransactions[Amount],tblTransactions[Transaction Type],"Expense",tblTransactions[Category],A19,tblTransactions[Transaction Date],"&gt;="&amp;$AA$3,tblTransactions[Transaction Date],"&lt;"&amp;$AA$1),0)</f>
        <v>0</v>
      </c>
      <c r="D19" s="1">
        <f>IFERROR(SUMIFS(tblTransactions[Amount],tblTransactions[Transaction Type],"Expense",tblTransactions[Category],A19,tblTransactions[Transaction Date],"&gt;="&amp;$AA$4,tblTransactions[Transaction Date],"&lt;="&amp;$AA$5),0)</f>
        <v>0</v>
      </c>
      <c r="E19" s="1">
        <f t="shared" si="0"/>
        <v>0</v>
      </c>
      <c r="F19" s="1">
        <f t="shared" si="1"/>
        <v>1</v>
      </c>
    </row>
    <row r="20" spans="1:6" x14ac:dyDescent="0.3">
      <c r="A20" s="1">
        <f>IFERROR(INDEX(tblCategories[Category Name],4),"")</f>
        <v>0</v>
      </c>
      <c r="B20" s="1">
        <f>IFERROR(SUMIFS(tblTransactions[Amount],tblTransactions[Transaction Type],"Expense",tblTransactions[Category],A20,tblTransactions[Transaction Date],"&gt;="&amp;$AA$1,tblTransactions[Transaction Date],"&lt;"&amp;$AA$2),0)</f>
        <v>0</v>
      </c>
      <c r="C20" s="1">
        <f>IFERROR(SUMIFS(tblTransactions[Amount],tblTransactions[Transaction Type],"Expense",tblTransactions[Category],A20,tblTransactions[Transaction Date],"&gt;="&amp;$AA$3,tblTransactions[Transaction Date],"&lt;"&amp;$AA$1),0)</f>
        <v>0</v>
      </c>
      <c r="D20" s="1">
        <f>IFERROR(SUMIFS(tblTransactions[Amount],tblTransactions[Transaction Type],"Expense",tblTransactions[Category],A20,tblTransactions[Transaction Date],"&gt;="&amp;$AA$4,tblTransactions[Transaction Date],"&lt;="&amp;$AA$5),0)</f>
        <v>0</v>
      </c>
      <c r="E20" s="1">
        <f t="shared" si="0"/>
        <v>0</v>
      </c>
      <c r="F20" s="1">
        <f t="shared" si="1"/>
        <v>1</v>
      </c>
    </row>
    <row r="21" spans="1:6" x14ac:dyDescent="0.3">
      <c r="A21" s="1">
        <f>IFERROR(INDEX(tblCategories[Category Name],5),"")</f>
        <v>0</v>
      </c>
      <c r="B21" s="1">
        <f>IFERROR(SUMIFS(tblTransactions[Amount],tblTransactions[Transaction Type],"Expense",tblTransactions[Category],A21,tblTransactions[Transaction Date],"&gt;="&amp;$AA$1,tblTransactions[Transaction Date],"&lt;"&amp;$AA$2),0)</f>
        <v>0</v>
      </c>
      <c r="C21" s="1">
        <f>IFERROR(SUMIFS(tblTransactions[Amount],tblTransactions[Transaction Type],"Expense",tblTransactions[Category],A21,tblTransactions[Transaction Date],"&gt;="&amp;$AA$3,tblTransactions[Transaction Date],"&lt;"&amp;$AA$1),0)</f>
        <v>0</v>
      </c>
      <c r="D21" s="1">
        <f>IFERROR(SUMIFS(tblTransactions[Amount],tblTransactions[Transaction Type],"Expense",tblTransactions[Category],A21,tblTransactions[Transaction Date],"&gt;="&amp;$AA$4,tblTransactions[Transaction Date],"&lt;="&amp;$AA$5),0)</f>
        <v>0</v>
      </c>
      <c r="E21" s="1">
        <f t="shared" si="0"/>
        <v>0</v>
      </c>
      <c r="F21" s="1">
        <f t="shared" si="1"/>
        <v>1</v>
      </c>
    </row>
    <row r="22" spans="1:6" x14ac:dyDescent="0.3">
      <c r="A22" s="1">
        <f>IFERROR(INDEX(tblCategories[Category Name],6),"")</f>
        <v>0</v>
      </c>
      <c r="B22" s="1">
        <f>IFERROR(SUMIFS(tblTransactions[Amount],tblTransactions[Transaction Type],"Expense",tblTransactions[Category],A22,tblTransactions[Transaction Date],"&gt;="&amp;$AA$1,tblTransactions[Transaction Date],"&lt;"&amp;$AA$2),0)</f>
        <v>0</v>
      </c>
      <c r="C22" s="1">
        <f>IFERROR(SUMIFS(tblTransactions[Amount],tblTransactions[Transaction Type],"Expense",tblTransactions[Category],A22,tblTransactions[Transaction Date],"&gt;="&amp;$AA$3,tblTransactions[Transaction Date],"&lt;"&amp;$AA$1),0)</f>
        <v>0</v>
      </c>
      <c r="D22" s="1">
        <f>IFERROR(SUMIFS(tblTransactions[Amount],tblTransactions[Transaction Type],"Expense",tblTransactions[Category],A22,tblTransactions[Transaction Date],"&gt;="&amp;$AA$4,tblTransactions[Transaction Date],"&lt;="&amp;$AA$5),0)</f>
        <v>0</v>
      </c>
      <c r="E22" s="1">
        <f t="shared" si="0"/>
        <v>0</v>
      </c>
      <c r="F22" s="1">
        <f t="shared" si="1"/>
        <v>1</v>
      </c>
    </row>
    <row r="23" spans="1:6" x14ac:dyDescent="0.3">
      <c r="A23" s="1">
        <f>IFERROR(INDEX(tblCategories[Category Name],7),"")</f>
        <v>0</v>
      </c>
      <c r="B23" s="1">
        <f>IFERROR(SUMIFS(tblTransactions[Amount],tblTransactions[Transaction Type],"Expense",tblTransactions[Category],A23,tblTransactions[Transaction Date],"&gt;="&amp;$AA$1,tblTransactions[Transaction Date],"&lt;"&amp;$AA$2),0)</f>
        <v>0</v>
      </c>
      <c r="C23" s="1">
        <f>IFERROR(SUMIFS(tblTransactions[Amount],tblTransactions[Transaction Type],"Expense",tblTransactions[Category],A23,tblTransactions[Transaction Date],"&gt;="&amp;$AA$3,tblTransactions[Transaction Date],"&lt;"&amp;$AA$1),0)</f>
        <v>0</v>
      </c>
      <c r="D23" s="1">
        <f>IFERROR(SUMIFS(tblTransactions[Amount],tblTransactions[Transaction Type],"Expense",tblTransactions[Category],A23,tblTransactions[Transaction Date],"&gt;="&amp;$AA$4,tblTransactions[Transaction Date],"&lt;="&amp;$AA$5),0)</f>
        <v>0</v>
      </c>
      <c r="E23" s="1">
        <f t="shared" si="0"/>
        <v>0</v>
      </c>
      <c r="F23" s="1">
        <f t="shared" si="1"/>
        <v>1</v>
      </c>
    </row>
    <row r="24" spans="1:6" x14ac:dyDescent="0.3">
      <c r="A24" s="1">
        <f>IFERROR(INDEX(tblCategories[Category Name],8),"")</f>
        <v>0</v>
      </c>
      <c r="B24" s="1">
        <f>IFERROR(SUMIFS(tblTransactions[Amount],tblTransactions[Transaction Type],"Expense",tblTransactions[Category],A24,tblTransactions[Transaction Date],"&gt;="&amp;$AA$1,tblTransactions[Transaction Date],"&lt;"&amp;$AA$2),0)</f>
        <v>0</v>
      </c>
      <c r="C24" s="1">
        <f>IFERROR(SUMIFS(tblTransactions[Amount],tblTransactions[Transaction Type],"Expense",tblTransactions[Category],A24,tblTransactions[Transaction Date],"&gt;="&amp;$AA$3,tblTransactions[Transaction Date],"&lt;"&amp;$AA$1),0)</f>
        <v>0</v>
      </c>
      <c r="D24" s="1">
        <f>IFERROR(SUMIFS(tblTransactions[Amount],tblTransactions[Transaction Type],"Expense",tblTransactions[Category],A24,tblTransactions[Transaction Date],"&gt;="&amp;$AA$4,tblTransactions[Transaction Date],"&lt;="&amp;$AA$5),0)</f>
        <v>0</v>
      </c>
      <c r="E24" s="1">
        <f t="shared" si="0"/>
        <v>0</v>
      </c>
      <c r="F24" s="1">
        <f t="shared" si="1"/>
        <v>1</v>
      </c>
    </row>
    <row r="25" spans="1:6" x14ac:dyDescent="0.3">
      <c r="A25" s="1">
        <f>IFERROR(INDEX(tblCategories[Category Name],9),"")</f>
        <v>0</v>
      </c>
      <c r="B25" s="1">
        <f>IFERROR(SUMIFS(tblTransactions[Amount],tblTransactions[Transaction Type],"Expense",tblTransactions[Category],A25,tblTransactions[Transaction Date],"&gt;="&amp;$AA$1,tblTransactions[Transaction Date],"&lt;"&amp;$AA$2),0)</f>
        <v>0</v>
      </c>
      <c r="C25" s="1">
        <f>IFERROR(SUMIFS(tblTransactions[Amount],tblTransactions[Transaction Type],"Expense",tblTransactions[Category],A25,tblTransactions[Transaction Date],"&gt;="&amp;$AA$3,tblTransactions[Transaction Date],"&lt;"&amp;$AA$1),0)</f>
        <v>0</v>
      </c>
      <c r="D25" s="1">
        <f>IFERROR(SUMIFS(tblTransactions[Amount],tblTransactions[Transaction Type],"Expense",tblTransactions[Category],A25,tblTransactions[Transaction Date],"&gt;="&amp;$AA$4,tblTransactions[Transaction Date],"&lt;="&amp;$AA$5),0)</f>
        <v>0</v>
      </c>
      <c r="E25" s="1">
        <f t="shared" si="0"/>
        <v>0</v>
      </c>
      <c r="F25" s="1">
        <f t="shared" si="1"/>
        <v>1</v>
      </c>
    </row>
    <row r="26" spans="1:6" x14ac:dyDescent="0.3">
      <c r="A26" s="1">
        <f>IFERROR(INDEX(tblCategories[Category Name],10),"")</f>
        <v>0</v>
      </c>
      <c r="B26" s="1">
        <f>IFERROR(SUMIFS(tblTransactions[Amount],tblTransactions[Transaction Type],"Expense",tblTransactions[Category],A26,tblTransactions[Transaction Date],"&gt;="&amp;$AA$1,tblTransactions[Transaction Date],"&lt;"&amp;$AA$2),0)</f>
        <v>0</v>
      </c>
      <c r="C26" s="1">
        <f>IFERROR(SUMIFS(tblTransactions[Amount],tblTransactions[Transaction Type],"Expense",tblTransactions[Category],A26,tblTransactions[Transaction Date],"&gt;="&amp;$AA$3,tblTransactions[Transaction Date],"&lt;"&amp;$AA$1),0)</f>
        <v>0</v>
      </c>
      <c r="D26" s="1">
        <f>IFERROR(SUMIFS(tblTransactions[Amount],tblTransactions[Transaction Type],"Expense",tblTransactions[Category],A26,tblTransactions[Transaction Date],"&gt;="&amp;$AA$4,tblTransactions[Transaction Date],"&lt;="&amp;$AA$5),0)</f>
        <v>0</v>
      </c>
      <c r="E26" s="1">
        <f t="shared" si="0"/>
        <v>0</v>
      </c>
      <c r="F26" s="1">
        <f t="shared" si="1"/>
        <v>1</v>
      </c>
    </row>
    <row r="28" spans="1:6" x14ac:dyDescent="0.3">
      <c r="A28" s="1" t="s">
        <v>297</v>
      </c>
    </row>
    <row r="29" spans="1:6" x14ac:dyDescent="0.3">
      <c r="A29" s="1" t="s">
        <v>298</v>
      </c>
      <c r="B29" s="1" t="s">
        <v>95</v>
      </c>
      <c r="C29" s="1" t="s">
        <v>273</v>
      </c>
      <c r="D29" s="1" t="s">
        <v>274</v>
      </c>
      <c r="E29" s="1" t="s">
        <v>275</v>
      </c>
    </row>
    <row r="30" spans="1:6" x14ac:dyDescent="0.3">
      <c r="A30" s="4">
        <f>DATE(YEAR($AA$5),1,1)</f>
        <v>1</v>
      </c>
      <c r="B30" s="1">
        <f>IFERROR(SUMIFS(tblTransactions[Amount],tblTransactions[Transaction Type],"Income",tblTransactions[Transaction Date],"&gt;="&amp;A30,tblTransactions[Transaction Date],"&lt;"&amp;DATE(YEAR($AA$5),1+1,1)),0)</f>
        <v>0</v>
      </c>
      <c r="C30" s="1">
        <f>IFERROR(SUMIFS(tblTransactions[Amount],tblTransactions[Transaction Type],"Expense",tblTransactions[Transaction Date],"&gt;="&amp;A30,tblTransactions[Transaction Date],"&lt;"&amp;DATE(YEAR($AA$5),1+1,1)),0)</f>
        <v>0</v>
      </c>
      <c r="D30" s="1">
        <f t="shared" ref="D30:D41" si="2">B30-C30</f>
        <v>0</v>
      </c>
      <c r="E30" s="1">
        <f t="shared" ref="E30:E41" si="3">IFERROR(D30/B30,0)</f>
        <v>0</v>
      </c>
    </row>
    <row r="31" spans="1:6" x14ac:dyDescent="0.3">
      <c r="A31" s="4">
        <f>DATE(YEAR($AA$5),2,1)</f>
        <v>32</v>
      </c>
      <c r="B31" s="1">
        <f>IFERROR(SUMIFS(tblTransactions[Amount],tblTransactions[Transaction Type],"Income",tblTransactions[Transaction Date],"&gt;="&amp;A31,tblTransactions[Transaction Date],"&lt;"&amp;DATE(YEAR($AA$5),2+1,1)),0)</f>
        <v>0</v>
      </c>
      <c r="C31" s="1">
        <f>IFERROR(SUMIFS(tblTransactions[Amount],tblTransactions[Transaction Type],"Expense",tblTransactions[Transaction Date],"&gt;="&amp;A31,tblTransactions[Transaction Date],"&lt;"&amp;DATE(YEAR($AA$5),2+1,1)),0)</f>
        <v>0</v>
      </c>
      <c r="D31" s="1">
        <f t="shared" si="2"/>
        <v>0</v>
      </c>
      <c r="E31" s="1">
        <f t="shared" si="3"/>
        <v>0</v>
      </c>
    </row>
    <row r="32" spans="1:6" x14ac:dyDescent="0.3">
      <c r="A32" s="4">
        <f>DATE(YEAR($AA$5),3,1)</f>
        <v>61</v>
      </c>
      <c r="B32" s="1">
        <f>IFERROR(SUMIFS(tblTransactions[Amount],tblTransactions[Transaction Type],"Income",tblTransactions[Transaction Date],"&gt;="&amp;A32,tblTransactions[Transaction Date],"&lt;"&amp;DATE(YEAR($AA$5),3+1,1)),0)</f>
        <v>0</v>
      </c>
      <c r="C32" s="1">
        <f>IFERROR(SUMIFS(tblTransactions[Amount],tblTransactions[Transaction Type],"Expense",tblTransactions[Transaction Date],"&gt;="&amp;A32,tblTransactions[Transaction Date],"&lt;"&amp;DATE(YEAR($AA$5),3+1,1)),0)</f>
        <v>0</v>
      </c>
      <c r="D32" s="1">
        <f t="shared" si="2"/>
        <v>0</v>
      </c>
      <c r="E32" s="1">
        <f t="shared" si="3"/>
        <v>0</v>
      </c>
    </row>
    <row r="33" spans="1:5" x14ac:dyDescent="0.3">
      <c r="A33" s="4">
        <f>DATE(YEAR($AA$5),4,1)</f>
        <v>92</v>
      </c>
      <c r="B33" s="1">
        <f>IFERROR(SUMIFS(tblTransactions[Amount],tblTransactions[Transaction Type],"Income",tblTransactions[Transaction Date],"&gt;="&amp;A33,tblTransactions[Transaction Date],"&lt;"&amp;DATE(YEAR($AA$5),4+1,1)),0)</f>
        <v>0</v>
      </c>
      <c r="C33" s="1">
        <f>IFERROR(SUMIFS(tblTransactions[Amount],tblTransactions[Transaction Type],"Expense",tblTransactions[Transaction Date],"&gt;="&amp;A33,tblTransactions[Transaction Date],"&lt;"&amp;DATE(YEAR($AA$5),4+1,1)),0)</f>
        <v>0</v>
      </c>
      <c r="D33" s="1">
        <f t="shared" si="2"/>
        <v>0</v>
      </c>
      <c r="E33" s="1">
        <f t="shared" si="3"/>
        <v>0</v>
      </c>
    </row>
    <row r="34" spans="1:5" x14ac:dyDescent="0.3">
      <c r="A34" s="4">
        <f>DATE(YEAR($AA$5),5,1)</f>
        <v>122</v>
      </c>
      <c r="B34" s="1">
        <f>IFERROR(SUMIFS(tblTransactions[Amount],tblTransactions[Transaction Type],"Income",tblTransactions[Transaction Date],"&gt;="&amp;A34,tblTransactions[Transaction Date],"&lt;"&amp;DATE(YEAR($AA$5),5+1,1)),0)</f>
        <v>0</v>
      </c>
      <c r="C34" s="1">
        <f>IFERROR(SUMIFS(tblTransactions[Amount],tblTransactions[Transaction Type],"Expense",tblTransactions[Transaction Date],"&gt;="&amp;A34,tblTransactions[Transaction Date],"&lt;"&amp;DATE(YEAR($AA$5),5+1,1)),0)</f>
        <v>0</v>
      </c>
      <c r="D34" s="1">
        <f t="shared" si="2"/>
        <v>0</v>
      </c>
      <c r="E34" s="1">
        <f t="shared" si="3"/>
        <v>0</v>
      </c>
    </row>
    <row r="35" spans="1:5" x14ac:dyDescent="0.3">
      <c r="A35" s="4">
        <f>DATE(YEAR($AA$5),6,1)</f>
        <v>153</v>
      </c>
      <c r="B35" s="1">
        <f>IFERROR(SUMIFS(tblTransactions[Amount],tblTransactions[Transaction Type],"Income",tblTransactions[Transaction Date],"&gt;="&amp;A35,tblTransactions[Transaction Date],"&lt;"&amp;DATE(YEAR($AA$5),6+1,1)),0)</f>
        <v>0</v>
      </c>
      <c r="C35" s="1">
        <f>IFERROR(SUMIFS(tblTransactions[Amount],tblTransactions[Transaction Type],"Expense",tblTransactions[Transaction Date],"&gt;="&amp;A35,tblTransactions[Transaction Date],"&lt;"&amp;DATE(YEAR($AA$5),6+1,1)),0)</f>
        <v>0</v>
      </c>
      <c r="D35" s="1">
        <f t="shared" si="2"/>
        <v>0</v>
      </c>
      <c r="E35" s="1">
        <f t="shared" si="3"/>
        <v>0</v>
      </c>
    </row>
    <row r="36" spans="1:5" x14ac:dyDescent="0.3">
      <c r="A36" s="4">
        <f>DATE(YEAR($AA$5),7,1)</f>
        <v>183</v>
      </c>
      <c r="B36" s="1">
        <f>IFERROR(SUMIFS(tblTransactions[Amount],tblTransactions[Transaction Type],"Income",tblTransactions[Transaction Date],"&gt;="&amp;A36,tblTransactions[Transaction Date],"&lt;"&amp;DATE(YEAR($AA$5),7+1,1)),0)</f>
        <v>0</v>
      </c>
      <c r="C36" s="1">
        <f>IFERROR(SUMIFS(tblTransactions[Amount],tblTransactions[Transaction Type],"Expense",tblTransactions[Transaction Date],"&gt;="&amp;A36,tblTransactions[Transaction Date],"&lt;"&amp;DATE(YEAR($AA$5),7+1,1)),0)</f>
        <v>0</v>
      </c>
      <c r="D36" s="1">
        <f t="shared" si="2"/>
        <v>0</v>
      </c>
      <c r="E36" s="1">
        <f t="shared" si="3"/>
        <v>0</v>
      </c>
    </row>
    <row r="37" spans="1:5" x14ac:dyDescent="0.3">
      <c r="A37" s="4">
        <f>DATE(YEAR($AA$5),8,1)</f>
        <v>214</v>
      </c>
      <c r="B37" s="1">
        <f>IFERROR(SUMIFS(tblTransactions[Amount],tblTransactions[Transaction Type],"Income",tblTransactions[Transaction Date],"&gt;="&amp;A37,tblTransactions[Transaction Date],"&lt;"&amp;DATE(YEAR($AA$5),8+1,1)),0)</f>
        <v>0</v>
      </c>
      <c r="C37" s="1">
        <f>IFERROR(SUMIFS(tblTransactions[Amount],tblTransactions[Transaction Type],"Expense",tblTransactions[Transaction Date],"&gt;="&amp;A37,tblTransactions[Transaction Date],"&lt;"&amp;DATE(YEAR($AA$5),8+1,1)),0)</f>
        <v>0</v>
      </c>
      <c r="D37" s="1">
        <f t="shared" si="2"/>
        <v>0</v>
      </c>
      <c r="E37" s="1">
        <f t="shared" si="3"/>
        <v>0</v>
      </c>
    </row>
    <row r="38" spans="1:5" x14ac:dyDescent="0.3">
      <c r="A38" s="4">
        <f>DATE(YEAR($AA$5),9,1)</f>
        <v>245</v>
      </c>
      <c r="B38" s="1">
        <f>IFERROR(SUMIFS(tblTransactions[Amount],tblTransactions[Transaction Type],"Income",tblTransactions[Transaction Date],"&gt;="&amp;A38,tblTransactions[Transaction Date],"&lt;"&amp;DATE(YEAR($AA$5),9+1,1)),0)</f>
        <v>0</v>
      </c>
      <c r="C38" s="1">
        <f>IFERROR(SUMIFS(tblTransactions[Amount],tblTransactions[Transaction Type],"Expense",tblTransactions[Transaction Date],"&gt;="&amp;A38,tblTransactions[Transaction Date],"&lt;"&amp;DATE(YEAR($AA$5),9+1,1)),0)</f>
        <v>0</v>
      </c>
      <c r="D38" s="1">
        <f t="shared" si="2"/>
        <v>0</v>
      </c>
      <c r="E38" s="1">
        <f t="shared" si="3"/>
        <v>0</v>
      </c>
    </row>
    <row r="39" spans="1:5" x14ac:dyDescent="0.3">
      <c r="A39" s="4">
        <f>DATE(YEAR($AA$5),10,1)</f>
        <v>275</v>
      </c>
      <c r="B39" s="1">
        <f>IFERROR(SUMIFS(tblTransactions[Amount],tblTransactions[Transaction Type],"Income",tblTransactions[Transaction Date],"&gt;="&amp;A39,tblTransactions[Transaction Date],"&lt;"&amp;DATE(YEAR($AA$5),10+1,1)),0)</f>
        <v>0</v>
      </c>
      <c r="C39" s="1">
        <f>IFERROR(SUMIFS(tblTransactions[Amount],tblTransactions[Transaction Type],"Expense",tblTransactions[Transaction Date],"&gt;="&amp;A39,tblTransactions[Transaction Date],"&lt;"&amp;DATE(YEAR($AA$5),10+1,1)),0)</f>
        <v>0</v>
      </c>
      <c r="D39" s="1">
        <f t="shared" si="2"/>
        <v>0</v>
      </c>
      <c r="E39" s="1">
        <f t="shared" si="3"/>
        <v>0</v>
      </c>
    </row>
    <row r="40" spans="1:5" x14ac:dyDescent="0.3">
      <c r="A40" s="4">
        <f>DATE(YEAR($AA$5),11,1)</f>
        <v>306</v>
      </c>
      <c r="B40" s="1">
        <f>IFERROR(SUMIFS(tblTransactions[Amount],tblTransactions[Transaction Type],"Income",tblTransactions[Transaction Date],"&gt;="&amp;A40,tblTransactions[Transaction Date],"&lt;"&amp;DATE(YEAR($AA$5),11+1,1)),0)</f>
        <v>0</v>
      </c>
      <c r="C40" s="1">
        <f>IFERROR(SUMIFS(tblTransactions[Amount],tblTransactions[Transaction Type],"Expense",tblTransactions[Transaction Date],"&gt;="&amp;A40,tblTransactions[Transaction Date],"&lt;"&amp;DATE(YEAR($AA$5),11+1,1)),0)</f>
        <v>0</v>
      </c>
      <c r="D40" s="1">
        <f t="shared" si="2"/>
        <v>0</v>
      </c>
      <c r="E40" s="1">
        <f t="shared" si="3"/>
        <v>0</v>
      </c>
    </row>
    <row r="41" spans="1:5" x14ac:dyDescent="0.3">
      <c r="A41" s="4">
        <f>DATE(YEAR($AA$5),12,1)</f>
        <v>336</v>
      </c>
      <c r="B41" s="1">
        <f>IFERROR(SUMIFS(tblTransactions[Amount],tblTransactions[Transaction Type],"Income",tblTransactions[Transaction Date],"&gt;="&amp;A41,tblTransactions[Transaction Date],"&lt;"&amp;DATE(YEAR($AA$5),12+1,1)),0)</f>
        <v>0</v>
      </c>
      <c r="C41" s="1">
        <f>IFERROR(SUMIFS(tblTransactions[Amount],tblTransactions[Transaction Type],"Expense",tblTransactions[Transaction Date],"&gt;="&amp;A41,tblTransactions[Transaction Date],"&lt;"&amp;DATE(YEAR($AA$5),12+1,1)),0)</f>
        <v>0</v>
      </c>
      <c r="D41" s="1">
        <f t="shared" si="2"/>
        <v>0</v>
      </c>
      <c r="E41" s="1">
        <f t="shared" si="3"/>
        <v>0</v>
      </c>
    </row>
    <row r="43" spans="1:5" x14ac:dyDescent="0.3">
      <c r="A43" s="1" t="s">
        <v>299</v>
      </c>
    </row>
    <row r="44" spans="1:5" x14ac:dyDescent="0.3">
      <c r="A44" s="1" t="s">
        <v>95</v>
      </c>
      <c r="B44" s="1">
        <f>'Business Engine'!$B$16</f>
        <v>0</v>
      </c>
    </row>
    <row r="45" spans="1:5" x14ac:dyDescent="0.3">
      <c r="A45" s="1" t="s">
        <v>273</v>
      </c>
      <c r="B45" s="1">
        <f>'Business Engine'!$B$22</f>
        <v>0</v>
      </c>
    </row>
    <row r="46" spans="1:5" x14ac:dyDescent="0.3">
      <c r="A46" s="1" t="s">
        <v>274</v>
      </c>
      <c r="B46" s="1">
        <f>'Business Engine'!$B$29</f>
        <v>0</v>
      </c>
    </row>
    <row r="47" spans="1:5" x14ac:dyDescent="0.3">
      <c r="A47" s="1" t="s">
        <v>275</v>
      </c>
      <c r="B47" s="1">
        <f>'Business Engine'!$B$30</f>
        <v>0</v>
      </c>
    </row>
    <row r="48" spans="1:5" x14ac:dyDescent="0.3">
      <c r="A48" s="1" t="s">
        <v>241</v>
      </c>
      <c r="B48" s="1">
        <f>'Business Engine'!$B$23</f>
        <v>0</v>
      </c>
    </row>
    <row r="49" spans="1:3" x14ac:dyDescent="0.3">
      <c r="A49" s="1" t="s">
        <v>300</v>
      </c>
      <c r="B49" s="1">
        <f>IFERROR($B$45-$B$48,0)</f>
        <v>0</v>
      </c>
    </row>
    <row r="50" spans="1:3" x14ac:dyDescent="0.3">
      <c r="A50" s="1" t="s">
        <v>301</v>
      </c>
      <c r="B50" s="1">
        <f>IFERROR(($B$45-$B$48)/$B$48,0)</f>
        <v>0</v>
      </c>
    </row>
    <row r="51" spans="1:3" x14ac:dyDescent="0.3">
      <c r="A51" s="1" t="s">
        <v>302</v>
      </c>
      <c r="B51" s="1" t="s">
        <v>303</v>
      </c>
    </row>
    <row r="53" spans="1:3" x14ac:dyDescent="0.3">
      <c r="A53" s="1" t="s">
        <v>304</v>
      </c>
    </row>
    <row r="54" spans="1:3" x14ac:dyDescent="0.3">
      <c r="A54" s="1" t="s">
        <v>250</v>
      </c>
      <c r="B54" s="1">
        <f>'Business Engine'!$B$34</f>
        <v>0</v>
      </c>
    </row>
    <row r="55" spans="1:3" x14ac:dyDescent="0.3">
      <c r="A55" s="1" t="s">
        <v>251</v>
      </c>
      <c r="B55" s="1">
        <f>'Business Engine'!$B$35</f>
        <v>0</v>
      </c>
    </row>
    <row r="56" spans="1:3" x14ac:dyDescent="0.3">
      <c r="A56" s="1" t="s">
        <v>305</v>
      </c>
      <c r="B56" s="1">
        <f>'Business Engine'!$B$36</f>
        <v>0</v>
      </c>
    </row>
    <row r="57" spans="1:3" x14ac:dyDescent="0.3">
      <c r="A57" s="1" t="s">
        <v>32</v>
      </c>
      <c r="B57" s="1">
        <f>'Business Engine'!$B$37</f>
        <v>0</v>
      </c>
    </row>
    <row r="58" spans="1:3" x14ac:dyDescent="0.3">
      <c r="A58" s="1" t="s">
        <v>254</v>
      </c>
      <c r="B58" s="1">
        <f>'Business Engine'!$B$38</f>
        <v>0</v>
      </c>
    </row>
    <row r="60" spans="1:3" x14ac:dyDescent="0.3">
      <c r="A60" s="1" t="s">
        <v>306</v>
      </c>
    </row>
    <row r="61" spans="1:3" x14ac:dyDescent="0.3">
      <c r="A61" s="1" t="s">
        <v>26</v>
      </c>
      <c r="B61" s="1" t="s">
        <v>30</v>
      </c>
      <c r="C61" s="1" t="s">
        <v>307</v>
      </c>
    </row>
    <row r="62" spans="1:3" x14ac:dyDescent="0.3">
      <c r="A62" s="1" t="str">
        <f>IFERROR(INDEX(lkpAssetType[Asset Type],1),"")</f>
        <v>Mutual Fund</v>
      </c>
      <c r="B62" s="1">
        <f>IFERROR(SUMIFS(tblAssets[Current Value],tblAssets[Asset Type],A62,tblAssets[Status],"Active"),0)</f>
        <v>0</v>
      </c>
      <c r="C62" s="1">
        <f t="shared" ref="C62:C71" si="4">IFERROR(B62/$B$55,0)</f>
        <v>0</v>
      </c>
    </row>
    <row r="63" spans="1:3" x14ac:dyDescent="0.3">
      <c r="A63" s="1" t="str">
        <f>IFERROR(INDEX(lkpAssetType[Asset Type],2),"")</f>
        <v>Stock</v>
      </c>
      <c r="B63" s="1">
        <f>IFERROR(SUMIFS(tblAssets[Current Value],tblAssets[Asset Type],A63,tblAssets[Status],"Active"),0)</f>
        <v>0</v>
      </c>
      <c r="C63" s="1">
        <f t="shared" si="4"/>
        <v>0</v>
      </c>
    </row>
    <row r="64" spans="1:3" x14ac:dyDescent="0.3">
      <c r="A64" s="1" t="str">
        <f>IFERROR(INDEX(lkpAssetType[Asset Type],3),"")</f>
        <v>ETF</v>
      </c>
      <c r="B64" s="1">
        <f>IFERROR(SUMIFS(tblAssets[Current Value],tblAssets[Asset Type],A64,tblAssets[Status],"Active"),0)</f>
        <v>0</v>
      </c>
      <c r="C64" s="1">
        <f t="shared" si="4"/>
        <v>0</v>
      </c>
    </row>
    <row r="65" spans="1:3" x14ac:dyDescent="0.3">
      <c r="A65" s="1" t="str">
        <f>IFERROR(INDEX(lkpAssetType[Asset Type],4),"")</f>
        <v>Gold ETF</v>
      </c>
      <c r="B65" s="1">
        <f>IFERROR(SUMIFS(tblAssets[Current Value],tblAssets[Asset Type],A65,tblAssets[Status],"Active"),0)</f>
        <v>0</v>
      </c>
      <c r="C65" s="1">
        <f t="shared" si="4"/>
        <v>0</v>
      </c>
    </row>
    <row r="66" spans="1:3" x14ac:dyDescent="0.3">
      <c r="A66" s="1" t="str">
        <f>IFERROR(INDEX(lkpAssetType[Asset Type],5),"")</f>
        <v>Bond</v>
      </c>
      <c r="B66" s="1">
        <f>IFERROR(SUMIFS(tblAssets[Current Value],tblAssets[Asset Type],A66,tblAssets[Status],"Active"),0)</f>
        <v>0</v>
      </c>
      <c r="C66" s="1">
        <f t="shared" si="4"/>
        <v>0</v>
      </c>
    </row>
    <row r="67" spans="1:3" x14ac:dyDescent="0.3">
      <c r="A67" s="1" t="str">
        <f>IFERROR(INDEX(lkpAssetType[Asset Type],6),"")</f>
        <v>SIP</v>
      </c>
      <c r="B67" s="1">
        <f>IFERROR(SUMIFS(tblAssets[Current Value],tblAssets[Asset Type],A67,tblAssets[Status],"Active"),0)</f>
        <v>0</v>
      </c>
      <c r="C67" s="1">
        <f t="shared" si="4"/>
        <v>0</v>
      </c>
    </row>
    <row r="68" spans="1:3" x14ac:dyDescent="0.3">
      <c r="A68" s="1" t="str">
        <f>IFERROR(INDEX(lkpAssetType[Asset Type],7),"")</f>
        <v>Fixed Deposit</v>
      </c>
      <c r="B68" s="1">
        <f>IFERROR(SUMIFS(tblAssets[Current Value],tblAssets[Asset Type],A68,tblAssets[Status],"Active"),0)</f>
        <v>0</v>
      </c>
      <c r="C68" s="1">
        <f t="shared" si="4"/>
        <v>0</v>
      </c>
    </row>
    <row r="69" spans="1:3" x14ac:dyDescent="0.3">
      <c r="A69" s="1" t="str">
        <f>IFERROR(INDEX(lkpAssetType[Asset Type],8),"")</f>
        <v>PPF</v>
      </c>
      <c r="B69" s="1">
        <f>IFERROR(SUMIFS(tblAssets[Current Value],tblAssets[Asset Type],A69,tblAssets[Status],"Active"),0)</f>
        <v>0</v>
      </c>
      <c r="C69" s="1">
        <f t="shared" si="4"/>
        <v>0</v>
      </c>
    </row>
    <row r="70" spans="1:3" x14ac:dyDescent="0.3">
      <c r="A70" s="1" t="str">
        <f>IFERROR(INDEX(lkpAssetType[Asset Type],9),"")</f>
        <v>EPF</v>
      </c>
      <c r="B70" s="1">
        <f>IFERROR(SUMIFS(tblAssets[Current Value],tblAssets[Asset Type],A70,tblAssets[Status],"Active"),0)</f>
        <v>0</v>
      </c>
      <c r="C70" s="1">
        <f t="shared" si="4"/>
        <v>0</v>
      </c>
    </row>
    <row r="71" spans="1:3" x14ac:dyDescent="0.3">
      <c r="A71" s="1" t="str">
        <f>IFERROR(INDEX(lkpAssetType[Asset Type],10),"")</f>
        <v>NPS</v>
      </c>
      <c r="B71" s="1">
        <f>IFERROR(SUMIFS(tblAssets[Current Value],tblAssets[Asset Type],A71,tblAssets[Status],"Active"),0)</f>
        <v>0</v>
      </c>
      <c r="C71" s="1">
        <f t="shared" si="4"/>
        <v>0</v>
      </c>
    </row>
    <row r="73" spans="1:3" x14ac:dyDescent="0.3">
      <c r="A73" s="1" t="s">
        <v>308</v>
      </c>
    </row>
    <row r="74" spans="1:3" x14ac:dyDescent="0.3">
      <c r="A74" s="1" t="s">
        <v>256</v>
      </c>
      <c r="B74" s="1">
        <f>'Business Engine'!$B$41</f>
        <v>0</v>
      </c>
    </row>
    <row r="75" spans="1:3" x14ac:dyDescent="0.3">
      <c r="A75" s="1" t="s">
        <v>38</v>
      </c>
      <c r="B75" s="1">
        <f>'Business Engine'!$B$42</f>
        <v>0</v>
      </c>
    </row>
    <row r="76" spans="1:3" x14ac:dyDescent="0.3">
      <c r="A76" s="1" t="s">
        <v>258</v>
      </c>
      <c r="B76" s="1">
        <f>'Business Engine'!$B$43</f>
        <v>0</v>
      </c>
    </row>
    <row r="77" spans="1:3" x14ac:dyDescent="0.3">
      <c r="A77" s="1" t="s">
        <v>259</v>
      </c>
      <c r="B77" s="1">
        <f>'Business Engine'!$B$44</f>
        <v>0</v>
      </c>
    </row>
    <row r="78" spans="1:3" x14ac:dyDescent="0.3">
      <c r="A78" s="1" t="s">
        <v>309</v>
      </c>
      <c r="B78" s="1">
        <f>IFERROR($B$75*$B$77/12,0)</f>
        <v>0</v>
      </c>
    </row>
    <row r="79" spans="1:3" x14ac:dyDescent="0.3">
      <c r="A79" s="1" t="s">
        <v>260</v>
      </c>
      <c r="B79" s="1">
        <f>'Business Engine'!$B$45</f>
        <v>0</v>
      </c>
    </row>
    <row r="80" spans="1:3" x14ac:dyDescent="0.3">
      <c r="A80" s="1" t="s">
        <v>310</v>
      </c>
      <c r="B80" s="1">
        <f>'Business Engine'!$B$66</f>
        <v>0</v>
      </c>
    </row>
    <row r="81" spans="1:3" x14ac:dyDescent="0.3">
      <c r="A81" s="1" t="s">
        <v>311</v>
      </c>
      <c r="B81" s="1">
        <f>'Business Engine'!$B$68</f>
        <v>0</v>
      </c>
    </row>
    <row r="83" spans="1:3" x14ac:dyDescent="0.3">
      <c r="A83" s="1" t="s">
        <v>312</v>
      </c>
    </row>
    <row r="84" spans="1:3" x14ac:dyDescent="0.3">
      <c r="A84" s="1" t="s">
        <v>36</v>
      </c>
      <c r="B84" s="1" t="s">
        <v>313</v>
      </c>
      <c r="C84" s="1" t="s">
        <v>314</v>
      </c>
    </row>
    <row r="85" spans="1:3" x14ac:dyDescent="0.3">
      <c r="A85" s="1" t="str">
        <f>IFERROR(INDEX(lkpLiabilityType[Liability Type],1),"")</f>
        <v>Home Loan</v>
      </c>
      <c r="B85" s="1">
        <f>IFERROR(SUMIFS(tblLiabilities[Outstanding Balance],tblLiabilities[Liability Type],A85,tblLiabilities[Status],"Active"),0)</f>
        <v>0</v>
      </c>
      <c r="C85" s="1">
        <f t="shared" ref="C85:C94" si="5">IFERROR(B85/$B$75,0)</f>
        <v>0</v>
      </c>
    </row>
    <row r="86" spans="1:3" x14ac:dyDescent="0.3">
      <c r="A86" s="1" t="str">
        <f>IFERROR(INDEX(lkpLiabilityType[Liability Type],2),"")</f>
        <v>Personal Loan</v>
      </c>
      <c r="B86" s="1">
        <f>IFERROR(SUMIFS(tblLiabilities[Outstanding Balance],tblLiabilities[Liability Type],A86,tblLiabilities[Status],"Active"),0)</f>
        <v>0</v>
      </c>
      <c r="C86" s="1">
        <f t="shared" si="5"/>
        <v>0</v>
      </c>
    </row>
    <row r="87" spans="1:3" x14ac:dyDescent="0.3">
      <c r="A87" s="1" t="str">
        <f>IFERROR(INDEX(lkpLiabilityType[Liability Type],3),"")</f>
        <v>Education Loan</v>
      </c>
      <c r="B87" s="1">
        <f>IFERROR(SUMIFS(tblLiabilities[Outstanding Balance],tblLiabilities[Liability Type],A87,tblLiabilities[Status],"Active"),0)</f>
        <v>0</v>
      </c>
      <c r="C87" s="1">
        <f t="shared" si="5"/>
        <v>0</v>
      </c>
    </row>
    <row r="88" spans="1:3" x14ac:dyDescent="0.3">
      <c r="A88" s="1" t="str">
        <f>IFERROR(INDEX(lkpLiabilityType[Liability Type],4),"")</f>
        <v>Vehicle Loan</v>
      </c>
      <c r="B88" s="1">
        <f>IFERROR(SUMIFS(tblLiabilities[Outstanding Balance],tblLiabilities[Liability Type],A88,tblLiabilities[Status],"Active"),0)</f>
        <v>0</v>
      </c>
      <c r="C88" s="1">
        <f t="shared" si="5"/>
        <v>0</v>
      </c>
    </row>
    <row r="89" spans="1:3" x14ac:dyDescent="0.3">
      <c r="A89" s="1" t="str">
        <f>IFERROR(INDEX(lkpLiabilityType[Liability Type],5),"")</f>
        <v>Gold Loan</v>
      </c>
      <c r="B89" s="1">
        <f>IFERROR(SUMIFS(tblLiabilities[Outstanding Balance],tblLiabilities[Liability Type],A89,tblLiabilities[Status],"Active"),0)</f>
        <v>0</v>
      </c>
      <c r="C89" s="1">
        <f t="shared" si="5"/>
        <v>0</v>
      </c>
    </row>
    <row r="90" spans="1:3" x14ac:dyDescent="0.3">
      <c r="A90" s="1" t="str">
        <f>IFERROR(INDEX(lkpLiabilityType[Liability Type],6),"")</f>
        <v>Credit Card</v>
      </c>
      <c r="B90" s="1">
        <f>IFERROR(SUMIFS(tblLiabilities[Outstanding Balance],tblLiabilities[Liability Type],A90,tblLiabilities[Status],"Active"),0)</f>
        <v>0</v>
      </c>
      <c r="C90" s="1">
        <f t="shared" si="5"/>
        <v>0</v>
      </c>
    </row>
    <row r="91" spans="1:3" x14ac:dyDescent="0.3">
      <c r="A91" s="1" t="str">
        <f>IFERROR(INDEX(lkpLiabilityType[Liability Type],7),"")</f>
        <v>Buy Now Pay Later</v>
      </c>
      <c r="B91" s="1">
        <f>IFERROR(SUMIFS(tblLiabilities[Outstanding Balance],tblLiabilities[Liability Type],A91,tblLiabilities[Status],"Active"),0)</f>
        <v>0</v>
      </c>
      <c r="C91" s="1">
        <f t="shared" si="5"/>
        <v>0</v>
      </c>
    </row>
    <row r="92" spans="1:3" x14ac:dyDescent="0.3">
      <c r="A92" s="1" t="str">
        <f>IFERROR(INDEX(lkpLiabilityType[Liability Type],8),"")</f>
        <v>Family Loan</v>
      </c>
      <c r="B92" s="1">
        <f>IFERROR(SUMIFS(tblLiabilities[Outstanding Balance],tblLiabilities[Liability Type],A92,tblLiabilities[Status],"Active"),0)</f>
        <v>0</v>
      </c>
      <c r="C92" s="1">
        <f t="shared" si="5"/>
        <v>0</v>
      </c>
    </row>
    <row r="93" spans="1:3" x14ac:dyDescent="0.3">
      <c r="A93" s="1" t="str">
        <f>IFERROR(INDEX(lkpLiabilityType[Liability Type],9),"")</f>
        <v>Business Loan</v>
      </c>
      <c r="B93" s="1">
        <f>IFERROR(SUMIFS(tblLiabilities[Outstanding Balance],tblLiabilities[Liability Type],A93,tblLiabilities[Status],"Active"),0)</f>
        <v>0</v>
      </c>
      <c r="C93" s="1">
        <f t="shared" si="5"/>
        <v>0</v>
      </c>
    </row>
    <row r="94" spans="1:3" x14ac:dyDescent="0.3">
      <c r="A94" s="1" t="str">
        <f>IFERROR(INDEX(lkpLiabilityType[Liability Type],10),"")</f>
        <v>Other Liability</v>
      </c>
      <c r="B94" s="1">
        <f>IFERROR(SUMIFS(tblLiabilities[Outstanding Balance],tblLiabilities[Liability Type],A94,tblLiabilities[Status],"Active"),0)</f>
        <v>0</v>
      </c>
      <c r="C94" s="1">
        <f t="shared" si="5"/>
        <v>0</v>
      </c>
    </row>
    <row r="96" spans="1:3" x14ac:dyDescent="0.3">
      <c r="A96" s="1" t="s">
        <v>315</v>
      </c>
    </row>
    <row r="97" spans="1:5" x14ac:dyDescent="0.3">
      <c r="A97" s="1" t="s">
        <v>101</v>
      </c>
      <c r="B97" s="1" t="s">
        <v>316</v>
      </c>
      <c r="C97" s="1" t="s">
        <v>317</v>
      </c>
      <c r="D97" s="1" t="s">
        <v>318</v>
      </c>
      <c r="E97" s="1" t="s">
        <v>319</v>
      </c>
    </row>
    <row r="98" spans="1:5" x14ac:dyDescent="0.3">
      <c r="A98" s="1">
        <f>IFERROR(INDEX(tblGoals[Goal Name],1),"")</f>
        <v>0</v>
      </c>
      <c r="B98" s="1">
        <f>IFERROR(INDEX(tblGoals[Current Saved Amount],1)/INDEX(tblGoals[Target Amount],1),0)</f>
        <v>0</v>
      </c>
      <c r="C98" s="1">
        <f>IFERROR(INDEX(tblGoals[Remaining Amount],1),0)</f>
        <v>0</v>
      </c>
      <c r="D98" s="1">
        <f>IFERROR(INDEX(tblGoals[Remaining Amount],1)/MAX(1,(YEAR(INDEX(tblGoals[Target Date],1))-YEAR($AA$5))*12+MONTH(INDEX(tblGoals[Target Date],1))-MONTH($AA$5)),0)</f>
        <v>0</v>
      </c>
      <c r="E98" s="1">
        <f>IF((IFERROR(INDEX(tblGoals[Goal Status],1),"")="Active")*(IFERROR(INDEX(tblGoals[Target Date],1),0)&lt;$AA$5)*(IFERROR(INDEX(tblGoals[Remaining Amount],1),0)&gt;0),1,0)</f>
        <v>0</v>
      </c>
    </row>
    <row r="99" spans="1:5" x14ac:dyDescent="0.3">
      <c r="A99" s="1">
        <f>IFERROR(INDEX(tblGoals[Goal Name],2),"")</f>
        <v>0</v>
      </c>
      <c r="B99" s="1">
        <f>IFERROR(INDEX(tblGoals[Current Saved Amount],2)/INDEX(tblGoals[Target Amount],2),0)</f>
        <v>0</v>
      </c>
      <c r="C99" s="1">
        <f>IFERROR(INDEX(tblGoals[Remaining Amount],2),0)</f>
        <v>0</v>
      </c>
      <c r="D99" s="1">
        <f>IFERROR(INDEX(tblGoals[Remaining Amount],2)/MAX(1,(YEAR(INDEX(tblGoals[Target Date],2))-YEAR($AA$5))*12+MONTH(INDEX(tblGoals[Target Date],2))-MONTH($AA$5)),0)</f>
        <v>0</v>
      </c>
      <c r="E99" s="1">
        <f>IF((IFERROR(INDEX(tblGoals[Goal Status],2),"")="Active")*(IFERROR(INDEX(tblGoals[Target Date],2),0)&lt;$AA$5)*(IFERROR(INDEX(tblGoals[Remaining Amount],2),0)&gt;0),1,0)</f>
        <v>0</v>
      </c>
    </row>
    <row r="100" spans="1:5" x14ac:dyDescent="0.3">
      <c r="A100" s="1">
        <f>IFERROR(INDEX(tblGoals[Goal Name],3),"")</f>
        <v>0</v>
      </c>
      <c r="B100" s="1">
        <f>IFERROR(INDEX(tblGoals[Current Saved Amount],3)/INDEX(tblGoals[Target Amount],3),0)</f>
        <v>0</v>
      </c>
      <c r="C100" s="1">
        <f>IFERROR(INDEX(tblGoals[Remaining Amount],3),0)</f>
        <v>0</v>
      </c>
      <c r="D100" s="1">
        <f>IFERROR(INDEX(tblGoals[Remaining Amount],3)/MAX(1,(YEAR(INDEX(tblGoals[Target Date],3))-YEAR($AA$5))*12+MONTH(INDEX(tblGoals[Target Date],3))-MONTH($AA$5)),0)</f>
        <v>0</v>
      </c>
      <c r="E100" s="1">
        <f>IF((IFERROR(INDEX(tblGoals[Goal Status],3),"")="Active")*(IFERROR(INDEX(tblGoals[Target Date],3),0)&lt;$AA$5)*(IFERROR(INDEX(tblGoals[Remaining Amount],3),0)&gt;0),1,0)</f>
        <v>0</v>
      </c>
    </row>
    <row r="101" spans="1:5" x14ac:dyDescent="0.3">
      <c r="A101" s="1">
        <f>IFERROR(INDEX(tblGoals[Goal Name],4),"")</f>
        <v>0</v>
      </c>
      <c r="B101" s="1">
        <f>IFERROR(INDEX(tblGoals[Current Saved Amount],4)/INDEX(tblGoals[Target Amount],4),0)</f>
        <v>0</v>
      </c>
      <c r="C101" s="1">
        <f>IFERROR(INDEX(tblGoals[Remaining Amount],4),0)</f>
        <v>0</v>
      </c>
      <c r="D101" s="1">
        <f>IFERROR(INDEX(tblGoals[Remaining Amount],4)/MAX(1,(YEAR(INDEX(tblGoals[Target Date],4))-YEAR($AA$5))*12+MONTH(INDEX(tblGoals[Target Date],4))-MONTH($AA$5)),0)</f>
        <v>0</v>
      </c>
      <c r="E101" s="1">
        <f>IF((IFERROR(INDEX(tblGoals[Goal Status],4),"")="Active")*(IFERROR(INDEX(tblGoals[Target Date],4),0)&lt;$AA$5)*(IFERROR(INDEX(tblGoals[Remaining Amount],4),0)&gt;0),1,0)</f>
        <v>0</v>
      </c>
    </row>
    <row r="102" spans="1:5" x14ac:dyDescent="0.3">
      <c r="A102" s="1">
        <f>IFERROR(INDEX(tblGoals[Goal Name],5),"")</f>
        <v>0</v>
      </c>
      <c r="B102" s="1">
        <f>IFERROR(INDEX(tblGoals[Current Saved Amount],5)/INDEX(tblGoals[Target Amount],5),0)</f>
        <v>0</v>
      </c>
      <c r="C102" s="1">
        <f>IFERROR(INDEX(tblGoals[Remaining Amount],5),0)</f>
        <v>0</v>
      </c>
      <c r="D102" s="1">
        <f>IFERROR(INDEX(tblGoals[Remaining Amount],5)/MAX(1,(YEAR(INDEX(tblGoals[Target Date],5))-YEAR($AA$5))*12+MONTH(INDEX(tblGoals[Target Date],5))-MONTH($AA$5)),0)</f>
        <v>0</v>
      </c>
      <c r="E102" s="1">
        <f>IF((IFERROR(INDEX(tblGoals[Goal Status],5),"")="Active")*(IFERROR(INDEX(tblGoals[Target Date],5),0)&lt;$AA$5)*(IFERROR(INDEX(tblGoals[Remaining Amount],5),0)&gt;0),1,0)</f>
        <v>0</v>
      </c>
    </row>
    <row r="103" spans="1:5" x14ac:dyDescent="0.3">
      <c r="A103" s="1">
        <f>IFERROR(INDEX(tblGoals[Goal Name],6),"")</f>
        <v>0</v>
      </c>
      <c r="B103" s="1">
        <f>IFERROR(INDEX(tblGoals[Current Saved Amount],6)/INDEX(tblGoals[Target Amount],6),0)</f>
        <v>0</v>
      </c>
      <c r="C103" s="1">
        <f>IFERROR(INDEX(tblGoals[Remaining Amount],6),0)</f>
        <v>0</v>
      </c>
      <c r="D103" s="1">
        <f>IFERROR(INDEX(tblGoals[Remaining Amount],6)/MAX(1,(YEAR(INDEX(tblGoals[Target Date],6))-YEAR($AA$5))*12+MONTH(INDEX(tblGoals[Target Date],6))-MONTH($AA$5)),0)</f>
        <v>0</v>
      </c>
      <c r="E103" s="1">
        <f>IF((IFERROR(INDEX(tblGoals[Goal Status],6),"")="Active")*(IFERROR(INDEX(tblGoals[Target Date],6),0)&lt;$AA$5)*(IFERROR(INDEX(tblGoals[Remaining Amount],6),0)&gt;0),1,0)</f>
        <v>0</v>
      </c>
    </row>
    <row r="104" spans="1:5" x14ac:dyDescent="0.3">
      <c r="A104" s="1">
        <f>IFERROR(INDEX(tblGoals[Goal Name],7),"")</f>
        <v>0</v>
      </c>
      <c r="B104" s="1">
        <f>IFERROR(INDEX(tblGoals[Current Saved Amount],7)/INDEX(tblGoals[Target Amount],7),0)</f>
        <v>0</v>
      </c>
      <c r="C104" s="1">
        <f>IFERROR(INDEX(tblGoals[Remaining Amount],7),0)</f>
        <v>0</v>
      </c>
      <c r="D104" s="1">
        <f>IFERROR(INDEX(tblGoals[Remaining Amount],7)/MAX(1,(YEAR(INDEX(tblGoals[Target Date],7))-YEAR($AA$5))*12+MONTH(INDEX(tblGoals[Target Date],7))-MONTH($AA$5)),0)</f>
        <v>0</v>
      </c>
      <c r="E104" s="1">
        <f>IF((IFERROR(INDEX(tblGoals[Goal Status],7),"")="Active")*(IFERROR(INDEX(tblGoals[Target Date],7),0)&lt;$AA$5)*(IFERROR(INDEX(tblGoals[Remaining Amount],7),0)&gt;0),1,0)</f>
        <v>0</v>
      </c>
    </row>
    <row r="105" spans="1:5" x14ac:dyDescent="0.3">
      <c r="A105" s="1">
        <f>IFERROR(INDEX(tblGoals[Goal Name],8),"")</f>
        <v>0</v>
      </c>
      <c r="B105" s="1">
        <f>IFERROR(INDEX(tblGoals[Current Saved Amount],8)/INDEX(tblGoals[Target Amount],8),0)</f>
        <v>0</v>
      </c>
      <c r="C105" s="1">
        <f>IFERROR(INDEX(tblGoals[Remaining Amount],8),0)</f>
        <v>0</v>
      </c>
      <c r="D105" s="1">
        <f>IFERROR(INDEX(tblGoals[Remaining Amount],8)/MAX(1,(YEAR(INDEX(tblGoals[Target Date],8))-YEAR($AA$5))*12+MONTH(INDEX(tblGoals[Target Date],8))-MONTH($AA$5)),0)</f>
        <v>0</v>
      </c>
      <c r="E105" s="1">
        <f>IF((IFERROR(INDEX(tblGoals[Goal Status],8),"")="Active")*(IFERROR(INDEX(tblGoals[Target Date],8),0)&lt;$AA$5)*(IFERROR(INDEX(tblGoals[Remaining Amount],8),0)&gt;0),1,0)</f>
        <v>0</v>
      </c>
    </row>
    <row r="107" spans="1:5" x14ac:dyDescent="0.3">
      <c r="A107" s="1" t="s">
        <v>320</v>
      </c>
      <c r="B107" s="1">
        <f>SUM($E$98:$E$105)</f>
        <v>0</v>
      </c>
    </row>
    <row r="108" spans="1:5" x14ac:dyDescent="0.3">
      <c r="A108" s="1" t="s">
        <v>321</v>
      </c>
      <c r="B108" s="1">
        <f>'Business Engine'!$B$58</f>
        <v>0</v>
      </c>
    </row>
    <row r="109" spans="1:5" x14ac:dyDescent="0.3">
      <c r="A109" s="1" t="s">
        <v>322</v>
      </c>
      <c r="B109" s="1">
        <f>'Business Engine'!$B$56</f>
        <v>0</v>
      </c>
    </row>
    <row r="111" spans="1:5" x14ac:dyDescent="0.3">
      <c r="A111" s="1" t="s">
        <v>323</v>
      </c>
    </row>
    <row r="112" spans="1:5" x14ac:dyDescent="0.3">
      <c r="A112" s="1" t="s">
        <v>324</v>
      </c>
    </row>
    <row r="113" spans="1:3" x14ac:dyDescent="0.3">
      <c r="A113" s="1" t="s">
        <v>21</v>
      </c>
      <c r="B113" s="1" t="s">
        <v>53</v>
      </c>
      <c r="C113" s="1" t="s">
        <v>296</v>
      </c>
    </row>
    <row r="114" spans="1:3" x14ac:dyDescent="0.3">
      <c r="A114" s="1" t="s">
        <v>213</v>
      </c>
      <c r="B114" s="1">
        <f>$B$7</f>
        <v>0</v>
      </c>
      <c r="C114" s="1">
        <f>1+COUNTIFS($B$114:$B$118,"&gt;"&amp;B114)</f>
        <v>1</v>
      </c>
    </row>
    <row r="115" spans="1:3" x14ac:dyDescent="0.3">
      <c r="A115" s="1" t="s">
        <v>214</v>
      </c>
      <c r="B115" s="1">
        <f>$B$9</f>
        <v>0</v>
      </c>
      <c r="C115" s="1">
        <f>1+COUNTIFS($B$114:$B$118,"&gt;"&amp;B115)</f>
        <v>1</v>
      </c>
    </row>
    <row r="116" spans="1:3" x14ac:dyDescent="0.3">
      <c r="A116" s="1" t="s">
        <v>220</v>
      </c>
      <c r="B116" s="1">
        <f>$B$8</f>
        <v>0</v>
      </c>
      <c r="C116" s="1">
        <f>1+COUNTIFS($B$114:$B$118,"&gt;"&amp;B116)</f>
        <v>1</v>
      </c>
    </row>
    <row r="117" spans="1:3" x14ac:dyDescent="0.3">
      <c r="A117" s="1" t="s">
        <v>221</v>
      </c>
      <c r="B117" s="1">
        <f>$B$10</f>
        <v>0</v>
      </c>
      <c r="C117" s="1">
        <f>1+COUNTIFS($B$114:$B$118,"&gt;"&amp;B117)</f>
        <v>1</v>
      </c>
    </row>
    <row r="118" spans="1:3" x14ac:dyDescent="0.3">
      <c r="A118" s="1" t="s">
        <v>291</v>
      </c>
      <c r="B118" s="1">
        <f>$B$11</f>
        <v>0</v>
      </c>
      <c r="C118" s="1">
        <f>1+COUNTIFS($B$114:$B$118,"&gt;"&amp;B118)</f>
        <v>1</v>
      </c>
    </row>
    <row r="120" spans="1:3" x14ac:dyDescent="0.3">
      <c r="A120" s="1" t="s">
        <v>325</v>
      </c>
    </row>
    <row r="121" spans="1:3" x14ac:dyDescent="0.3">
      <c r="A121" s="1" t="s">
        <v>326</v>
      </c>
      <c r="B121" s="1">
        <f>IFERROR(INDEX($A$17:$A$26,MATCH(MAX($B$17:$B$26),$B$17:$B$26,0)),"")</f>
        <v>0</v>
      </c>
    </row>
    <row r="122" spans="1:3" x14ac:dyDescent="0.3">
      <c r="A122" s="1" t="s">
        <v>327</v>
      </c>
      <c r="B122" s="1">
        <f>MAX($B$17:$B$26)</f>
        <v>0</v>
      </c>
    </row>
    <row r="124" spans="1:3" x14ac:dyDescent="0.3">
      <c r="A124" s="1" t="s">
        <v>328</v>
      </c>
    </row>
    <row r="125" spans="1:3" x14ac:dyDescent="0.3">
      <c r="A125" s="1" t="s">
        <v>348</v>
      </c>
      <c r="B125" s="1">
        <f>'Business Engine'!$B$5</f>
        <v>0</v>
      </c>
    </row>
    <row r="126" spans="1:3" x14ac:dyDescent="0.3">
      <c r="A126" s="1" t="s">
        <v>349</v>
      </c>
      <c r="B126" s="1">
        <f>IFERROR(SUMIFS('Business Engine'!$E$2:$E$200,'Business Engine'!$L$2:$L$200,"Active",'Business Engine'!$K$2:$K$200,"Yes"),0)</f>
        <v>0</v>
      </c>
    </row>
    <row r="127" spans="1:3" x14ac:dyDescent="0.3">
      <c r="A127" s="1" t="s">
        <v>350</v>
      </c>
      <c r="B127" s="1">
        <f>'Business Engine'!$B$4</f>
        <v>0</v>
      </c>
    </row>
    <row r="128" spans="1:3" x14ac:dyDescent="0.3">
      <c r="A128" s="1" t="s">
        <v>351</v>
      </c>
      <c r="B128" s="1">
        <f>'Business Engine'!$B$6</f>
        <v>0</v>
      </c>
    </row>
    <row r="129" spans="1:2" x14ac:dyDescent="0.3">
      <c r="A129" s="1" t="s">
        <v>352</v>
      </c>
      <c r="B129" s="1">
        <f>'Business Engine'!$B$7</f>
        <v>0</v>
      </c>
    </row>
    <row r="130" spans="1:2" x14ac:dyDescent="0.3">
      <c r="A130" s="1" t="s">
        <v>353</v>
      </c>
      <c r="B130" s="1">
        <f>IFERROR(SUMIFS('Business Engine'!$H$2:$H$200,'Business Engine'!$J$2:$J$200,"Current Bank",'Business Engine'!$L$2:$L$200,"Active",'Business Engine'!$K$2:$K$200,"Yes"),0)</f>
        <v>0</v>
      </c>
    </row>
    <row r="131" spans="1:2" x14ac:dyDescent="0.3">
      <c r="A131" s="1" t="s">
        <v>354</v>
      </c>
      <c r="B131" s="1">
        <f>IFERROR(SUMIFS('Business Engine'!$H$2:$H$200,'Business Engine'!$J$2:$J$200,"Wallet",'Business Engine'!$L$2:$L$200,"Active",'Business Engine'!$K$2:$K$200,"Yes"),0)</f>
        <v>0</v>
      </c>
    </row>
    <row r="132" spans="1:2" x14ac:dyDescent="0.3">
      <c r="A132" s="1" t="s">
        <v>355</v>
      </c>
      <c r="B132" s="1" t="s">
        <v>355</v>
      </c>
    </row>
    <row r="134" spans="1:2" x14ac:dyDescent="0.3">
      <c r="A134" s="1" t="s">
        <v>330</v>
      </c>
    </row>
    <row r="135" spans="1:2" x14ac:dyDescent="0.3">
      <c r="A135" s="1" t="s">
        <v>331</v>
      </c>
      <c r="B135" s="1" t="s">
        <v>332</v>
      </c>
    </row>
    <row r="136" spans="1:2" x14ac:dyDescent="0.3">
      <c r="A136" s="1" t="s">
        <v>222</v>
      </c>
      <c r="B136" s="4">
        <f>$B$2</f>
        <v>0</v>
      </c>
    </row>
    <row r="137" spans="1:2" x14ac:dyDescent="0.3">
      <c r="A137" s="1" t="s">
        <v>333</v>
      </c>
      <c r="B137" s="1">
        <f>$B$44</f>
        <v>0</v>
      </c>
    </row>
    <row r="138" spans="1:2" x14ac:dyDescent="0.3">
      <c r="A138" s="1" t="s">
        <v>334</v>
      </c>
      <c r="B138" s="1">
        <f>$B$45</f>
        <v>0</v>
      </c>
    </row>
    <row r="139" spans="1:2" x14ac:dyDescent="0.3">
      <c r="A139" s="1" t="s">
        <v>335</v>
      </c>
      <c r="B139" s="1">
        <f>$B$46</f>
        <v>0</v>
      </c>
    </row>
    <row r="140" spans="1:2" x14ac:dyDescent="0.3">
      <c r="A140" s="1" t="s">
        <v>275</v>
      </c>
      <c r="B140" s="1">
        <f>$B$47</f>
        <v>0</v>
      </c>
    </row>
    <row r="141" spans="1:2" x14ac:dyDescent="0.3">
      <c r="A141" s="1" t="s">
        <v>262</v>
      </c>
      <c r="B141" s="1">
        <f>'Business Engine'!$B$48</f>
        <v>0</v>
      </c>
    </row>
    <row r="142" spans="1:2" x14ac:dyDescent="0.3">
      <c r="A142" s="1" t="s">
        <v>336</v>
      </c>
      <c r="B142" s="1">
        <f>'Business Engine'!$B$49</f>
        <v>0</v>
      </c>
    </row>
    <row r="143" spans="1:2" x14ac:dyDescent="0.3">
      <c r="A143" s="1" t="s">
        <v>264</v>
      </c>
      <c r="B143" s="1">
        <f>'Business Engine'!$B$50</f>
        <v>0</v>
      </c>
    </row>
    <row r="144" spans="1:2" x14ac:dyDescent="0.3">
      <c r="A144" s="1" t="s">
        <v>276</v>
      </c>
      <c r="B144" s="1">
        <f>$B$80</f>
        <v>0</v>
      </c>
    </row>
    <row r="145" spans="1:2" x14ac:dyDescent="0.3">
      <c r="A145" s="1" t="s">
        <v>278</v>
      </c>
      <c r="B145" s="1">
        <f>$B$81</f>
        <v>0</v>
      </c>
    </row>
    <row r="146" spans="1:2" x14ac:dyDescent="0.3">
      <c r="A146" s="1" t="s">
        <v>271</v>
      </c>
      <c r="B146" s="1">
        <f>$B$108</f>
        <v>0</v>
      </c>
    </row>
    <row r="147" spans="1:2" x14ac:dyDescent="0.3">
      <c r="A147" s="1" t="s">
        <v>320</v>
      </c>
      <c r="B147" s="1">
        <f>$B$107</f>
        <v>0</v>
      </c>
    </row>
    <row r="148" spans="1:2" x14ac:dyDescent="0.3">
      <c r="A148" s="1" t="s">
        <v>329</v>
      </c>
      <c r="B148" s="1">
        <f>$B$125</f>
        <v>0</v>
      </c>
    </row>
    <row r="149" spans="1:2" x14ac:dyDescent="0.3">
      <c r="A149" s="1" t="s">
        <v>337</v>
      </c>
      <c r="B149" s="1">
        <f>$B$55</f>
        <v>0</v>
      </c>
    </row>
    <row r="150" spans="1:2" x14ac:dyDescent="0.3">
      <c r="A150" s="1" t="s">
        <v>338</v>
      </c>
      <c r="B150" s="1">
        <f>$B$75</f>
        <v>0</v>
      </c>
    </row>
    <row r="151" spans="1:2" x14ac:dyDescent="0.3">
      <c r="A151" s="1" t="s">
        <v>309</v>
      </c>
      <c r="B151" s="1">
        <f>$B$78</f>
        <v>0</v>
      </c>
    </row>
    <row r="152" spans="1:2" x14ac:dyDescent="0.3">
      <c r="A152" s="1" t="s">
        <v>300</v>
      </c>
      <c r="B152" s="1">
        <f>$B$49</f>
        <v>0</v>
      </c>
    </row>
    <row r="153" spans="1:2" x14ac:dyDescent="0.3">
      <c r="A153" s="1" t="s">
        <v>326</v>
      </c>
      <c r="B153" s="1">
        <f>$B$121</f>
        <v>0</v>
      </c>
    </row>
    <row r="154" spans="1:2" x14ac:dyDescent="0.3">
      <c r="A154" s="1" t="s">
        <v>339</v>
      </c>
      <c r="B154" s="1">
        <f>IFERROR($B$127/$B$45,0)</f>
        <v>0</v>
      </c>
    </row>
    <row r="156" spans="1:4" x14ac:dyDescent="0.3">
      <c r="A156" s="1" t="s">
        <v>366</v>
      </c>
    </row>
    <row r="157" spans="1:4" x14ac:dyDescent="0.3">
      <c r="A157" s="1" t="s">
        <v>367</v>
      </c>
      <c r="B157" s="1" t="s">
        <v>368</v>
      </c>
      <c r="C157" s="1" t="s">
        <v>369</v>
      </c>
      <c r="D157" s="1" t="s">
        <v>370</v>
      </c>
    </row>
    <row r="158" spans="1:4" x14ac:dyDescent="0.3">
      <c r="A158" s="1" t="s">
        <v>371</v>
      </c>
      <c r="B158" s="1" t="str">
        <f>LET(inc,'Business Engine'!$B$16,rate,'Business Engine'!$B$30,IF(inc=0,"Unavailable",IF(rate&lt;0,"Critical",IF(rate&lt;0.1,"Weak",IF(rate&lt;0.2,"Moderate",IF(rate&lt;0.3,"Strong","Excellent"))))))</f>
        <v>Unavailable</v>
      </c>
      <c r="C158" s="1" t="str">
        <f>LET(b,B158,IF(b="Unavailable","",IF(b="Critical",0,IF(b="Weak",25,IF(b="Moderate",50,IF((b="Strong")+(b="Healthy"),75,IF(b="Excellent",100,"")))))))</f>
        <v/>
      </c>
      <c r="D158" s="1" t="str">
        <f>LET(b,B158,IF(b="Unavailable","",IF(b="Critical","Red",IF(b="Weak","Orange",IF(b="Moderate","Yellow",IF((b="Strong")+(b="Healthy"),"Green",IF(b="Excellent","Green","")))))))</f>
        <v/>
      </c>
    </row>
    <row r="159" spans="1:4" x14ac:dyDescent="0.3">
      <c r="A159" s="1" t="s">
        <v>372</v>
      </c>
      <c r="B159" s="1" t="str">
        <f>LET(inc,'Business Engine'!$B$16,exp,'Business Engine'!$B$22,IF(inc=0,IF(exp=0,"Unavailable",IF(exp&gt;0,"Critical",LET(ratio,exp/inc,IF(ratio&lt;0.5,"Excellent",IF(ratio&lt;0.7,"Strong",IF(ratio&lt;0.85,"Moderate",IF(ratio&lt;1,"Weak","Critical"))))))),LET(ratio,exp/inc,IF(ratio&lt;0.5,"Excellent",IF(ratio&lt;0.7,"Strong",IF(ratio&lt;0.85,"Moderate",IF(ratio&lt;1,"Weak","Critical")))))))</f>
        <v>Unavailable</v>
      </c>
      <c r="C159" s="1" t="str">
        <f>LET(b,B159,IF(b="Unavailable","",IF(b="Critical",0,IF(b="Weak",25,IF(b="Moderate",50,IF((b="Strong")+(b="Healthy"),75,IF(b="Excellent",100,"")))))))</f>
        <v/>
      </c>
      <c r="D159" s="1" t="str">
        <f>LET(b,B159,IF(b="Unavailable","",IF(b="Critical","Red",IF(b="Weak","Orange",IF(b="Moderate","Yellow",IF((b="Strong")+(b="Healthy"),"Green",IF(b="Excellent","Green","")))))))</f>
        <v/>
      </c>
    </row>
    <row r="160" spans="1:4" x14ac:dyDescent="0.3">
      <c r="A160" s="1" t="s">
        <v>373</v>
      </c>
      <c r="B160" s="1" t="str">
        <f>LET(b4,'Business Engine'!$B$4,b16,'Business Engine'!$B$16,b22,'Business Engine'!$B$22,b35,'Business Engine'!$B$35,b38,'Business Engine'!$B$38,b42,'Business Engine'!$B$42,b45,'Business Engine'!$B$45,b56,'Business Engine'!$B$56,b57,'Business Engine'!$B$57,emi,'Business Engine'!$B$66,emiBand,IF(emi&lt;0.15,"Excellent",IF(emi&lt;0.25,"Strong",IF(emi&lt;0.35,"Moderate",IF(emi&lt;0.5,"Weak","Critical")))),afterEmpty,IF(b45=0,IF(b42=0,"Excellent",emiBand),IF(b16=0,IF(b45&gt;0,"Critical",emiBand),emiBand)),IF(b4=0,IF(b16=0,IF(b22=0,IF(b35=0,IF(b38=0,IF(b42=0,IF(b45=0,IF(b56=0,IF(b57=0,"Unavailable",afterEmpty),afterEmpty),afterEmpty),afterEmpty),afterEmpty),afterEmpty),afterEmpty),afterEmpty),afterEmpty))</f>
        <v>Unavailable</v>
      </c>
      <c r="C160" s="1" t="str">
        <f>LET(b,B160,IF(b="Unavailable","",IF(b="Critical",0,IF(b="Weak",25,IF(b="Moderate",50,IF((b="Strong")+(b="Healthy"),75,IF(b="Excellent",100,"")))))))</f>
        <v/>
      </c>
      <c r="D160" s="1" t="str">
        <f>LET(b,B160,IF(b="Unavailable","",IF(b="Critical","Red",IF(b="Weak","Orange",IF(b="Moderate","Yellow",IF((b="Strong")+(b="Healthy"),"Green",IF(b="Excellent","Green","")))))))</f>
        <v/>
      </c>
    </row>
    <row r="161" spans="1:4" x14ac:dyDescent="0.3">
      <c r="A161" s="1" t="s">
        <v>374</v>
      </c>
      <c r="B161" s="1" t="str">
        <f>LET(cnt,'Business Engine'!$B$38,tot,'Business Engine'!$B$35,cash,'Business Engine'!$B$74,den,tot-cash,IF(cnt=0,"Unavailable",IF(den&lt;=0,"Unavailable",LET(conc,MAX('Business Engine'!$B$70,'Business Engine'!$B$71,'Business Engine'!$B$72,'Business Engine'!$B$73,'Business Engine'!$B$75)/den,IF(conc&lt;=0.4,"Excellent",IF(conc&lt;=0.6,"Strong",IF(conc&lt;=0.8,"Moderate",IF(conc&lt;=0.95,"Weak","Critical"))))))))</f>
        <v>Unavailable</v>
      </c>
      <c r="C161" s="1" t="str">
        <f>LET(b,B161,IF(b="Unavailable","",IF(b="Critical",0,IF(b="Weak",25,IF(b="Moderate",50,IF((b="Strong")+(b="Healthy"),75,IF(b="Excellent",100,"")))))))</f>
        <v/>
      </c>
      <c r="D161" s="1" t="str">
        <f>LET(b,B161,IF(b="Unavailable","",IF(b="Critical","Red",IF(b="Weak","Orange",IF(b="Moderate","Yellow",IF((b="Strong")+(b="Healthy"),"Green",IF(b="Excellent","Green","")))))))</f>
        <v/>
      </c>
    </row>
    <row r="162" spans="1:4" x14ac:dyDescent="0.3">
      <c r="A162" s="1" t="s">
        <v>375</v>
      </c>
      <c r="B162" s="1" t="str">
        <f>LET(n,'Business Engine'!$B$56+'Business Engine'!$B$57,pct,'Business Engine'!$B$58,IF(n=0,"Unavailable",IF(pct&gt;=0.8,"Excellent",IF(pct&gt;=0.5,"Strong",IF(pct&gt;=0.25,"Moderate",IF(pct&gt;0,"Weak","Critical"))))))</f>
        <v>Unavailable</v>
      </c>
      <c r="C162" s="1" t="str">
        <f>LET(b,B162,IF(b="Unavailable","",IF(b="Critical",0,IF(b="Weak",25,IF(b="Moderate",50,IF((b="Strong")+(b="Healthy"),75,IF(b="Excellent",100,"")))))))</f>
        <v/>
      </c>
      <c r="D162" s="1" t="str">
        <f>LET(b,B162,IF(b="Unavailable","",IF(b="Critical","Red",IF(b="Weak","Orange",IF(b="Moderate","Yellow",IF((b="Strong")+(b="Healthy"),"Green",IF(b="Excellent","Green","")))))))</f>
        <v/>
      </c>
    </row>
    <row r="163" spans="1:4" x14ac:dyDescent="0.3">
      <c r="A163" s="1" t="s">
        <v>376</v>
      </c>
      <c r="B163" s="1" t="str">
        <f>LET(cash,'Business Engine'!$B$4,exp,'Business Engine'!$B$22,IF(exp=0,IF(cash=0,"Unavailable",IF(cash&gt;0,"Excellent",LET(m,cash/exp,IF(m&lt;1,"Critical",IF(m&lt;3,"Weak",IF(m&lt;6,"Moderate",IF(m&lt;=12,"Healthy","Excellent"))))))),LET(m,cash/exp,IF(m&lt;1,"Critical",IF(m&lt;3,"Weak",IF(m&lt;6,"Moderate",IF(m&lt;=12,"Healthy","Excellent")))))))</f>
        <v>Unavailable</v>
      </c>
      <c r="C163" s="1" t="str">
        <f>LET(b,B163,IF(b="Unavailable","",IF(b="Critical",0,IF(b="Weak",25,IF(b="Moderate",50,IF((b="Strong")+(b="Healthy"),75,IF(b="Excellent",100,"")))))))</f>
        <v/>
      </c>
      <c r="D163" s="1" t="str">
        <f>LET(b,B163,IF(b="Unavailable","",IF(b="Critical","Red",IF(b="Weak","Orange",IF(b="Moderate","Yellow",IF((b="Strong")+(b="Healthy"),"Green",IF(b="Excellent","Green","")))))))</f>
        <v/>
      </c>
    </row>
    <row r="164" spans="1:4" x14ac:dyDescent="0.3">
      <c r="A164" s="1" t="s">
        <v>377</v>
      </c>
      <c r="B164" s="1" t="str">
        <f>LET(b4,'Business Engine'!$B$4,b35,'Business Engine'!$B$35,b42,'Business Engine'!$B$42,nw,'Business Engine'!$B$48,lev,'Business Engine'!$B$68,nwBand,IF(nw&lt;0,"Critical",IF(nw=0,"Weak",IF(lev&gt;=0.7,"Weak",IF(lev&gt;=0.4,"Moderate",IF(lev&gt;=0.2,"Strong","Excellent"))))),IF(b4=0,IF(b35=0,IF(b42=0,"Unavailable",nwBand),nwBand),nwBand))</f>
        <v>Unavailable</v>
      </c>
      <c r="C164" s="1" t="str">
        <f>LET(b,B164,IF(b="Unavailable","",IF(b="Critical",0,IF(b="Weak",25,IF(b="Moderate",50,IF((b="Strong")+(b="Healthy"),75,IF(b="Excellent",100,"")))))))</f>
        <v/>
      </c>
      <c r="D164" s="1" t="str">
        <f>LET(b,B164,IF(b="Unavailable","",IF(b="Critical","Red",IF(b="Weak","Orange",IF(b="Moderate","Yellow",IF((b="Strong")+(b="Healthy"),"Green",IF(b="Excellent","Green","")))))))</f>
        <v/>
      </c>
    </row>
    <row r="165" spans="1:4" x14ac:dyDescent="0.3">
      <c r="A165" s="1" t="s">
        <v>378</v>
      </c>
      <c r="B165" s="1" t="str">
        <f>LET(inc,'Business Engine'!$B$16,exp,'Business Engine'!$B$22,sav,'Business Engine'!$B$29,IF(inc=0,IF(exp=0,"Unavailable",IF(exp&gt;0,"Critical",IF(sav&lt;0,"Critical",IF(sav=0,"Weak",LET(ratio,sav/inc,IF(ratio&lt;0.1,"Moderate",IF(ratio&lt;0.25,"Strong","Excellent"))))))),IF(sav&lt;0,"Critical",IF(sav=0,"Weak",LET(ratio,sav/inc,IF(ratio&lt;0.1,"Moderate",IF(ratio&lt;0.25,"Strong","Excellent")))))))</f>
        <v>Unavailable</v>
      </c>
      <c r="C165" s="1" t="str">
        <f>LET(b,B165,IF(b="Unavailable","",IF(b="Critical",0,IF(b="Weak",25,IF(b="Moderate",50,IF((b="Strong")+(b="Healthy"),75,IF(b="Excellent",100,"")))))))</f>
        <v/>
      </c>
      <c r="D165" s="1" t="str">
        <f>LET(b,B165,IF(b="Unavailable","",IF(b="Critical","Red",IF(b="Weak","Orange",IF(b="Moderate","Yellow",IF((b="Strong")+(b="Healthy"),"Green",IF(b="Excellent","Green","")))))))</f>
        <v/>
      </c>
    </row>
  </sheetData>
  <sheetProtection sheet="1" objects="1" scenarios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62"/>
  <sheetViews>
    <sheetView workbookViewId="0"/>
  </sheetViews>
  <sheetFormatPr defaultRowHeight="14.4" x14ac:dyDescent="0.3"/>
  <cols>
    <col min="1" max="12" width="11" customWidth="1"/>
  </cols>
  <sheetData>
    <row r="1" spans="1:12" x14ac:dyDescent="0.3">
      <c r="A1" s="3" t="s">
        <v>177</v>
      </c>
    </row>
    <row r="3" spans="1:12" x14ac:dyDescent="0.3">
      <c r="A3" s="3" t="s">
        <v>379</v>
      </c>
    </row>
    <row r="5" spans="1:12" x14ac:dyDescent="0.3">
      <c r="A5" s="9" t="s">
        <v>262</v>
      </c>
      <c r="D5" s="9" t="s">
        <v>380</v>
      </c>
      <c r="G5" s="9" t="s">
        <v>381</v>
      </c>
      <c r="J5" s="9" t="s">
        <v>382</v>
      </c>
    </row>
    <row r="6" spans="1:12" x14ac:dyDescent="0.3">
      <c r="A6" s="12">
        <f>outNetWorth</f>
        <v>0</v>
      </c>
      <c r="D6" s="12">
        <f>outAssetValue</f>
        <v>0</v>
      </c>
      <c r="G6" s="12">
        <f>outOutstandingDebt</f>
        <v>0</v>
      </c>
      <c r="J6" s="12">
        <f>outTotalCash</f>
        <v>0</v>
      </c>
    </row>
    <row r="8" spans="1:12" x14ac:dyDescent="0.3">
      <c r="A8" s="9" t="s">
        <v>333</v>
      </c>
      <c r="D8" s="9" t="s">
        <v>334</v>
      </c>
      <c r="G8" s="9" t="s">
        <v>335</v>
      </c>
      <c r="J8" s="9" t="s">
        <v>275</v>
      </c>
    </row>
    <row r="9" spans="1:12" x14ac:dyDescent="0.3">
      <c r="A9" s="12">
        <f>outMonthlyIncome</f>
        <v>0</v>
      </c>
      <c r="D9" s="12">
        <f>outMonthlyExpense</f>
        <v>0</v>
      </c>
      <c r="G9" s="12">
        <f>outMonthlySavings</f>
        <v>0</v>
      </c>
      <c r="J9" s="13">
        <f>outSavingsRate</f>
        <v>0</v>
      </c>
    </row>
    <row r="12" spans="1:12" x14ac:dyDescent="0.3">
      <c r="A12" s="3" t="s">
        <v>383</v>
      </c>
    </row>
    <row r="14" spans="1:12" x14ac:dyDescent="0.3">
      <c r="A14" s="9" t="s">
        <v>371</v>
      </c>
      <c r="D14" s="9" t="s">
        <v>372</v>
      </c>
      <c r="G14" s="9" t="s">
        <v>373</v>
      </c>
      <c r="J14" s="9" t="s">
        <v>374</v>
      </c>
    </row>
    <row r="15" spans="1:12" x14ac:dyDescent="0.3">
      <c r="A15" s="0" t="str">
        <f>analysisSavingsHealth</f>
        <v>Unavailable</v>
      </c>
      <c r="D15" s="0" t="str">
        <f>analysisExpenseHealth</f>
        <v>Unavailable</v>
      </c>
      <c r="G15" s="0" t="str">
        <f>analysisDebtHealth</f>
        <v>Unavailable</v>
      </c>
      <c r="J15" s="0" t="str">
        <f>analysisAssetHealth</f>
        <v>Unavailable</v>
      </c>
    </row>
    <row r="16" spans="1:12" x14ac:dyDescent="0.3">
      <c r="A16" s="14" t="str">
        <f>analysisSavingsHealthScore</f>
        <v/>
      </c>
      <c r="D16" s="14" t="str">
        <f>analysisExpenseHealthScore</f>
        <v/>
      </c>
      <c r="G16" s="14" t="str">
        <f>analysisDebtHealthScore</f>
        <v/>
      </c>
      <c r="J16" s="14" t="str">
        <f>analysisAssetHealthScore</f>
        <v/>
      </c>
    </row>
    <row r="17" spans="1:12" x14ac:dyDescent="0.3">
      <c r="A17" s="0" t="str">
        <f>analysisSavingsHealthSeverity</f>
        <v/>
      </c>
      <c r="D17" s="0" t="str">
        <f>analysisExpenseHealthSeverity</f>
        <v/>
      </c>
      <c r="G17" s="0" t="str">
        <f>analysisDebtHealthSeverity</f>
        <v/>
      </c>
      <c r="J17" s="0" t="str">
        <f>analysisAssetHealthSeverity</f>
        <v/>
      </c>
    </row>
    <row r="19" spans="1:12" x14ac:dyDescent="0.3">
      <c r="A19" s="9" t="s">
        <v>375</v>
      </c>
      <c r="D19" s="9" t="s">
        <v>376</v>
      </c>
      <c r="G19" s="9" t="s">
        <v>377</v>
      </c>
      <c r="J19" s="9" t="s">
        <v>378</v>
      </c>
    </row>
    <row r="20" spans="1:12" x14ac:dyDescent="0.3">
      <c r="A20" s="0" t="str">
        <f>analysisGoalHealth</f>
        <v>Unavailable</v>
      </c>
      <c r="D20" s="0" t="str">
        <f>analysisLiquidityHealth</f>
        <v>Unavailable</v>
      </c>
      <c r="G20" s="0" t="str">
        <f>analysisNetWorthHealth</f>
        <v>Unavailable</v>
      </c>
      <c r="J20" s="0" t="str">
        <f>analysisCashFlowHealth</f>
        <v>Unavailable</v>
      </c>
    </row>
    <row r="21" spans="1:12" x14ac:dyDescent="0.3">
      <c r="A21" s="14" t="str">
        <f>analysisGoalHealthScore</f>
        <v/>
      </c>
      <c r="D21" s="14" t="str">
        <f>analysisLiquidityHealthScore</f>
        <v/>
      </c>
      <c r="G21" s="14" t="str">
        <f>analysisNetWorthHealthScore</f>
        <v/>
      </c>
      <c r="J21" s="14" t="str">
        <f>analysisCashFlowHealthScore</f>
        <v/>
      </c>
    </row>
    <row r="22" spans="1:12" x14ac:dyDescent="0.3">
      <c r="A22" s="0" t="str">
        <f>analysisGoalHealthSeverity</f>
        <v/>
      </c>
      <c r="D22" s="0" t="str">
        <f>analysisLiquidityHealthSeverity</f>
        <v/>
      </c>
      <c r="G22" s="0" t="str">
        <f>analysisNetWorthHealthSeverity</f>
        <v/>
      </c>
      <c r="J22" s="0" t="str">
        <f>analysisCashFlowHealthSeverity</f>
        <v/>
      </c>
    </row>
    <row r="26" spans="1:12" x14ac:dyDescent="0.3">
      <c r="A26" s="3" t="s">
        <v>384</v>
      </c>
    </row>
    <row r="28" spans="1:12" x14ac:dyDescent="0.3">
      <c r="A28" s="9" t="s">
        <v>385</v>
      </c>
      <c r="E28" s="9" t="s">
        <v>386</v>
      </c>
      <c r="I28" s="9" t="s">
        <v>317</v>
      </c>
    </row>
    <row r="29" spans="1:12" x14ac:dyDescent="0.3">
      <c r="A29" s="12">
        <f>outGoalTarget</f>
        <v>0</v>
      </c>
      <c r="E29" s="12">
        <f>outGoalSaved</f>
        <v>0</v>
      </c>
      <c r="I29" s="12">
        <f>outGoalRemaining</f>
        <v>0</v>
      </c>
    </row>
    <row r="31" spans="1:12" x14ac:dyDescent="0.3">
      <c r="A31" s="9" t="s">
        <v>387</v>
      </c>
      <c r="E31" s="9" t="s">
        <v>388</v>
      </c>
      <c r="I31" s="9" t="s">
        <v>389</v>
      </c>
    </row>
    <row r="32" spans="1:12" x14ac:dyDescent="0.3">
      <c r="A32" s="14">
        <f>outActiveGoalCount</f>
        <v>0</v>
      </c>
      <c r="E32" s="14">
        <f>outCompletedGoalCount</f>
        <v>0</v>
      </c>
      <c r="I32" s="13">
        <f>outGoalCompletion</f>
        <v>0</v>
      </c>
    </row>
    <row r="35" spans="1:12" x14ac:dyDescent="0.3">
      <c r="A35" s="3" t="s">
        <v>277</v>
      </c>
    </row>
    <row r="37" spans="1:12" x14ac:dyDescent="0.3">
      <c r="A37" s="9" t="s">
        <v>221</v>
      </c>
      <c r="C37" s="9" t="s">
        <v>390</v>
      </c>
      <c r="E37" s="9" t="s">
        <v>391</v>
      </c>
      <c r="G37" s="9" t="s">
        <v>392</v>
      </c>
      <c r="I37" s="9" t="s">
        <v>393</v>
      </c>
      <c r="K37" s="9" t="s">
        <v>394</v>
      </c>
    </row>
    <row r="38" spans="1:12" x14ac:dyDescent="0.3">
      <c r="A38" s="12">
        <f>outInvestmentValue</f>
        <v>0</v>
      </c>
      <c r="C38" s="12">
        <f>outPhysicalAssetValue</f>
        <v>0</v>
      </c>
      <c r="E38" s="12">
        <f>outPropertyValue</f>
        <v>0</v>
      </c>
      <c r="G38" s="12">
        <f>outRetirementAssetValue</f>
        <v>0</v>
      </c>
      <c r="I38" s="12">
        <f>outCashEquivalentValue</f>
        <v>0</v>
      </c>
      <c r="K38" s="12">
        <f>outOtherAssetValue</f>
        <v>0</v>
      </c>
    </row>
    <row r="40" spans="1:12" x14ac:dyDescent="0.3">
      <c r="A40" s="9" t="s">
        <v>395</v>
      </c>
      <c r="E40" s="12">
        <f>outAssetValue</f>
        <v>0</v>
      </c>
      <c r="I40" s="9" t="s">
        <v>254</v>
      </c>
    </row>
    <row r="41" spans="1:12" x14ac:dyDescent="0.3">
      <c r="I41" s="14">
        <f>outActiveAssetCount</f>
        <v>0</v>
      </c>
    </row>
    <row r="43" spans="1:12" x14ac:dyDescent="0.3">
      <c r="A43" s="3" t="s">
        <v>396</v>
      </c>
    </row>
    <row r="45" spans="1:12" x14ac:dyDescent="0.3">
      <c r="A45" s="9" t="s">
        <v>397</v>
      </c>
      <c r="E45" s="9" t="s">
        <v>398</v>
      </c>
      <c r="I45" s="9" t="s">
        <v>399</v>
      </c>
    </row>
    <row r="46" spans="1:12" x14ac:dyDescent="0.3">
      <c r="A46" s="12">
        <f>outOutstandingDebt</f>
        <v>0</v>
      </c>
      <c r="E46" s="12">
        <f>outMonthlyEMI</f>
        <v>0</v>
      </c>
      <c r="I46" s="14">
        <f>outActiveLiabilityCount</f>
        <v>0</v>
      </c>
    </row>
    <row r="50" spans="1:12" x14ac:dyDescent="0.3">
      <c r="A50" s="3" t="s">
        <v>400</v>
      </c>
    </row>
    <row r="52" spans="1:12" x14ac:dyDescent="0.3">
      <c r="A52" s="9" t="s">
        <v>95</v>
      </c>
      <c r="E52" s="9" t="s">
        <v>273</v>
      </c>
      <c r="I52" s="9" t="s">
        <v>401</v>
      </c>
    </row>
    <row r="53" spans="1:12" x14ac:dyDescent="0.3">
      <c r="A53" s="12">
        <f>outMonthlyIncome</f>
        <v>0</v>
      </c>
      <c r="E53" s="12">
        <f>outMonthlyExpense</f>
        <v>0</v>
      </c>
      <c r="I53" s="12">
        <f>outMonthlySavings</f>
        <v>0</v>
      </c>
    </row>
    <row r="57" spans="1:12" x14ac:dyDescent="0.3">
      <c r="A57" s="3" t="s">
        <v>402</v>
      </c>
    </row>
    <row r="58" spans="1:12" x14ac:dyDescent="0.3">
      <c r="A58" s="9" t="s">
        <v>403</v>
      </c>
    </row>
    <row r="61" spans="1:12" x14ac:dyDescent="0.3">
      <c r="A61" s="3" t="s">
        <v>404</v>
      </c>
    </row>
    <row r="62" spans="1:12" x14ac:dyDescent="0.3">
      <c r="A62" s="9" t="s">
        <v>403</v>
      </c>
    </row>
  </sheetData>
  <sheetProtection sheet="1" objects="1" scenarios="1" formatCells="0" formatColumns="0" formatRows="0" insertColumns="0" insertRows="0" insertHyperlinks="0" deleteColumns="0" deleteRows="0" sort="0" autoFilter="0" pivotTables="0"/>
  <mergeCells count="99">
    <mergeCell ref="A1:L1"/>
    <mergeCell ref="A3:L3"/>
    <mergeCell ref="A5:C5"/>
    <mergeCell ref="D5:F5"/>
    <mergeCell ref="G5:I5"/>
    <mergeCell ref="J5:L5"/>
    <mergeCell ref="A6:C6"/>
    <mergeCell ref="D6:F6"/>
    <mergeCell ref="G6:I6"/>
    <mergeCell ref="J6:L6"/>
    <mergeCell ref="A8:C8"/>
    <mergeCell ref="D8:F8"/>
    <mergeCell ref="G8:I8"/>
    <mergeCell ref="J8:L8"/>
    <mergeCell ref="A9:C9"/>
    <mergeCell ref="D9:F9"/>
    <mergeCell ref="G9:I9"/>
    <mergeCell ref="J9:L9"/>
    <mergeCell ref="A12:L12"/>
    <mergeCell ref="A14:C14"/>
    <mergeCell ref="D14:F14"/>
    <mergeCell ref="G14:I14"/>
    <mergeCell ref="J14:L14"/>
    <mergeCell ref="A15:C15"/>
    <mergeCell ref="D15:F15"/>
    <mergeCell ref="G15:I15"/>
    <mergeCell ref="J15:L15"/>
    <mergeCell ref="A16:C16"/>
    <mergeCell ref="D16:F16"/>
    <mergeCell ref="G16:I16"/>
    <mergeCell ref="J16:L16"/>
    <mergeCell ref="A17:C17"/>
    <mergeCell ref="D17:F17"/>
    <mergeCell ref="G17:I17"/>
    <mergeCell ref="J17:L17"/>
    <mergeCell ref="A19:C19"/>
    <mergeCell ref="D19:F19"/>
    <mergeCell ref="G19:I19"/>
    <mergeCell ref="J19:L19"/>
    <mergeCell ref="A20:C20"/>
    <mergeCell ref="D20:F20"/>
    <mergeCell ref="G20:I20"/>
    <mergeCell ref="J20:L20"/>
    <mergeCell ref="A21:C21"/>
    <mergeCell ref="D21:F21"/>
    <mergeCell ref="G21:I21"/>
    <mergeCell ref="J21:L21"/>
    <mergeCell ref="A22:C22"/>
    <mergeCell ref="D22:F22"/>
    <mergeCell ref="G22:I22"/>
    <mergeCell ref="J22:L22"/>
    <mergeCell ref="A26:L26"/>
    <mergeCell ref="A28:D28"/>
    <mergeCell ref="E28:H28"/>
    <mergeCell ref="I28:L28"/>
    <mergeCell ref="A29:D29"/>
    <mergeCell ref="E29:H29"/>
    <mergeCell ref="I29:L29"/>
    <mergeCell ref="A31:D31"/>
    <mergeCell ref="E31:H31"/>
    <mergeCell ref="I31:L31"/>
    <mergeCell ref="A32:D32"/>
    <mergeCell ref="E32:H32"/>
    <mergeCell ref="I32:L32"/>
    <mergeCell ref="A35:L35"/>
    <mergeCell ref="A37:B37"/>
    <mergeCell ref="C37:D37"/>
    <mergeCell ref="E37:F37"/>
    <mergeCell ref="G37:H37"/>
    <mergeCell ref="I37:J37"/>
    <mergeCell ref="K37:L37"/>
    <mergeCell ref="A38:B38"/>
    <mergeCell ref="C38:D38"/>
    <mergeCell ref="E38:F38"/>
    <mergeCell ref="G38:H38"/>
    <mergeCell ref="I38:J38"/>
    <mergeCell ref="K38:L38"/>
    <mergeCell ref="A40:D40"/>
    <mergeCell ref="E40:H40"/>
    <mergeCell ref="I40:L40"/>
    <mergeCell ref="I41:L41"/>
    <mergeCell ref="A43:L43"/>
    <mergeCell ref="A45:D45"/>
    <mergeCell ref="E45:H45"/>
    <mergeCell ref="I45:L45"/>
    <mergeCell ref="A46:D46"/>
    <mergeCell ref="E46:H46"/>
    <mergeCell ref="I46:L46"/>
    <mergeCell ref="A50:L50"/>
    <mergeCell ref="A52:D52"/>
    <mergeCell ref="E52:H52"/>
    <mergeCell ref="I52:L52"/>
    <mergeCell ref="A53:D53"/>
    <mergeCell ref="E53:H53"/>
    <mergeCell ref="I53:L53"/>
    <mergeCell ref="A57:L57"/>
    <mergeCell ref="A58:L58"/>
    <mergeCell ref="A61:L61"/>
    <mergeCell ref="A62:L62"/>
  </mergeCells>
  <pageMargins left="0.7" right="0.7" top="0.75" bottom="0.75" header="0.3" footer="0.3"/>
  <pageSetup orientation="portrait" horizontalDpi="4294967295" verticalDpi="429496729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RowHeight="14.4" x14ac:dyDescent="0.3"/>
  <cols>
    <col min="1" max="1" width="28" customWidth="1"/>
  </cols>
  <sheetData>
    <row r="1" spans="1:1" x14ac:dyDescent="0.3">
      <c r="A1" s="3" t="s">
        <v>178</v>
      </c>
    </row>
  </sheetData>
  <sheetProtection sheet="1" objects="1" scenarios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54</vt:i4>
      </vt:variant>
    </vt:vector>
  </HeadingPairs>
  <TitlesOfParts>
    <vt:vector size="68" baseType="lpstr">
      <vt:lpstr>Settings</vt:lpstr>
      <vt:lpstr>Categories</vt:lpstr>
      <vt:lpstr>Accounts</vt:lpstr>
      <vt:lpstr>Income Sources</vt:lpstr>
      <vt:lpstr>Assets</vt:lpstr>
      <vt:lpstr>Liabilities</vt:lpstr>
      <vt:lpstr>Recurring Commitments</vt:lpstr>
      <vt:lpstr>Transactions</vt:lpstr>
      <vt:lpstr>Goals</vt:lpstr>
      <vt:lpstr>Helpers</vt:lpstr>
      <vt:lpstr>Business Engine</vt:lpstr>
      <vt:lpstr>Analysis Engine</vt:lpstr>
      <vt:lpstr>Dashboard</vt:lpstr>
      <vt:lpstr>Insights</vt:lpstr>
      <vt:lpstr>rngAccounts</vt:lpstr>
      <vt:lpstr>rngAccountStatus</vt:lpstr>
      <vt:lpstr>rngAccountType</vt:lpstr>
      <vt:lpstr>rngActiveAccounts</vt:lpstr>
      <vt:lpstr>rngActiveAssets</vt:lpstr>
      <vt:lpstr>rngActiveGoals</vt:lpstr>
      <vt:lpstr>rngActiveLiabilities</vt:lpstr>
      <vt:lpstr>rngAssets</vt:lpstr>
      <vt:lpstr>rngAssetType</vt:lpstr>
      <vt:lpstr>rngBlank</vt:lpstr>
      <vt:lpstr>rngBoolean</vt:lpstr>
      <vt:lpstr>rngCategories</vt:lpstr>
      <vt:lpstr>rngCategoryType</vt:lpstr>
      <vt:lpstr>rngCommitmentStatus</vt:lpstr>
      <vt:lpstr>rngCurrency</vt:lpstr>
      <vt:lpstr>rngDestinationType</vt:lpstr>
      <vt:lpstr>rngExpenseCategories</vt:lpstr>
      <vt:lpstr>rngFinancialYears</vt:lpstr>
      <vt:lpstr>rngFrequency</vt:lpstr>
      <vt:lpstr>rngGoals</vt:lpstr>
      <vt:lpstr>rngGoalStatus</vt:lpstr>
      <vt:lpstr>rngIncomeCategories</vt:lpstr>
      <vt:lpstr>rngIncomeSources</vt:lpstr>
      <vt:lpstr>rngIncomeType</vt:lpstr>
      <vt:lpstr>rngLiabilities</vt:lpstr>
      <vt:lpstr>rngLiabilityStatus</vt:lpstr>
      <vt:lpstr>rngLiabilityType</vt:lpstr>
      <vt:lpstr>rngMonths</vt:lpstr>
      <vt:lpstr>rngOwnershipType</vt:lpstr>
      <vt:lpstr>rngPaymentMethods</vt:lpstr>
      <vt:lpstr>rngPriority</vt:lpstr>
      <vt:lpstr>rngTransactionStatus</vt:lpstr>
      <vt:lpstr>rngTransactionType</vt:lpstr>
      <vt:lpstr>rngYesNo</vt:lpstr>
      <vt:lpstr>valAccountStatus</vt:lpstr>
      <vt:lpstr>valAccountTypes</vt:lpstr>
      <vt:lpstr>valActiveAccounts</vt:lpstr>
      <vt:lpstr>valActiveAssets</vt:lpstr>
      <vt:lpstr>valActiveGoals</vt:lpstr>
      <vt:lpstr>valActiveLiabilities</vt:lpstr>
      <vt:lpstr>valBlank</vt:lpstr>
      <vt:lpstr>valCategoryTypes</vt:lpstr>
      <vt:lpstr>valCommitmentStatus</vt:lpstr>
      <vt:lpstr>valCurrencies</vt:lpstr>
      <vt:lpstr>valDestinationTypes</vt:lpstr>
      <vt:lpstr>valExpenseCategories</vt:lpstr>
      <vt:lpstr>valFrequency</vt:lpstr>
      <vt:lpstr>valGoalStatus</vt:lpstr>
      <vt:lpstr>valIncomeCategories</vt:lpstr>
      <vt:lpstr>valIncomeSources</vt:lpstr>
      <vt:lpstr>valPaymentMethods</vt:lpstr>
      <vt:lpstr>valPriority</vt:lpstr>
      <vt:lpstr>valThemes</vt:lpstr>
      <vt:lpstr>valTransactionTypes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2026-08-25T13:34:09Z</dcterms:created>
  <dcterms:modified xsi:type="dcterms:W3CDTF">2026-09-22T18:56:36Z</dcterms:modified>
  <cp:category/>
</cp:coreProperties>
</file>